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E94D94-9B81-44F9-9B25-CC03C316ADB0}" xr6:coauthVersionLast="47" xr6:coauthVersionMax="47" xr10:uidLastSave="{00000000-0000-0000-0000-000000000000}"/>
  <bookViews>
    <workbookView xWindow="-110" yWindow="-110" windowWidth="19420" windowHeight="10300" activeTab="2" xr2:uid="{0ED14842-6A7B-437A-9047-AA0E13B91781}"/>
  </bookViews>
  <sheets>
    <sheet name="Sheet2" sheetId="3" r:id="rId1"/>
    <sheet name="Sheet3" sheetId="5" r:id="rId2"/>
    <sheet name="University" sheetId="1" r:id="rId3"/>
    <sheet name="Sheet1" sheetId="2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M2" i="1" a="1"/>
  <c r="M2" i="1" s="1"/>
  <c r="S2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<sst xmlns="http://schemas.openxmlformats.org/spreadsheetml/2006/main" count="6070" uniqueCount="2445">
  <si>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</si>
  <si>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</si>
  <si>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</si>
  <si>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</si>
  <si>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</si>
  <si>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</si>
  <si>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</si>
  <si>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</si>
  <si>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</si>
  <si>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</si>
  <si>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</si>
  <si>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</si>
  <si>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</si>
  <si>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</si>
  <si>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</si>
  <si>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</si>
  <si>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</si>
  <si>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</si>
  <si>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</si>
  <si>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</si>
  <si>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</si>
  <si>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</si>
  <si>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</si>
  <si>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</si>
  <si>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</si>
  <si>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</si>
  <si>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</si>
  <si>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</si>
  <si>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</si>
  <si>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</si>
  <si>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</si>
  <si>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</si>
  <si>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</si>
  <si>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</si>
  <si>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</si>
  <si>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</si>
  <si>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</si>
  <si>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</si>
  <si>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</si>
  <si>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</si>
  <si>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</si>
  <si>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</si>
  <si>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</si>
  <si>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</si>
  <si>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</si>
  <si>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</si>
  <si>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</si>
  <si>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</si>
  <si>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</si>
  <si>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</si>
  <si>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</si>
  <si>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</si>
  <si>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</si>
  <si>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</si>
  <si>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</si>
  <si>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</si>
  <si>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</si>
  <si>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</si>
  <si>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</si>
  <si>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</si>
  <si>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</si>
  <si>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</si>
  <si>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</si>
  <si>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</si>
  <si>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</si>
  <si>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</si>
  <si>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</si>
  <si>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</si>
  <si>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</si>
  <si>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</si>
  <si>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</si>
  <si>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</si>
  <si>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</si>
  <si>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</si>
  <si>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</si>
  <si>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</si>
  <si>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</si>
  <si>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</si>
  <si>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</si>
  <si>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</si>
  <si>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</si>
  <si>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</si>
  <si>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</si>
  <si>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</si>
  <si>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</si>
  <si>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</si>
  <si>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</si>
  <si>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</si>
  <si>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</si>
  <si>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</si>
  <si>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</si>
  <si>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</si>
  <si>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</si>
  <si>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</si>
  <si>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</si>
  <si>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</si>
  <si>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</si>
  <si>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</si>
  <si>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</si>
  <si>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</si>
  <si>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</si>
  <si>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</si>
  <si>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</si>
  <si>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</si>
  <si>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</si>
  <si>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</si>
  <si>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</si>
  <si>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</si>
  <si>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</si>
  <si>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</si>
  <si>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</si>
  <si>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</si>
  <si>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</si>
  <si>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</si>
  <si>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</si>
  <si>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</si>
  <si>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</si>
  <si>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</si>
  <si>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</si>
  <si>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</si>
  <si>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</si>
  <si>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</si>
  <si>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</si>
  <si>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</si>
  <si>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</si>
  <si>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</si>
  <si>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</si>
  <si>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</si>
  <si>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</si>
  <si>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</si>
  <si>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</si>
  <si>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</si>
  <si>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</si>
  <si>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</si>
  <si>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</si>
  <si>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</si>
  <si>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</si>
  <si>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</si>
  <si>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</si>
  <si>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</si>
  <si>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</si>
  <si>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</si>
  <si>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</si>
  <si>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</si>
  <si>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</si>
  <si>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</si>
  <si>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</si>
  <si>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</si>
  <si>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</si>
  <si>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</si>
  <si>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</si>
  <si>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</si>
  <si>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</si>
  <si>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</si>
  <si>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</si>
  <si>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</si>
  <si>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</si>
  <si>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</si>
  <si>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</si>
  <si>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</si>
  <si>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</si>
  <si>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</si>
  <si>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</si>
  <si>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</si>
  <si>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</si>
  <si>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</si>
  <si>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</si>
  <si>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</si>
  <si>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</si>
  <si>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</si>
  <si>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</si>
  <si>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</si>
  <si>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</si>
  <si>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</si>
  <si>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</si>
  <si>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</si>
  <si>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</si>
  <si>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</si>
  <si>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</si>
  <si>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</si>
  <si>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</si>
  <si>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</si>
  <si>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</si>
  <si>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</si>
  <si>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</si>
  <si>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</si>
  <si>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</si>
  <si>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</si>
  <si>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</si>
  <si>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</si>
  <si>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</si>
  <si>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</si>
  <si>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</si>
  <si>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</si>
  <si>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</si>
  <si>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</si>
  <si>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</si>
  <si>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</si>
  <si>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</si>
  <si>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</si>
  <si>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</si>
  <si>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</si>
  <si>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</si>
  <si>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</si>
  <si>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</si>
  <si>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</si>
  <si>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</si>
  <si>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</si>
  <si>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</si>
  <si>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</si>
  <si>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</si>
  <si>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</si>
  <si>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</si>
  <si>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</si>
  <si>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</si>
  <si>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</si>
  <si>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</si>
  <si>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</si>
  <si>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</si>
  <si>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</si>
  <si>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</si>
  <si>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</si>
  <si>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</si>
  <si>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</si>
  <si>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</si>
  <si>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</si>
  <si>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</si>
  <si>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</si>
  <si>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</si>
  <si>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</si>
  <si>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</si>
  <si>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</si>
  <si>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</si>
  <si>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</si>
  <si>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</si>
  <si>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</si>
  <si>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</si>
  <si>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</si>
  <si>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</si>
  <si>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</si>
  <si>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</si>
  <si>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</si>
  <si>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</si>
  <si>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</si>
  <si>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</si>
  <si>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</si>
  <si>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</si>
  <si>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</si>
  <si>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</si>
  <si>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</si>
  <si>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</si>
  <si>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</si>
  <si>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</si>
  <si>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</si>
  <si>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</si>
  <si>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</si>
  <si>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</si>
  <si>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</si>
  <si>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</si>
  <si>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</si>
  <si>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</si>
  <si>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</si>
  <si>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</si>
  <si>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</si>
  <si>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</si>
  <si>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</si>
  <si>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</si>
  <si>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</si>
  <si>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</si>
  <si>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</si>
  <si>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</si>
  <si>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</si>
  <si>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</si>
  <si>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</si>
  <si>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</si>
  <si>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</si>
  <si>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</si>
  <si>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</si>
  <si>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</si>
  <si>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</si>
  <si>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</si>
  <si>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</si>
  <si>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</si>
  <si>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</si>
  <si>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</si>
  <si>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</si>
  <si>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</si>
  <si>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</si>
  <si>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</si>
  <si>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</si>
  <si>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</si>
  <si>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</si>
  <si>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</si>
  <si>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</si>
  <si>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</si>
  <si>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</si>
  <si>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</si>
  <si>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</si>
  <si>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</si>
  <si>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</si>
  <si>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</si>
  <si>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</si>
  <si>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</si>
  <si>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</si>
  <si>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</si>
  <si>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</si>
  <si>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</si>
  <si>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</si>
  <si>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</si>
  <si>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</si>
  <si>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</si>
  <si>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</si>
  <si>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</si>
  <si>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</si>
  <si>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</si>
  <si>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</si>
  <si>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</si>
  <si>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</si>
  <si>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</si>
  <si>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</si>
  <si>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</si>
  <si>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</si>
  <si>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</si>
  <si>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</si>
  <si>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</si>
  <si>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</si>
  <si>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</si>
  <si>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</si>
  <si>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</si>
  <si>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</si>
  <si>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</si>
  <si>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</si>
  <si>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</si>
  <si>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</si>
  <si>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</si>
  <si>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</si>
  <si>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</si>
  <si>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</si>
  <si>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</si>
  <si>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</si>
  <si>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</si>
  <si>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</si>
  <si>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</si>
  <si>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</si>
  <si>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</si>
  <si>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</si>
  <si>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</si>
  <si>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</si>
  <si>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</si>
  <si>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</si>
  <si>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</si>
  <si>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</si>
  <si>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</si>
  <si>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</si>
  <si>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</si>
  <si>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</si>
  <si>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</si>
  <si>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</si>
  <si>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</si>
  <si>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</si>
  <si>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</si>
  <si>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</si>
  <si>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</si>
  <si>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</si>
  <si>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</si>
  <si>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</si>
  <si>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</si>
  <si>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</si>
  <si>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</si>
  <si>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</si>
  <si>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</si>
  <si>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</si>
  <si>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</si>
  <si>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</si>
  <si>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</si>
  <si>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</si>
  <si>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</si>
  <si>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</si>
  <si>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</si>
  <si>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</si>
  <si>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</si>
  <si>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</si>
  <si>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</si>
  <si>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</si>
  <si>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</si>
  <si>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</si>
  <si>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</si>
  <si>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</si>
  <si>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</si>
  <si>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</si>
  <si>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</si>
  <si>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</si>
  <si>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</si>
  <si>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</si>
  <si>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</si>
  <si>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</si>
  <si>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</si>
  <si>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</si>
  <si>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</si>
  <si>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</si>
  <si>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</si>
  <si>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</si>
  <si>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</si>
  <si>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</si>
  <si>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</si>
  <si>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</si>
  <si>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</si>
  <si>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</si>
  <si>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</si>
  <si>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</si>
  <si>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</si>
  <si>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</si>
  <si>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</si>
  <si>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</si>
  <si>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</si>
  <si>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</si>
  <si>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</si>
  <si>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</si>
  <si>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</si>
  <si>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</si>
  <si>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</si>
  <si>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</si>
  <si>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</si>
  <si>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</si>
  <si>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</si>
  <si>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</si>
  <si>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</si>
  <si>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</si>
  <si>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</si>
  <si>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</si>
  <si>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</si>
  <si>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</si>
  <si>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</si>
  <si>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</si>
  <si>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</si>
  <si>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</si>
  <si>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</si>
  <si>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</si>
  <si>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</si>
  <si>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</si>
  <si>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</si>
  <si>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</si>
  <si>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</si>
  <si>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</si>
  <si>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</si>
  <si>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</si>
  <si>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</si>
  <si>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</si>
  <si>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</si>
  <si>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</si>
  <si>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</si>
  <si>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</si>
  <si>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</si>
  <si>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</si>
  <si>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</si>
  <si>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</si>
  <si>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</si>
  <si>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</si>
  <si>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</si>
  <si>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</si>
  <si>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</si>
  <si>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</si>
  <si>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</si>
  <si>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</si>
  <si>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</si>
  <si>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</si>
  <si>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</si>
  <si>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</si>
  <si>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</si>
  <si>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</si>
  <si>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</si>
  <si>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</si>
  <si>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</si>
  <si>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</si>
  <si>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</si>
  <si>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</si>
  <si>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</si>
  <si>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</si>
  <si>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</si>
  <si>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</si>
  <si>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</si>
  <si>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</si>
  <si>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</si>
  <si>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</si>
  <si>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</si>
  <si>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</si>
  <si>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</si>
  <si>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</si>
  <si>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</si>
  <si>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</si>
  <si>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</si>
  <si>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</si>
  <si>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</si>
  <si>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</si>
  <si>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</si>
  <si>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</si>
  <si>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</si>
  <si>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</si>
  <si>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</si>
  <si>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</si>
  <si>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</si>
  <si>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</si>
  <si>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</si>
  <si>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</si>
  <si>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</si>
  <si>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</si>
  <si>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</si>
  <si>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</si>
  <si>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</si>
  <si>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</si>
  <si>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</si>
  <si>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</si>
  <si>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</si>
  <si>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</si>
  <si>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</si>
  <si>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</si>
  <si>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</si>
  <si>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</si>
  <si>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</si>
  <si>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</si>
  <si>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</si>
  <si>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</si>
  <si>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</si>
  <si>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</si>
  <si>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</si>
  <si>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</si>
  <si>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</si>
  <si>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</si>
  <si>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</si>
  <si>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</si>
  <si>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</si>
  <si>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</si>
  <si>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</si>
  <si>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</si>
  <si>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</si>
  <si>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</si>
  <si>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</si>
  <si>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</si>
  <si>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</si>
  <si>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</si>
  <si>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</si>
  <si>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</si>
  <si>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</si>
  <si>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</si>
  <si>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</si>
  <si>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</si>
  <si>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</si>
  <si>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</si>
  <si>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</si>
  <si>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</si>
  <si>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</si>
  <si>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</si>
  <si>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</si>
  <si>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</si>
  <si>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</si>
  <si>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</si>
  <si>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</si>
  <si>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</si>
  <si>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</si>
  <si>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</si>
  <si>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</si>
  <si>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</si>
  <si>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</si>
  <si>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</si>
  <si>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</si>
  <si>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</si>
  <si>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</si>
  <si>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</si>
  <si>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</si>
  <si>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</si>
  <si>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</si>
  <si>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</si>
  <si>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</si>
  <si>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</si>
  <si>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</si>
  <si>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</si>
  <si>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</si>
  <si>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</si>
  <si>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</si>
  <si>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</si>
  <si>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</si>
  <si>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</si>
  <si>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</si>
  <si>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</si>
  <si>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</si>
  <si>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</si>
  <si>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</si>
  <si>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</si>
  <si>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</si>
  <si>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</si>
  <si>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</si>
  <si>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</si>
  <si>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</si>
  <si>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</si>
  <si>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</si>
  <si>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</si>
  <si>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</si>
  <si>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</si>
  <si>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</si>
  <si>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</si>
  <si>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</si>
  <si>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</si>
  <si>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</si>
  <si>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</si>
  <si>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</si>
  <si>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</si>
  <si>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</si>
  <si>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</si>
  <si>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</si>
  <si>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</si>
  <si>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</si>
  <si>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</si>
  <si>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</si>
  <si>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</si>
  <si>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</si>
  <si>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</si>
  <si>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</si>
  <si>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</si>
  <si>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</si>
  <si>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</si>
  <si>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</si>
  <si>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</si>
  <si>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</si>
  <si>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</si>
  <si>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</si>
  <si>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</si>
  <si>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</si>
  <si>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</si>
  <si>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</si>
  <si>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</si>
  <si>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</si>
  <si>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</si>
  <si>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</si>
  <si>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</si>
  <si>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</si>
  <si>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</si>
  <si>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</si>
  <si>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</si>
  <si>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</si>
  <si>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</si>
  <si>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</si>
  <si>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</si>
  <si>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</si>
  <si>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</si>
  <si>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</si>
  <si>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</si>
  <si>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</si>
  <si>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</si>
  <si>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</si>
  <si>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</si>
  <si>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</si>
  <si>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</si>
  <si>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</si>
  <si>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</si>
  <si>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</si>
  <si>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</si>
  <si>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</si>
  <si>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</si>
  <si>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</si>
  <si>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</si>
  <si>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</si>
  <si>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</si>
  <si>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</si>
  <si>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</si>
  <si>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</si>
  <si>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</si>
  <si>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</si>
  <si>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</si>
  <si>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</si>
  <si>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</si>
  <si>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</si>
  <si>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</si>
  <si>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</si>
  <si>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</si>
  <si>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</si>
  <si>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</si>
  <si>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</si>
  <si>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</si>
  <si>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</si>
  <si>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</si>
  <si>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</si>
  <si>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</si>
  <si>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</si>
  <si>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</si>
  <si>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</si>
  <si>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</si>
  <si>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</si>
  <si>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</si>
  <si>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</si>
  <si>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</si>
  <si>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</si>
  <si>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</si>
  <si>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</si>
  <si>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</si>
  <si>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</si>
  <si>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</si>
  <si>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</si>
  <si>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</si>
  <si>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</si>
  <si>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</si>
  <si>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</si>
  <si>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</si>
  <si>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</si>
  <si>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</si>
  <si>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</si>
  <si>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</si>
  <si>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</si>
  <si>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</si>
  <si>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</si>
  <si>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</si>
  <si>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</si>
  <si>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</si>
  <si>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</si>
  <si>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</si>
  <si>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</si>
  <si>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</si>
  <si>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</si>
  <si>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</si>
  <si>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</si>
  <si>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</si>
  <si>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</si>
  <si>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</si>
  <si>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</si>
  <si>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</si>
  <si>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</si>
  <si>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</si>
  <si>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</si>
  <si>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</si>
  <si>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</si>
  <si>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</si>
  <si>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</si>
  <si>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</si>
  <si>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</si>
  <si>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</si>
  <si>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</si>
  <si>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</si>
  <si>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</si>
  <si>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</si>
  <si>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</si>
  <si>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</si>
  <si>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</si>
  <si>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</si>
  <si>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</si>
  <si>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</si>
  <si>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</si>
  <si>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</si>
  <si>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</si>
  <si>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</si>
  <si>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</si>
  <si>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</si>
  <si>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</si>
  <si>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</si>
  <si>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</si>
  <si>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</si>
  <si>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</si>
  <si>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</si>
  <si>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</si>
  <si>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</si>
  <si>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</si>
  <si>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</si>
  <si>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</si>
  <si>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</si>
  <si>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</si>
  <si>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</si>
  <si>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</si>
  <si>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</si>
  <si>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</si>
  <si>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</si>
  <si>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</si>
  <si>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</si>
  <si>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</si>
  <si>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</si>
  <si>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</si>
  <si>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</si>
  <si>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</si>
  <si>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</si>
  <si>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</si>
  <si>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</si>
  <si>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</si>
  <si>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</si>
  <si>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</si>
  <si>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</si>
  <si>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</si>
  <si>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</si>
  <si>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</si>
  <si>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</si>
  <si>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</si>
  <si>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</si>
  <si>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</si>
  <si>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</si>
  <si>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</si>
  <si>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</si>
  <si>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</si>
  <si>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</si>
  <si>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</si>
  <si>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</si>
  <si>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</si>
  <si>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</si>
  <si>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</si>
  <si>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</si>
  <si>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</si>
  <si>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</si>
  <si>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</si>
  <si>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</si>
  <si>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</si>
  <si>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</si>
  <si>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</si>
  <si>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</si>
  <si>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</si>
  <si>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</si>
  <si>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</si>
  <si>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</si>
  <si>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</si>
  <si>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</si>
  <si>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</si>
  <si>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</si>
  <si>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</si>
  <si>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</si>
  <si>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</si>
  <si>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</si>
  <si>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</si>
  <si>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</si>
  <si>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</si>
  <si>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</si>
  <si>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</si>
  <si>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</si>
  <si>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</si>
  <si>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</si>
  <si>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</si>
  <si>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</si>
  <si>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</si>
  <si>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</si>
  <si>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</si>
  <si>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</si>
  <si>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</si>
  <si>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</si>
  <si>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</si>
  <si>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</si>
  <si>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</si>
  <si>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</si>
  <si>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</si>
  <si>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</si>
  <si>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</si>
  <si>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</si>
  <si>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</si>
  <si>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</si>
  <si>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</si>
  <si>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</si>
  <si>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</si>
  <si>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</si>
  <si>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</si>
  <si>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</si>
  <si>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</si>
  <si>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</si>
  <si>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</si>
  <si>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</si>
  <si>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</si>
  <si>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</si>
  <si>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</si>
  <si>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</si>
  <si>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</si>
  <si>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</si>
  <si>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</si>
  <si>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</si>
  <si>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</si>
  <si>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</si>
  <si>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</si>
  <si>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</si>
  <si>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</si>
  <si>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</si>
  <si>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</si>
  <si>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</si>
  <si>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</si>
  <si>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</si>
  <si>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</si>
  <si>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</si>
  <si>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</si>
  <si>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</si>
  <si>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</si>
  <si>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</si>
  <si>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</si>
  <si>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</si>
  <si>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</si>
  <si>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</si>
  <si>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</si>
  <si>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</si>
  <si>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</si>
  <si>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</si>
  <si>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</si>
  <si>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</si>
  <si>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</si>
  <si>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</si>
  <si>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</si>
  <si>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</si>
  <si>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</si>
  <si>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</si>
  <si>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</si>
  <si>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</si>
  <si>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</si>
  <si>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</si>
  <si>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</si>
  <si>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</si>
  <si>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</si>
  <si>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</si>
  <si>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</si>
  <si>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</si>
  <si>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</si>
  <si>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</si>
  <si>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</si>
  <si>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</si>
  <si>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</si>
  <si>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</si>
  <si>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</si>
  <si>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</si>
  <si>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</si>
  <si>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</si>
  <si>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</si>
  <si>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</si>
  <si>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</si>
  <si>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</si>
  <si>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</si>
  <si>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</si>
  <si>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</si>
  <si>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</si>
  <si>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</si>
  <si>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</si>
  <si>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</si>
  <si>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</si>
  <si>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</si>
  <si>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</si>
  <si>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</si>
  <si>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</si>
  <si>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</si>
  <si>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</si>
  <si>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</si>
  <si>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</si>
  <si>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</si>
  <si>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</si>
  <si>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</si>
  <si>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</si>
  <si>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</si>
  <si>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</si>
  <si>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</si>
  <si>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</si>
  <si>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</si>
  <si>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</si>
  <si>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</si>
  <si>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</si>
  <si>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</si>
  <si>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</si>
  <si>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</si>
  <si>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</si>
  <si>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</si>
  <si>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</si>
  <si>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</si>
  <si>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</si>
  <si>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</si>
  <si>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</si>
  <si>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</si>
  <si>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</si>
  <si>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</si>
  <si>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</si>
  <si>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</si>
  <si>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</si>
  <si>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</si>
  <si>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</si>
  <si>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</si>
  <si>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</si>
  <si>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</si>
  <si>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</si>
  <si>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</si>
  <si>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</si>
  <si>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</si>
  <si>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</si>
  <si>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</si>
  <si>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</si>
  <si>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</si>
  <si>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</si>
  <si>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</si>
  <si>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</si>
  <si>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</si>
  <si>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</si>
  <si>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</si>
  <si>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</si>
  <si>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</si>
  <si>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</si>
  <si>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</si>
  <si>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</si>
  <si>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</si>
  <si>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</si>
  <si>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</si>
  <si>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</si>
  <si>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</si>
  <si>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</si>
  <si>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</si>
  <si>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</si>
  <si>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</si>
  <si>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</si>
  <si>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</si>
  <si>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</si>
  <si>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</si>
  <si>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</si>
  <si>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</si>
  <si>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</si>
  <si>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</si>
  <si>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</si>
  <si>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</si>
  <si>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</si>
  <si>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</si>
  <si>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</si>
  <si>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</si>
  <si>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</si>
  <si>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</si>
  <si>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</si>
  <si>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</si>
  <si>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</si>
  <si>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</si>
  <si>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</si>
  <si>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</si>
  <si>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</si>
  <si>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</si>
  <si>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</si>
  <si>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</si>
  <si>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</si>
  <si>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</si>
  <si>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</si>
  <si>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</si>
  <si>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</si>
  <si>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</si>
  <si>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</si>
  <si>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</si>
  <si>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</si>
  <si>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</si>
  <si>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</si>
  <si>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</si>
  <si>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</si>
  <si>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</si>
  <si>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</si>
  <si>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</si>
  <si>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</si>
  <si>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</si>
  <si>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</si>
  <si>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</si>
  <si>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</si>
  <si>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</si>
  <si>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</si>
  <si>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</si>
  <si>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</si>
  <si>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</si>
  <si>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</si>
  <si>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</si>
  <si>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</si>
  <si>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</si>
  <si>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</si>
  <si>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</si>
  <si>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</si>
  <si>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</si>
  <si>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</si>
  <si>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</si>
  <si>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</si>
  <si>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</si>
  <si>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</si>
  <si>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</si>
  <si>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</si>
  <si>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</si>
  <si>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</si>
  <si>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</si>
  <si>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</si>
  <si>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</si>
  <si>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</si>
  <si>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</si>
  <si>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</si>
  <si>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</si>
  <si>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</si>
  <si>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</si>
  <si>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</si>
  <si>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</si>
  <si>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</si>
  <si>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</si>
  <si>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</si>
  <si>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</si>
  <si>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</si>
  <si>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</si>
  <si>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</si>
  <si>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</si>
  <si>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</si>
  <si>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</si>
  <si>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</si>
  <si>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</si>
  <si>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</si>
  <si>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</si>
  <si>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</si>
  <si>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</si>
  <si>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</si>
  <si>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</si>
  <si>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</si>
  <si>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</si>
  <si>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</si>
  <si>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</si>
  <si>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</si>
  <si>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</si>
  <si>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</si>
  <si>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</si>
  <si>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</si>
  <si>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</si>
  <si>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</si>
  <si>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</si>
  <si>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</si>
  <si>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</si>
  <si>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</si>
  <si>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</si>
  <si>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</si>
  <si>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</si>
  <si>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</si>
  <si>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</si>
  <si>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</si>
  <si>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</si>
  <si>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</si>
  <si>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</si>
  <si>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</si>
  <si>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</si>
  <si>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</si>
  <si>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</si>
  <si>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</si>
  <si>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</si>
  <si>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</si>
  <si>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</si>
  <si>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</si>
  <si>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</si>
  <si>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</si>
  <si>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</si>
  <si>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</si>
  <si>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</si>
  <si>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</si>
  <si>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</si>
  <si>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</si>
  <si>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</si>
  <si>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</si>
  <si>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</si>
  <si>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</si>
  <si>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</si>
  <si>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</si>
  <si>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</si>
  <si>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</si>
  <si>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</si>
  <si>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</si>
  <si>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</si>
  <si>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</si>
  <si>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</si>
  <si>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</si>
  <si>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</si>
  <si>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</si>
  <si>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</si>
  <si>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</si>
  <si>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</si>
  <si>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</si>
  <si>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</si>
  <si>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</si>
  <si>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</si>
  <si>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</si>
  <si>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</si>
  <si>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</si>
  <si>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</si>
  <si>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</si>
  <si>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</si>
  <si>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</si>
  <si>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</si>
  <si>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</si>
  <si>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</si>
  <si>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</si>
  <si>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</si>
  <si>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</si>
  <si>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</si>
  <si>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</si>
  <si>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</si>
  <si>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</si>
  <si>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</si>
  <si>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</si>
  <si>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</si>
  <si>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</si>
  <si>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</si>
  <si>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</si>
  <si>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</si>
  <si>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</si>
  <si>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</si>
  <si>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</si>
  <si>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</si>
  <si>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</si>
  <si>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</si>
  <si>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</si>
  <si>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</si>
  <si>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</si>
  <si>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</si>
  <si>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</si>
  <si>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</si>
  <si>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</si>
  <si>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</si>
  <si>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</si>
  <si>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</si>
  <si>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</si>
  <si>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</si>
  <si>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</si>
  <si>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</si>
  <si>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</si>
  <si>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</si>
  <si>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</si>
  <si>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</si>
  <si>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</si>
  <si>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</si>
  <si>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</si>
  <si>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</si>
  <si>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</si>
  <si>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</si>
  <si>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</si>
  <si>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</si>
  <si>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</si>
  <si>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</si>
  <si>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</si>
  <si>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</si>
  <si>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</si>
  <si>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</si>
  <si>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</si>
  <si>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</si>
  <si>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</si>
  <si>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</si>
  <si>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</si>
  <si>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</si>
  <si>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</si>
  <si>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</si>
  <si>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</si>
  <si>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</si>
  <si>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</si>
  <si>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</si>
  <si>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</si>
  <si>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</si>
  <si>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</si>
  <si>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</si>
  <si>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</si>
  <si>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</si>
  <si>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</si>
  <si>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</si>
  <si>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</si>
  <si>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</si>
  <si>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</si>
  <si>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</si>
  <si>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</si>
  <si>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</si>
  <si>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</si>
  <si>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</si>
  <si>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</si>
  <si>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</si>
  <si>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</si>
  <si>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</si>
  <si>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</si>
  <si>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</si>
  <si>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</si>
  <si>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</si>
  <si>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</si>
  <si>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</si>
  <si>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</si>
  <si>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</si>
  <si>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</si>
  <si>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</si>
  <si>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</si>
  <si>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</si>
  <si>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</si>
  <si>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</si>
  <si>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</si>
  <si>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</si>
  <si>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</si>
  <si>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</si>
  <si>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</si>
  <si>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</si>
  <si>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</si>
  <si>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</si>
  <si>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</si>
  <si>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</si>
  <si>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</si>
  <si>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</si>
  <si>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</si>
  <si>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</si>
  <si>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</si>
  <si>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</si>
  <si>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</si>
  <si>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</si>
  <si>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</si>
  <si>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</si>
  <si>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</si>
  <si>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</si>
  <si>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</si>
  <si>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</si>
  <si>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</si>
  <si>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</si>
  <si>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</si>
  <si>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</si>
  <si>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</si>
  <si>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</si>
  <si>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</si>
  <si>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</si>
  <si>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</si>
  <si>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</si>
  <si>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</si>
  <si>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</si>
  <si>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</si>
  <si>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</si>
  <si>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</si>
  <si>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</si>
  <si>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</si>
  <si>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</si>
  <si>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</si>
  <si>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</si>
  <si>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</si>
  <si>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</si>
  <si>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</si>
  <si>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</si>
  <si>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</si>
  <si>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</si>
  <si>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</si>
  <si>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</si>
  <si>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</si>
  <si>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</si>
  <si>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</si>
  <si>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</si>
  <si>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</si>
  <si>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</si>
  <si>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</si>
  <si>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</si>
  <si>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</si>
  <si>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</si>
  <si>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</si>
  <si>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</si>
  <si>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</si>
  <si>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</si>
  <si>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</si>
  <si>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</si>
  <si>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</si>
  <si>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</si>
  <si>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</si>
  <si>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</si>
  <si>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</si>
  <si>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</si>
  <si>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</si>
  <si>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</si>
  <si>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</si>
  <si>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</si>
  <si>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</si>
  <si>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</si>
  <si>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</si>
  <si>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</si>
  <si>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</si>
  <si>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</si>
  <si>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</si>
  <si>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</si>
  <si>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</si>
  <si>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</si>
  <si>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</si>
  <si>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</si>
  <si>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</si>
  <si>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</si>
  <si>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</si>
  <si>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</si>
  <si>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</si>
  <si>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</si>
  <si>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</si>
  <si>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</si>
  <si>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</si>
  <si>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</si>
  <si>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</si>
  <si>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</si>
  <si>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</si>
  <si>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</si>
  <si>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</si>
  <si>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</si>
  <si>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</si>
  <si>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</si>
  <si>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</si>
  <si>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</si>
  <si>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</si>
  <si>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</si>
  <si>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</si>
  <si>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</si>
  <si>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</si>
  <si>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</si>
  <si>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</si>
  <si>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</si>
  <si>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</si>
  <si>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</si>
  <si>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</si>
  <si>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</si>
  <si>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</si>
  <si>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</si>
  <si>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</si>
  <si>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</si>
  <si>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</si>
  <si>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</si>
  <si>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</si>
  <si>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</si>
  <si>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</si>
  <si>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</si>
  <si>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</si>
  <si>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</si>
  <si>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</si>
  <si>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</si>
  <si>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</si>
  <si>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</si>
  <si>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</si>
  <si>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</si>
  <si>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</si>
  <si>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</si>
  <si>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</si>
  <si>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</si>
  <si>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</si>
  <si>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</si>
  <si>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</si>
  <si>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</si>
  <si>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</si>
  <si>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</si>
  <si>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</si>
  <si>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</si>
  <si>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</si>
  <si>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</si>
  <si>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</si>
  <si>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</si>
  <si>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</si>
  <si>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</si>
  <si>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</si>
  <si>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</si>
  <si>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</si>
  <si>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</si>
  <si>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</si>
  <si>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</si>
  <si>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</si>
  <si>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</si>
  <si>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</si>
  <si>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</si>
  <si>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</si>
  <si>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</si>
  <si>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</si>
  <si>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</si>
  <si>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</si>
  <si>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</si>
  <si>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</si>
  <si>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</si>
  <si>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</si>
  <si>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</si>
  <si>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</si>
  <si>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</si>
  <si>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</si>
  <si>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</si>
  <si>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</si>
  <si>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</si>
  <si>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</si>
  <si>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</si>
  <si>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</si>
  <si>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</si>
  <si>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</si>
  <si>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</si>
  <si>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</si>
  <si>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</si>
  <si>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</si>
  <si>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</si>
  <si>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</si>
  <si>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</si>
  <si>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</si>
  <si>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</si>
  <si>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</si>
  <si>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</si>
  <si>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</si>
  <si>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</si>
  <si>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</si>
  <si>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</si>
  <si>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</si>
  <si>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</si>
  <si>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</si>
  <si>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</si>
  <si>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</si>
  <si>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</si>
  <si>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</si>
  <si>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</si>
  <si>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</si>
  <si>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</si>
  <si>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</si>
  <si>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</si>
  <si>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</si>
  <si>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</si>
  <si>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</si>
  <si>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</si>
  <si>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</si>
  <si>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</si>
  <si>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</si>
  <si>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</si>
  <si>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</si>
  <si>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</si>
  <si>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</si>
  <si>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</si>
  <si>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</si>
  <si>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</si>
  <si>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</si>
  <si>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</si>
  <si>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</si>
  <si>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</si>
  <si>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</si>
  <si>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</si>
  <si>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</si>
  <si>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</si>
  <si>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</si>
  <si>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</si>
  <si>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</si>
  <si>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</si>
  <si>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</si>
  <si>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</si>
  <si>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</si>
  <si>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</si>
  <si>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</si>
  <si>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</si>
  <si>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</si>
  <si>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</si>
  <si>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</si>
  <si>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</si>
  <si>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</si>
  <si>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</si>
  <si>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</si>
  <si>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</si>
  <si>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</si>
  <si>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</si>
  <si>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</si>
  <si>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</si>
  <si>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</si>
  <si>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</si>
  <si>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</si>
  <si>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</si>
  <si>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</si>
  <si>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</si>
  <si>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</si>
  <si>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</si>
  <si>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</si>
  <si>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</si>
  <si>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</si>
  <si>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</si>
  <si>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</si>
  <si>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</si>
  <si>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</si>
  <si>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</si>
  <si>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</si>
  <si>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</si>
  <si>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</si>
  <si>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</si>
  <si>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</si>
  <si>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</si>
  <si>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</si>
  <si>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</si>
  <si>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</si>
  <si>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</si>
  <si>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</si>
  <si>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</si>
  <si>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</si>
  <si>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</si>
  <si>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</si>
  <si>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</si>
  <si>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</si>
  <si>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</si>
  <si>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</si>
  <si>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</si>
  <si>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</si>
  <si>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</si>
  <si>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</si>
  <si>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</si>
  <si>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</si>
  <si>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</si>
  <si>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</si>
  <si>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</si>
  <si>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</si>
  <si>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</si>
  <si>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</si>
  <si>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</si>
  <si>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</si>
  <si>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</si>
  <si>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</si>
  <si>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</si>
  <si>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</si>
  <si>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</si>
  <si>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</si>
  <si>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</si>
  <si>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</si>
  <si>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</si>
  <si>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</si>
  <si>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</si>
  <si>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</si>
  <si>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</si>
  <si>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</si>
  <si>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</si>
  <si>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</si>
  <si>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</si>
  <si>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</si>
  <si>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</si>
  <si>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</si>
  <si>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</si>
  <si>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</si>
  <si>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</si>
  <si>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</si>
  <si>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</si>
  <si>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</si>
  <si>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</si>
  <si>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</si>
  <si>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</si>
  <si>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</si>
  <si>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</si>
  <si>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</si>
  <si>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</si>
  <si>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</si>
  <si>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</si>
  <si>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</si>
  <si>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</si>
  <si>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</si>
  <si>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</si>
  <si>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</si>
  <si>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</si>
  <si>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</si>
  <si>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</si>
  <si>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</si>
  <si>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</si>
  <si>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</si>
  <si>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</si>
  <si>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</si>
  <si>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</si>
  <si>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</si>
  <si>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</si>
  <si>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</si>
  <si>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</si>
  <si>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</si>
  <si>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</si>
  <si>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</si>
  <si>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</si>
  <si>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</si>
  <si>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</si>
  <si>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</si>
  <si>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</si>
  <si>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</si>
  <si>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</si>
  <si>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</si>
  <si>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</si>
  <si>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</si>
  <si>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</si>
  <si>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</si>
  <si>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</si>
  <si>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</si>
  <si>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</si>
  <si>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</si>
  <si>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</si>
  <si>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</si>
  <si>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</si>
  <si>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</si>
  <si>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</si>
  <si>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</si>
  <si>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</si>
  <si>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</si>
  <si>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</si>
  <si>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</si>
  <si>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</si>
  <si>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</si>
  <si>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</si>
  <si>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</si>
  <si>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</si>
  <si>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</si>
  <si>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</si>
  <si>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</si>
  <si>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</si>
  <si>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</si>
  <si>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</si>
  <si>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</si>
  <si>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</si>
  <si>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</si>
  <si>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</si>
  <si>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</si>
  <si>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</si>
  <si>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</si>
  <si>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</si>
  <si>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</si>
  <si>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</si>
  <si>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</si>
  <si>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</si>
  <si>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</si>
  <si>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</si>
  <si>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</si>
  <si>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</si>
  <si>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</si>
  <si>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</si>
  <si>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</si>
  <si>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</si>
  <si>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</si>
  <si>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</si>
  <si>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</si>
  <si>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</si>
  <si>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</si>
  <si>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</si>
  <si>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</si>
  <si>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</si>
  <si>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</si>
  <si>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</si>
  <si>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</si>
  <si>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</si>
  <si>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</si>
  <si>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</si>
  <si>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</si>
  <si>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</si>
  <si>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</si>
  <si>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</si>
  <si>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</si>
  <si>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</si>
  <si>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</si>
  <si>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</si>
  <si>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</si>
  <si>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</si>
  <si>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</si>
  <si>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</si>
  <si>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</si>
  <si>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</si>
  <si>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</si>
  <si>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</si>
  <si>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</si>
  <si>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</si>
  <si>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</si>
  <si>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</si>
  <si>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</si>
  <si>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</si>
  <si>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</si>
  <si>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</si>
  <si>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</si>
  <si>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</si>
  <si>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</si>
  <si>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</si>
  <si>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</si>
  <si>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</si>
  <si>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</si>
  <si>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</si>
  <si>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</si>
  <si>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</si>
  <si>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</si>
  <si>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</si>
  <si>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</si>
  <si>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</si>
  <si>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</si>
  <si>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</si>
  <si>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</si>
  <si>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</si>
  <si>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</si>
  <si>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</si>
  <si>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</si>
  <si>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</si>
  <si>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</si>
  <si>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</si>
  <si>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</si>
  <si>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</si>
  <si>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</si>
  <si>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</si>
  <si>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</si>
  <si>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</si>
  <si>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</si>
  <si>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</si>
  <si>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</si>
  <si>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</si>
  <si>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</si>
  <si>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</si>
  <si>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</si>
  <si>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</si>
  <si>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</si>
  <si>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</si>
  <si>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</si>
  <si>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</si>
  <si>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</si>
  <si>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</si>
  <si>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</si>
  <si>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</si>
  <si>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</si>
  <si>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</si>
  <si>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</si>
  <si>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</si>
  <si>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</si>
  <si>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</si>
  <si>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</si>
  <si>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</si>
  <si>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</si>
  <si>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</si>
  <si>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</si>
  <si>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</si>
  <si>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</si>
  <si>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</si>
  <si>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</si>
  <si>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</si>
  <si>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</si>
  <si>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</si>
  <si>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</si>
  <si>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</si>
  <si>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</si>
  <si>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</si>
  <si>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</si>
  <si>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</si>
  <si>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</si>
  <si>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</si>
  <si>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</si>
  <si>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</si>
  <si>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</si>
  <si>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</si>
  <si>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</si>
  <si>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</si>
  <si>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</si>
  <si>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</si>
  <si>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</si>
  <si>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</si>
  <si>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</si>
  <si>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</si>
  <si>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</si>
  <si>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</si>
  <si>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</si>
  <si>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</si>
  <si>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</si>
  <si>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</si>
  <si>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</si>
  <si>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</si>
  <si>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</si>
  <si>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</si>
  <si>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</si>
  <si>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</si>
  <si>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</si>
  <si>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</si>
  <si>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</si>
  <si>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</si>
  <si>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</si>
  <si>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</si>
  <si>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</si>
  <si>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</si>
  <si>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</si>
  <si>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</si>
  <si>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</si>
  <si>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</si>
  <si>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</si>
  <si>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</si>
  <si>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</si>
  <si>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</si>
  <si>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</si>
  <si>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</si>
  <si>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</si>
  <si>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</si>
  <si>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</si>
  <si>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</si>
  <si>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</si>
  <si>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</si>
  <si>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</si>
  <si>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</si>
  <si>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</si>
  <si>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</si>
  <si>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</si>
  <si>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</si>
  <si>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</si>
  <si>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</si>
  <si>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</si>
  <si>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</si>
  <si>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</si>
  <si>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</si>
  <si>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</si>
  <si>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</si>
  <si>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</si>
  <si>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</si>
  <si>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</si>
  <si>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</si>
  <si>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</si>
  <si>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</si>
  <si>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</si>
  <si>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</si>
  <si>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</si>
  <si>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</si>
  <si>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</si>
  <si>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</si>
  <si>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</si>
  <si>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</si>
  <si>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</si>
  <si>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</si>
  <si>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</si>
  <si>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</si>
  <si>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</si>
  <si>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</si>
  <si>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</si>
  <si>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</si>
  <si>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</si>
  <si>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</si>
  <si>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</si>
  <si>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</si>
  <si>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</si>
  <si>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</si>
  <si>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</si>
  <si>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</si>
  <si>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</si>
  <si>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</si>
  <si>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</si>
  <si>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</si>
  <si>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</si>
  <si>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</si>
  <si>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</si>
  <si>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</si>
  <si>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</si>
  <si>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</si>
  <si>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</si>
  <si>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</si>
  <si>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</si>
  <si>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</si>
  <si>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</si>
  <si>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</si>
  <si>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</si>
  <si>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</si>
  <si>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</si>
  <si>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</si>
  <si>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</si>
  <si>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</si>
  <si>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</si>
  <si>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</si>
  <si>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</si>
  <si>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</si>
  <si>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</si>
  <si>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</si>
  <si>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</si>
  <si>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</si>
  <si>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</si>
  <si>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</si>
  <si>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</si>
  <si>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</si>
  <si>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</si>
  <si>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</si>
  <si>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</si>
  <si>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</si>
  <si>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</si>
  <si>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</si>
  <si>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</si>
  <si>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</si>
  <si>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</si>
  <si>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</si>
  <si>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</si>
  <si>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</si>
  <si>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</si>
  <si>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</si>
  <si>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</si>
  <si>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</si>
  <si>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</si>
  <si>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</si>
  <si>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</si>
  <si>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</si>
  <si>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</si>
  <si>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</si>
  <si>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</si>
  <si>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</si>
  <si>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</si>
  <si>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</si>
  <si>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</si>
  <si>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</si>
  <si>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</si>
  <si>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</si>
  <si>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</si>
  <si>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</si>
  <si>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</si>
  <si>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</si>
  <si>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</si>
  <si>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</si>
  <si>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</si>
  <si>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</si>
  <si>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</si>
  <si>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</si>
  <si>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</si>
  <si>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</si>
  <si>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</si>
  <si>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</si>
  <si>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</si>
  <si>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</si>
  <si>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</si>
  <si>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</si>
  <si>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</si>
  <si>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</si>
  <si>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</si>
  <si>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</si>
  <si>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</si>
  <si>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</si>
  <si>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</si>
  <si>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</si>
  <si>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</si>
  <si>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</si>
  <si>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</si>
  <si>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</si>
  <si>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</si>
  <si>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</si>
  <si>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</si>
  <si>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</si>
  <si>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</si>
  <si>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</si>
  <si>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</si>
  <si>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</si>
  <si>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</si>
  <si>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</si>
  <si>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</si>
  <si>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</si>
  <si>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</si>
  <si>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</si>
  <si>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</si>
  <si>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</si>
  <si>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</si>
  <si>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</si>
  <si>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</si>
  <si>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</si>
  <si>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</si>
  <si>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</si>
  <si>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</si>
  <si>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</si>
  <si>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</si>
  <si>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</si>
  <si>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</si>
  <si>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</si>
  <si>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</si>
  <si>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</si>
  <si>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</si>
  <si>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</si>
  <si>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</si>
  <si>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</si>
  <si>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</si>
  <si>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</si>
  <si>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</si>
  <si>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</si>
  <si>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</si>
  <si>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</si>
  <si>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</si>
  <si>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</si>
  <si>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</si>
  <si>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</si>
  <si>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</si>
  <si>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</si>
  <si>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</si>
  <si>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</si>
  <si>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</si>
  <si>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</si>
  <si>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</si>
  <si>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</si>
  <si>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</si>
  <si>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</si>
  <si>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</si>
  <si>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</si>
  <si>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</si>
  <si>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</si>
  <si>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</si>
  <si>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</si>
  <si>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</si>
  <si>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</si>
  <si>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</si>
  <si>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</si>
  <si>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</si>
  <si>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</si>
  <si>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</si>
  <si>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</si>
  <si>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</si>
  <si>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</si>
  <si>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</si>
  <si>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</si>
  <si>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</si>
  <si>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</si>
  <si>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</si>
  <si>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</si>
  <si>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</si>
  <si>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</si>
  <si>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</si>
  <si>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</si>
  <si>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</si>
  <si>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</si>
  <si>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</si>
  <si>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</si>
  <si>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</si>
  <si>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</si>
  <si>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</si>
  <si>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</si>
  <si>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</si>
  <si>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</si>
  <si>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</si>
  <si>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</si>
  <si>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</si>
  <si>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</si>
  <si>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</si>
  <si>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</si>
  <si>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</si>
  <si>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</si>
  <si>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</si>
  <si>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</si>
  <si>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</si>
  <si>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</si>
  <si>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</si>
  <si>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</si>
  <si>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</si>
  <si>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</si>
  <si>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</si>
  <si>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</si>
  <si>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</si>
  <si>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</si>
  <si>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</si>
  <si>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</si>
  <si>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</si>
  <si>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</si>
  <si>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</si>
  <si>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</si>
  <si>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</si>
  <si>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</si>
  <si>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</si>
  <si>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</si>
  <si>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</si>
  <si>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</si>
  <si>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</si>
  <si>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</si>
  <si>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</si>
  <si>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</si>
  <si>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</si>
  <si>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</si>
  <si>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</si>
  <si>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</si>
  <si>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</si>
  <si>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</si>
  <si>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</si>
  <si>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</si>
  <si>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</si>
  <si>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</si>
  <si>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</si>
  <si>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</si>
  <si>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</si>
  <si>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</si>
  <si>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</si>
  <si>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</si>
  <si>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</si>
  <si>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</si>
  <si>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</si>
  <si>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</si>
  <si>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</si>
  <si>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</si>
  <si>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</si>
  <si>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</si>
  <si>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</si>
  <si>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</si>
  <si>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</si>
  <si>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</si>
  <si>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</si>
  <si>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</si>
  <si>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</si>
  <si>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</si>
  <si>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</si>
  <si>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</si>
  <si>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</si>
  <si>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</si>
  <si>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</si>
  <si>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</si>
  <si>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</si>
  <si>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</si>
  <si>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</si>
  <si>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</si>
  <si>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</si>
  <si>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</si>
  <si>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</si>
  <si>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</si>
  <si>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</si>
  <si>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</si>
  <si>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</si>
  <si>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</si>
  <si>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</si>
  <si>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</si>
  <si>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</si>
  <si>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</si>
  <si>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</si>
  <si>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</si>
  <si>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</si>
  <si>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</si>
  <si>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</si>
  <si>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</si>
  <si>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</si>
  <si>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</si>
  <si>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</si>
  <si>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</si>
  <si>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</si>
  <si>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</si>
  <si>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</si>
  <si>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</si>
  <si>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</si>
  <si>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</si>
  <si>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</si>
  <si>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</si>
  <si>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</si>
  <si>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</si>
  <si>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</si>
  <si>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</si>
  <si>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</si>
  <si>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</si>
  <si>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</si>
  <si>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</si>
  <si>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</si>
  <si>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</si>
  <si>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</si>
  <si>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</si>
  <si>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</si>
  <si>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</si>
  <si>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</si>
  <si>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</si>
  <si>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</si>
  <si>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</si>
  <si>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</si>
  <si>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</si>
  <si>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</si>
  <si>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</si>
  <si>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</si>
  <si>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</si>
  <si>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</si>
  <si>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</si>
  <si>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</si>
  <si>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</si>
  <si>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</si>
  <si>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</si>
  <si>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</si>
  <si>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</si>
  <si>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</si>
  <si>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</si>
  <si>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</si>
  <si>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</si>
  <si>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</si>
  <si>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</si>
  <si>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</si>
  <si>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</si>
  <si>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</si>
  <si>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</si>
  <si>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</si>
  <si>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</si>
  <si>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</si>
  <si>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</si>
  <si>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</si>
  <si>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</si>
  <si>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</si>
  <si>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</si>
  <si>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</si>
  <si>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</si>
  <si>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</si>
  <si>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</si>
  <si>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</si>
  <si>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</si>
  <si>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</si>
  <si>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</si>
  <si>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</si>
  <si>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</si>
  <si>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</si>
  <si>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</si>
  <si>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</si>
  <si>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</si>
  <si>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</si>
  <si>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</si>
  <si>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</si>
  <si>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</si>
  <si>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</si>
  <si>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</si>
  <si>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</si>
  <si>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</si>
  <si>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</si>
  <si>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</si>
  <si>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</si>
  <si>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</si>
  <si>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</si>
  <si>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</si>
  <si>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</si>
  <si>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</si>
  <si>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</si>
  <si>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</si>
  <si>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</si>
  <si>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</si>
  <si>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</si>
  <si>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</si>
  <si>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</si>
  <si>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</si>
  <si>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</si>
  <si>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</si>
  <si>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</si>
  <si>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</si>
  <si>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</si>
  <si>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</si>
  <si>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</si>
  <si>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</si>
  <si>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</si>
  <si>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</si>
  <si>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</si>
  <si>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</si>
  <si>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</si>
  <si>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</si>
  <si>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</si>
  <si>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</si>
  <si>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</si>
  <si>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</si>
  <si>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</si>
  <si>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</si>
  <si>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</si>
  <si>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</si>
  <si>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</si>
  <si>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</si>
  <si>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</si>
  <si>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</si>
  <si>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</si>
  <si>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</si>
  <si>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</si>
  <si>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</si>
  <si>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</si>
  <si>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</si>
  <si>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</si>
  <si>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</si>
  <si>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</si>
  <si>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</si>
  <si>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</si>
  <si>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</si>
  <si>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</si>
  <si>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</si>
  <si>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</si>
  <si>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</si>
  <si>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</si>
  <si>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</si>
  <si>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</si>
  <si>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</si>
  <si>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</si>
  <si>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</si>
  <si>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</si>
  <si>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</si>
  <si>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</si>
  <si>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</si>
  <si>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</si>
  <si>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</si>
  <si>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</si>
  <si>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</si>
  <si>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</si>
  <si>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</si>
  <si>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</si>
  <si>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</si>
  <si>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</si>
  <si>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</si>
  <si>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</si>
  <si>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</si>
  <si>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</si>
  <si>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</si>
  <si>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</si>
  <si>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</si>
  <si>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</si>
  <si>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</si>
  <si>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</si>
  <si>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</si>
  <si>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</si>
  <si>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</si>
  <si>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</si>
  <si>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</si>
  <si>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</si>
  <si>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</si>
  <si>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</si>
  <si>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</si>
  <si>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</si>
  <si>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</si>
  <si>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</si>
  <si>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</si>
  <si>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</si>
  <si>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</si>
  <si>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</si>
  <si>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</si>
  <si>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</si>
  <si>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</si>
  <si>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</si>
  <si>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</si>
  <si>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</si>
  <si>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</si>
  <si>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</si>
  <si>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</si>
  <si>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</si>
  <si>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</si>
  <si>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</si>
  <si>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</si>
  <si>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</si>
  <si>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</si>
  <si>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</si>
  <si>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</si>
  <si>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</si>
  <si>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</si>
  <si>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</si>
  <si>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</si>
  <si>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</si>
  <si>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</si>
  <si>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</si>
  <si>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</si>
  <si>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</si>
  <si>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</si>
  <si>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</si>
  <si>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</si>
  <si>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</si>
  <si>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</si>
  <si>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</si>
  <si>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</si>
  <si>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</si>
  <si>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</si>
  <si>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</si>
  <si>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</si>
  <si>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</si>
  <si>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</si>
  <si>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</si>
  <si>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</si>
  <si>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</si>
  <si>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</si>
  <si>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</si>
  <si>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</si>
  <si>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</si>
  <si>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</si>
  <si>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</si>
  <si>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</si>
  <si>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</si>
  <si>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</si>
  <si>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</si>
  <si>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</si>
  <si>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</si>
  <si>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</si>
  <si>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</si>
  <si>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</si>
  <si>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</si>
  <si>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</si>
  <si>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</si>
  <si>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</si>
  <si>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</si>
  <si>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</si>
  <si>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</si>
  <si>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</si>
  <si>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</si>
  <si>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</si>
  <si>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Days Enrolled</t>
  </si>
  <si>
    <t>category</t>
  </si>
  <si>
    <t>Dr.Mehta</t>
  </si>
  <si>
    <t>Dr.Roy</t>
  </si>
  <si>
    <t>Dr.Sharma</t>
  </si>
  <si>
    <t>Dr.Sinha</t>
  </si>
  <si>
    <t>Head Name</t>
  </si>
  <si>
    <t>Scholarship&gt;50%</t>
  </si>
  <si>
    <t>Net fee</t>
  </si>
  <si>
    <t xml:space="preserve"> Academic Year</t>
  </si>
  <si>
    <t>completed more than 100</t>
  </si>
  <si>
    <t>Row Labels</t>
  </si>
  <si>
    <t>Grand Total</t>
  </si>
  <si>
    <t>second heigest -GPA</t>
  </si>
  <si>
    <t>Average of GPA</t>
  </si>
  <si>
    <t>total students</t>
  </si>
  <si>
    <t>Total Scholarship</t>
  </si>
  <si>
    <t>Average GPA</t>
  </si>
  <si>
    <t>Days Completed</t>
  </si>
  <si>
    <t>Index-match(Stu.ID to 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</si>
</sst>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"/>
    <numFmt numFmtId="173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16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73" fontId="0" fillId="0" borderId="0" xfId="0" applyNumberFormat="1"/>
    <xf numFmtId="0" fontId="0" fillId="0" borderId="1" xfId="0" pivotButton="1" applyBorder="1"/>
    <xf numFmtId="173" fontId="0" fillId="0" borderId="1" xfId="0" applyNumberFormat="1" applyBorder="1"/>
    <xf numFmtId="2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166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</cellXfs>
  <cellStyles count="1">
    <cellStyle name="Normal" xfId="0" builtinId="0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73" formatCode="&quot;₹&quot;\ #,##0"/>
    </dxf>
    <dxf>
      <numFmt numFmtId="173" formatCode="&quot;₹&quot;\ #,##0"/>
    </dxf>
    <dxf>
      <numFmt numFmtId="172" formatCode="&quot;₹&quot;\ #,##0.0"/>
    </dxf>
    <dxf>
      <numFmt numFmtId="173" formatCode="&quot;₹&quot;\ #,##0"/>
    </dxf>
    <dxf>
      <numFmt numFmtId="172" formatCode="&quot;₹&quot;\ #,##0.0"/>
    </dxf>
    <dxf>
      <numFmt numFmtId="173" formatCode="&quot;₹&quot;\ #,##0"/>
    </dxf>
    <dxf>
      <numFmt numFmtId="172" formatCode="&quot;₹&quot;\ #,##0.0"/>
    </dxf>
    <dxf>
      <numFmt numFmtId="172" formatCode="&quot;₹&quot;\ #,##0.0"/>
    </dxf>
    <dxf>
      <numFmt numFmtId="171" formatCode="&quot;₹&quot;\ #,##0.00"/>
    </dxf>
    <dxf>
      <numFmt numFmtId="171" formatCode="&quot;₹&quot;\ #,##0.00"/>
    </dxf>
    <dxf>
      <numFmt numFmtId="171" formatCode="&quot;₹&quot;\ #,##0.00"/>
    </dxf>
    <dxf>
      <numFmt numFmtId="171" formatCode="&quot;₹&quot;\ #,##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4.627372106479" createdVersion="8" refreshedVersion="8" minRefreshableVersion="3" recordCount="1200" xr:uid="{08FEF6F4-32DD-4139-95C8-6049B9857167}">
  <cacheSource type="worksheet">
    <worksheetSource ref="A1:J1201" sheet="University"/>
  </cacheSource>
  <cacheFields count="10">
    <cacheField name="Student ID" numFmtId="0">
      <sharedItems/>
    </cacheField>
    <cacheField name="Student Name" numFmtId="0">
      <sharedItems count="1200">
        <s v="Student_0"/>
        <s v="Student_1"/>
        <s v="Student_2"/>
        <s v="Student_3"/>
        <s v="Student_4"/>
        <s v="Student_5"/>
        <s v="Student_6"/>
        <s v="Student_7"/>
        <s v="Student_8"/>
        <s v="Student_9"/>
        <s v="Student_10"/>
        <s v="Student_11"/>
        <s v="Student_12"/>
        <s v="Student_13"/>
        <s v="Student_14"/>
        <s v="Student_15"/>
        <s v="Student_16"/>
        <s v="Student_17"/>
        <s v="Student_18"/>
        <s v="Student_19"/>
        <s v="Student_20"/>
        <s v="Student_21"/>
        <s v="Student_22"/>
        <s v="Student_23"/>
        <s v="Student_24"/>
        <s v="Student_25"/>
        <s v="Student_26"/>
        <s v="Student_27"/>
        <s v="Student_28"/>
        <s v="Student_29"/>
        <s v="Student_30"/>
        <s v="Student_31"/>
        <s v="Student_32"/>
        <s v="Student_33"/>
        <s v="Student_34"/>
        <s v="Student_35"/>
        <s v="Student_36"/>
        <s v="Student_37"/>
        <s v="Student_38"/>
        <s v="Student_39"/>
        <s v="Student_40"/>
        <s v="Student_41"/>
        <s v="Student_42"/>
        <s v="Student_43"/>
        <s v="Student_44"/>
        <s v="Student_45"/>
        <s v="Student_46"/>
        <s v="Student_47"/>
        <s v="Student_48"/>
        <s v="Student_49"/>
        <s v="Student_50"/>
        <s v="Student_51"/>
        <s v="Student_52"/>
        <s v="Student_53"/>
        <s v="Student_54"/>
        <s v="Student_55"/>
        <s v="Student_56"/>
        <s v="Student_57"/>
        <s v="Student_58"/>
        <s v="Student_59"/>
        <s v="Student_60"/>
        <s v="Student_61"/>
        <s v="Student_62"/>
        <s v="Student_63"/>
        <s v="Student_64"/>
        <s v="Student_65"/>
        <s v="Student_66"/>
        <s v="Student_67"/>
        <s v="Student_68"/>
        <s v="Student_69"/>
        <s v="Student_70"/>
        <s v="Student_71"/>
        <s v="Student_72"/>
        <s v="Student_73"/>
        <s v="Student_74"/>
        <s v="Student_75"/>
        <s v="Student_76"/>
        <s v="Student_77"/>
        <s v="Student_78"/>
        <s v="Student_79"/>
        <s v="Student_80"/>
        <s v="Student_81"/>
        <s v="Student_82"/>
        <s v="Student_83"/>
        <s v="Student_84"/>
        <s v="Student_85"/>
        <s v="Student_86"/>
        <s v="Student_87"/>
        <s v="Student_88"/>
        <s v="Student_89"/>
        <s v="Student_90"/>
        <s v="Student_91"/>
        <s v="Student_92"/>
        <s v="Student_93"/>
        <s v="Student_94"/>
        <s v="Student_95"/>
        <s v="Student_96"/>
        <s v="Student_97"/>
        <s v="Student_98"/>
        <s v="Student_99"/>
        <s v="Student_100"/>
        <s v="Student_101"/>
        <s v="Student_102"/>
        <s v="Student_103"/>
        <s v="Student_104"/>
        <s v="Student_105"/>
        <s v="Student_106"/>
        <s v="Student_107"/>
        <s v="Student_108"/>
        <s v="Student_109"/>
        <s v="Student_110"/>
        <s v="Student_111"/>
        <s v="Student_112"/>
        <s v="Student_113"/>
        <s v="Student_114"/>
        <s v="Student_115"/>
        <s v="Student_116"/>
        <s v="Student_117"/>
        <s v="Student_118"/>
        <s v="Student_119"/>
        <s v="Student_120"/>
        <s v="Student_121"/>
        <s v="Student_122"/>
        <s v="Student_123"/>
        <s v="Student_124"/>
        <s v="Student_125"/>
        <s v="Student_126"/>
        <s v="Student_127"/>
        <s v="Student_128"/>
        <s v="Student_129"/>
        <s v="Student_130"/>
        <s v="Student_131"/>
        <s v="Student_132"/>
        <s v="Student_133"/>
        <s v="Student_134"/>
        <s v="Student_135"/>
        <s v="Student_136"/>
        <s v="Student_137"/>
        <s v="Student_138"/>
        <s v="Student_139"/>
        <s v="Student_140"/>
        <s v="Student_141"/>
        <s v="Student_142"/>
        <s v="Student_143"/>
        <s v="Student_144"/>
        <s v="Student_145"/>
        <s v="Student_146"/>
        <s v="Student_147"/>
        <s v="Student_148"/>
        <s v="Student_149"/>
        <s v="Student_150"/>
        <s v="Student_151"/>
        <s v="Student_152"/>
        <s v="Student_153"/>
        <s v="Student_154"/>
        <s v="Student_155"/>
        <s v="Student_156"/>
        <s v="Student_157"/>
        <s v="Student_158"/>
        <s v="Student_159"/>
        <s v="Student_160"/>
        <s v="Student_161"/>
        <s v="Student_162"/>
        <s v="Student_163"/>
        <s v="Student_164"/>
        <s v="Student_165"/>
        <s v="Student_166"/>
        <s v="Student_167"/>
        <s v="Student_168"/>
        <s v="Student_169"/>
        <s v="Student_170"/>
        <s v="Student_171"/>
        <s v="Student_172"/>
        <s v="Student_173"/>
        <s v="Student_174"/>
        <s v="Student_175"/>
        <s v="Student_176"/>
        <s v="Student_177"/>
        <s v="Student_178"/>
        <s v="Student_179"/>
        <s v="Student_180"/>
        <s v="Student_181"/>
        <s v="Student_182"/>
        <s v="Student_183"/>
        <s v="Student_184"/>
        <s v="Student_185"/>
        <s v="Student_186"/>
        <s v="Student_187"/>
        <s v="Student_188"/>
        <s v="Student_189"/>
        <s v="Student_190"/>
        <s v="Student_191"/>
        <s v="Student_192"/>
        <s v="Student_193"/>
        <s v="Student_194"/>
        <s v="Student_195"/>
        <s v="Student_196"/>
        <s v="Student_197"/>
        <s v="Student_198"/>
        <s v="Student_199"/>
        <s v="Student_200"/>
        <s v="Student_201"/>
        <s v="Student_202"/>
        <s v="Student_203"/>
        <s v="Student_204"/>
        <s v="Student_205"/>
        <s v="Student_206"/>
        <s v="Student_207"/>
        <s v="Student_208"/>
        <s v="Student_209"/>
        <s v="Student_210"/>
        <s v="Student_211"/>
        <s v="Student_212"/>
        <s v="Student_213"/>
        <s v="Student_214"/>
        <s v="Student_215"/>
        <s v="Student_216"/>
        <s v="Student_217"/>
        <s v="Student_218"/>
        <s v="Student_219"/>
        <s v="Student_220"/>
        <s v="Student_221"/>
        <s v="Student_222"/>
        <s v="Student_223"/>
        <s v="Student_224"/>
        <s v="Student_225"/>
        <s v="Student_226"/>
        <s v="Student_227"/>
        <s v="Student_228"/>
        <s v="Student_229"/>
        <s v="Student_230"/>
        <s v="Student_231"/>
        <s v="Student_232"/>
        <s v="Student_233"/>
        <s v="Student_234"/>
        <s v="Student_235"/>
        <s v="Student_236"/>
        <s v="Student_237"/>
        <s v="Student_238"/>
        <s v="Student_239"/>
        <s v="Student_240"/>
        <s v="Student_241"/>
        <s v="Student_242"/>
        <s v="Student_243"/>
        <s v="Student_244"/>
        <s v="Student_245"/>
        <s v="Student_246"/>
        <s v="Student_247"/>
        <s v="Student_248"/>
        <s v="Student_249"/>
        <s v="Student_250"/>
        <s v="Student_251"/>
        <s v="Student_252"/>
        <s v="Student_253"/>
        <s v="Student_254"/>
        <s v="Student_255"/>
        <s v="Student_256"/>
        <s v="Student_257"/>
        <s v="Student_258"/>
        <s v="Student_259"/>
        <s v="Student_260"/>
        <s v="Student_261"/>
        <s v="Student_262"/>
        <s v="Student_263"/>
        <s v="Student_264"/>
        <s v="Student_265"/>
        <s v="Student_266"/>
        <s v="Student_267"/>
        <s v="Student_268"/>
        <s v="Student_269"/>
        <s v="Student_270"/>
        <s v="Student_271"/>
        <s v="Student_272"/>
        <s v="Student_273"/>
        <s v="Student_274"/>
        <s v="Student_275"/>
        <s v="Student_276"/>
        <s v="Student_277"/>
        <s v="Student_278"/>
        <s v="Student_279"/>
        <s v="Student_280"/>
        <s v="Student_281"/>
        <s v="Student_282"/>
        <s v="Student_283"/>
        <s v="Student_284"/>
        <s v="Student_285"/>
        <s v="Student_286"/>
        <s v="Student_287"/>
        <s v="Student_288"/>
        <s v="Student_289"/>
        <s v="Student_290"/>
        <s v="Student_291"/>
        <s v="Student_292"/>
        <s v="Student_293"/>
        <s v="Student_294"/>
        <s v="Student_295"/>
        <s v="Student_296"/>
        <s v="Student_297"/>
        <s v="Student_298"/>
        <s v="Student_299"/>
        <s v="Student_300"/>
        <s v="Student_301"/>
        <s v="Student_302"/>
        <s v="Student_303"/>
        <s v="Student_304"/>
        <s v="Student_305"/>
        <s v="Student_306"/>
        <s v="Student_307"/>
        <s v="Student_308"/>
        <s v="Student_309"/>
        <s v="Student_310"/>
        <s v="Student_311"/>
        <s v="Student_312"/>
        <s v="Student_313"/>
        <s v="Student_314"/>
        <s v="Student_315"/>
        <s v="Student_316"/>
        <s v="Student_317"/>
        <s v="Student_318"/>
        <s v="Student_319"/>
        <s v="Student_320"/>
        <s v="Student_321"/>
        <s v="Student_322"/>
        <s v="Student_323"/>
        <s v="Student_324"/>
        <s v="Student_325"/>
        <s v="Student_326"/>
        <s v="Student_327"/>
        <s v="Student_328"/>
        <s v="Student_329"/>
        <s v="Student_330"/>
        <s v="Student_331"/>
        <s v="Student_332"/>
        <s v="Student_333"/>
        <s v="Student_334"/>
        <s v="Student_335"/>
        <s v="Student_336"/>
        <s v="Student_337"/>
        <s v="Student_338"/>
        <s v="Student_339"/>
        <s v="Student_340"/>
        <s v="Student_341"/>
        <s v="Student_342"/>
        <s v="Student_343"/>
        <s v="Student_344"/>
        <s v="Student_345"/>
        <s v="Student_346"/>
        <s v="Student_347"/>
        <s v="Student_348"/>
        <s v="Student_349"/>
        <s v="Student_350"/>
        <s v="Student_351"/>
        <s v="Student_352"/>
        <s v="Student_353"/>
        <s v="Student_354"/>
        <s v="Student_355"/>
        <s v="Student_356"/>
        <s v="Student_357"/>
        <s v="Student_358"/>
        <s v="Student_359"/>
        <s v="Student_360"/>
        <s v="Student_361"/>
        <s v="Student_362"/>
        <s v="Student_363"/>
        <s v="Student_364"/>
        <s v="Student_365"/>
        <s v="Student_366"/>
        <s v="Student_367"/>
        <s v="Student_368"/>
        <s v="Student_369"/>
        <s v="Student_370"/>
        <s v="Student_371"/>
        <s v="Student_372"/>
        <s v="Student_373"/>
        <s v="Student_374"/>
        <s v="Student_375"/>
        <s v="Student_376"/>
        <s v="Student_377"/>
        <s v="Student_378"/>
        <s v="Student_379"/>
        <s v="Student_380"/>
        <s v="Student_381"/>
        <s v="Student_382"/>
        <s v="Student_383"/>
        <s v="Student_384"/>
        <s v="Student_385"/>
        <s v="Student_386"/>
        <s v="Student_387"/>
        <s v="Student_388"/>
        <s v="Student_389"/>
        <s v="Student_390"/>
        <s v="Student_391"/>
        <s v="Student_392"/>
        <s v="Student_393"/>
        <s v="Student_394"/>
        <s v="Student_395"/>
        <s v="Student_396"/>
        <s v="Student_397"/>
        <s v="Student_398"/>
        <s v="Student_399"/>
        <s v="Student_400"/>
        <s v="Student_401"/>
        <s v="Student_402"/>
        <s v="Student_403"/>
        <s v="Student_404"/>
        <s v="Student_405"/>
        <s v="Student_406"/>
        <s v="Student_407"/>
        <s v="Student_408"/>
        <s v="Student_409"/>
        <s v="Student_410"/>
        <s v="Student_411"/>
        <s v="Student_412"/>
        <s v="Student_413"/>
        <s v="Student_414"/>
        <s v="Student_415"/>
        <s v="Student_416"/>
        <s v="Student_417"/>
        <s v="Student_418"/>
        <s v="Student_419"/>
        <s v="Student_420"/>
        <s v="Student_421"/>
        <s v="Student_422"/>
        <s v="Student_423"/>
        <s v="Student_424"/>
        <s v="Student_425"/>
        <s v="Student_426"/>
        <s v="Student_427"/>
        <s v="Student_428"/>
        <s v="Student_429"/>
        <s v="Student_430"/>
        <s v="Student_431"/>
        <s v="Student_432"/>
        <s v="Student_433"/>
        <s v="Student_434"/>
        <s v="Student_435"/>
        <s v="Student_436"/>
        <s v="Student_437"/>
        <s v="Student_438"/>
        <s v="Student_439"/>
        <s v="Student_440"/>
        <s v="Student_441"/>
        <s v="Student_442"/>
        <s v="Student_443"/>
        <s v="Student_444"/>
        <s v="Student_445"/>
        <s v="Student_446"/>
        <s v="Student_447"/>
        <s v="Student_448"/>
        <s v="Student_449"/>
        <s v="Student_450"/>
        <s v="Student_451"/>
        <s v="Student_452"/>
        <s v="Student_453"/>
        <s v="Student_454"/>
        <s v="Student_455"/>
        <s v="Student_456"/>
        <s v="Student_457"/>
        <s v="Student_458"/>
        <s v="Student_459"/>
        <s v="Student_460"/>
        <s v="Student_461"/>
        <s v="Student_462"/>
        <s v="Student_463"/>
        <s v="Student_464"/>
        <s v="Student_465"/>
        <s v="Student_466"/>
        <s v="Student_467"/>
        <s v="Student_468"/>
        <s v="Student_469"/>
        <s v="Student_470"/>
        <s v="Student_471"/>
        <s v="Student_472"/>
        <s v="Student_473"/>
        <s v="Student_474"/>
        <s v="Student_475"/>
        <s v="Student_476"/>
        <s v="Student_477"/>
        <s v="Student_478"/>
        <s v="Student_479"/>
        <s v="Student_480"/>
        <s v="Student_481"/>
        <s v="Student_482"/>
        <s v="Student_483"/>
        <s v="Student_484"/>
        <s v="Student_485"/>
        <s v="Student_486"/>
        <s v="Student_487"/>
        <s v="Student_488"/>
        <s v="Student_489"/>
        <s v="Student_490"/>
        <s v="Student_491"/>
        <s v="Student_492"/>
        <s v="Student_493"/>
        <s v="Student_494"/>
        <s v="Student_495"/>
        <s v="Student_496"/>
        <s v="Student_497"/>
        <s v="Student_498"/>
        <s v="Student_499"/>
        <s v="Student_500"/>
        <s v="Student_501"/>
        <s v="Student_502"/>
        <s v="Student_503"/>
        <s v="Student_504"/>
        <s v="Student_505"/>
        <s v="Student_506"/>
        <s v="Student_507"/>
        <s v="Student_508"/>
        <s v="Student_509"/>
        <s v="Student_510"/>
        <s v="Student_511"/>
        <s v="Student_512"/>
        <s v="Student_513"/>
        <s v="Student_514"/>
        <s v="Student_515"/>
        <s v="Student_516"/>
        <s v="Student_517"/>
        <s v="Student_518"/>
        <s v="Student_519"/>
        <s v="Student_520"/>
        <s v="Student_521"/>
        <s v="Student_522"/>
        <s v="Student_523"/>
        <s v="Student_524"/>
        <s v="Student_525"/>
        <s v="Student_526"/>
        <s v="Student_527"/>
        <s v="Student_528"/>
        <s v="Student_529"/>
        <s v="Student_530"/>
        <s v="Student_531"/>
        <s v="Student_532"/>
        <s v="Student_533"/>
        <s v="Student_534"/>
        <s v="Student_535"/>
        <s v="Student_536"/>
        <s v="Student_537"/>
        <s v="Student_538"/>
        <s v="Student_539"/>
        <s v="Student_540"/>
        <s v="Student_541"/>
        <s v="Student_542"/>
        <s v="Student_543"/>
        <s v="Student_544"/>
        <s v="Student_545"/>
        <s v="Student_546"/>
        <s v="Student_547"/>
        <s v="Student_548"/>
        <s v="Student_549"/>
        <s v="Student_550"/>
        <s v="Student_551"/>
        <s v="Student_552"/>
        <s v="Student_553"/>
        <s v="Student_554"/>
        <s v="Student_555"/>
        <s v="Student_556"/>
        <s v="Student_557"/>
        <s v="Student_558"/>
        <s v="Student_559"/>
        <s v="Student_560"/>
        <s v="Student_561"/>
        <s v="Student_562"/>
        <s v="Student_563"/>
        <s v="Student_564"/>
        <s v="Student_565"/>
        <s v="Student_566"/>
        <s v="Student_567"/>
        <s v="Student_568"/>
        <s v="Student_569"/>
        <s v="Student_570"/>
        <s v="Student_571"/>
        <s v="Student_572"/>
        <s v="Student_573"/>
        <s v="Student_574"/>
        <s v="Student_575"/>
        <s v="Student_576"/>
        <s v="Student_577"/>
        <s v="Student_578"/>
        <s v="Student_579"/>
        <s v="Student_580"/>
        <s v="Student_581"/>
        <s v="Student_582"/>
        <s v="Student_583"/>
        <s v="Student_584"/>
        <s v="Student_585"/>
        <s v="Student_586"/>
        <s v="Student_587"/>
        <s v="Student_588"/>
        <s v="Student_589"/>
        <s v="Student_590"/>
        <s v="Student_591"/>
        <s v="Student_592"/>
        <s v="Student_593"/>
        <s v="Student_594"/>
        <s v="Student_595"/>
        <s v="Student_596"/>
        <s v="Student_597"/>
        <s v="Student_598"/>
        <s v="Student_599"/>
        <s v="Student_600"/>
        <s v="Student_601"/>
        <s v="Student_602"/>
        <s v="Student_603"/>
        <s v="Student_604"/>
        <s v="Student_605"/>
        <s v="Student_606"/>
        <s v="Student_607"/>
        <s v="Student_608"/>
        <s v="Student_609"/>
        <s v="Student_610"/>
        <s v="Student_611"/>
        <s v="Student_612"/>
        <s v="Student_613"/>
        <s v="Student_614"/>
        <s v="Student_615"/>
        <s v="Student_616"/>
        <s v="Student_617"/>
        <s v="Student_618"/>
        <s v="Student_619"/>
        <s v="Student_620"/>
        <s v="Student_621"/>
        <s v="Student_622"/>
        <s v="Student_623"/>
        <s v="Student_624"/>
        <s v="Student_625"/>
        <s v="Student_626"/>
        <s v="Student_627"/>
        <s v="Student_628"/>
        <s v="Student_629"/>
        <s v="Student_630"/>
        <s v="Student_631"/>
        <s v="Student_632"/>
        <s v="Student_633"/>
        <s v="Student_634"/>
        <s v="Student_635"/>
        <s v="Student_636"/>
        <s v="Student_637"/>
        <s v="Student_638"/>
        <s v="Student_639"/>
        <s v="Student_640"/>
        <s v="Student_641"/>
        <s v="Student_642"/>
        <s v="Student_643"/>
        <s v="Student_644"/>
        <s v="Student_645"/>
        <s v="Student_646"/>
        <s v="Student_647"/>
        <s v="Student_648"/>
        <s v="Student_649"/>
        <s v="Student_650"/>
        <s v="Student_651"/>
        <s v="Student_652"/>
        <s v="Student_653"/>
        <s v="Student_654"/>
        <s v="Student_655"/>
        <s v="Student_656"/>
        <s v="Student_657"/>
        <s v="Student_658"/>
        <s v="Student_659"/>
        <s v="Student_660"/>
        <s v="Student_661"/>
        <s v="Student_662"/>
        <s v="Student_663"/>
        <s v="Student_664"/>
        <s v="Student_665"/>
        <s v="Student_666"/>
        <s v="Student_667"/>
        <s v="Student_668"/>
        <s v="Student_669"/>
        <s v="Student_670"/>
        <s v="Student_671"/>
        <s v="Student_672"/>
        <s v="Student_673"/>
        <s v="Student_674"/>
        <s v="Student_675"/>
        <s v="Student_676"/>
        <s v="Student_677"/>
        <s v="Student_678"/>
        <s v="Student_679"/>
        <s v="Student_680"/>
        <s v="Student_681"/>
        <s v="Student_682"/>
        <s v="Student_683"/>
        <s v="Student_684"/>
        <s v="Student_685"/>
        <s v="Student_686"/>
        <s v="Student_687"/>
        <s v="Student_688"/>
        <s v="Student_689"/>
        <s v="Student_690"/>
        <s v="Student_691"/>
        <s v="Student_692"/>
        <s v="Student_693"/>
        <s v="Student_694"/>
        <s v="Student_695"/>
        <s v="Student_696"/>
        <s v="Student_697"/>
        <s v="Student_698"/>
        <s v="Student_699"/>
        <s v="Student_700"/>
        <s v="Student_701"/>
        <s v="Student_702"/>
        <s v="Student_703"/>
        <s v="Student_704"/>
        <s v="Student_705"/>
        <s v="Student_706"/>
        <s v="Student_707"/>
        <s v="Student_708"/>
        <s v="Student_709"/>
        <s v="Student_710"/>
        <s v="Student_711"/>
        <s v="Student_712"/>
        <s v="Student_713"/>
        <s v="Student_714"/>
        <s v="Student_715"/>
        <s v="Student_716"/>
        <s v="Student_717"/>
        <s v="Student_718"/>
        <s v="Student_719"/>
        <s v="Student_720"/>
        <s v="Student_721"/>
        <s v="Student_722"/>
        <s v="Student_723"/>
        <s v="Student_724"/>
        <s v="Student_725"/>
        <s v="Student_726"/>
        <s v="Student_727"/>
        <s v="Student_728"/>
        <s v="Student_729"/>
        <s v="Student_730"/>
        <s v="Student_731"/>
        <s v="Student_732"/>
        <s v="Student_733"/>
        <s v="Student_734"/>
        <s v="Student_735"/>
        <s v="Student_736"/>
        <s v="Student_737"/>
        <s v="Student_738"/>
        <s v="Student_739"/>
        <s v="Student_740"/>
        <s v="Student_741"/>
        <s v="Student_742"/>
        <s v="Student_743"/>
        <s v="Student_744"/>
        <s v="Student_745"/>
        <s v="Student_746"/>
        <s v="Student_747"/>
        <s v="Student_748"/>
        <s v="Student_749"/>
        <s v="Student_750"/>
        <s v="Student_751"/>
        <s v="Student_752"/>
        <s v="Student_753"/>
        <s v="Student_754"/>
        <s v="Student_755"/>
        <s v="Student_756"/>
        <s v="Student_757"/>
        <s v="Student_758"/>
        <s v="Student_759"/>
        <s v="Student_760"/>
        <s v="Student_761"/>
        <s v="Student_762"/>
        <s v="Student_763"/>
        <s v="Student_764"/>
        <s v="Student_765"/>
        <s v="Student_766"/>
        <s v="Student_767"/>
        <s v="Student_768"/>
        <s v="Student_769"/>
        <s v="Student_770"/>
        <s v="Student_771"/>
        <s v="Student_772"/>
        <s v="Student_773"/>
        <s v="Student_774"/>
        <s v="Student_775"/>
        <s v="Student_776"/>
        <s v="Student_777"/>
        <s v="Student_778"/>
        <s v="Student_779"/>
        <s v="Student_780"/>
        <s v="Student_781"/>
        <s v="Student_782"/>
        <s v="Student_783"/>
        <s v="Student_784"/>
        <s v="Student_785"/>
        <s v="Student_786"/>
        <s v="Student_787"/>
        <s v="Student_788"/>
        <s v="Student_789"/>
        <s v="Student_790"/>
        <s v="Student_791"/>
        <s v="Student_792"/>
        <s v="Student_793"/>
        <s v="Student_794"/>
        <s v="Student_795"/>
        <s v="Student_796"/>
        <s v="Student_797"/>
        <s v="Student_798"/>
        <s v="Student_799"/>
        <s v="Student_800"/>
        <s v="Student_801"/>
        <s v="Student_802"/>
        <s v="Student_803"/>
        <s v="Student_804"/>
        <s v="Student_805"/>
        <s v="Student_806"/>
        <s v="Student_807"/>
        <s v="Student_808"/>
        <s v="Student_809"/>
        <s v="Student_810"/>
        <s v="Student_811"/>
        <s v="Student_812"/>
        <s v="Student_813"/>
        <s v="Student_814"/>
        <s v="Student_815"/>
        <s v="Student_816"/>
        <s v="Student_817"/>
        <s v="Student_818"/>
        <s v="Student_819"/>
        <s v="Student_820"/>
        <s v="Student_821"/>
        <s v="Student_822"/>
        <s v="Student_823"/>
        <s v="Student_824"/>
        <s v="Student_825"/>
        <s v="Student_826"/>
        <s v="Student_827"/>
        <s v="Student_828"/>
        <s v="Student_829"/>
        <s v="Student_830"/>
        <s v="Student_831"/>
        <s v="Student_832"/>
        <s v="Student_833"/>
        <s v="Student_834"/>
        <s v="Student_835"/>
        <s v="Student_836"/>
        <s v="Student_837"/>
        <s v="Student_838"/>
        <s v="Student_839"/>
        <s v="Student_840"/>
        <s v="Student_841"/>
        <s v="Student_842"/>
        <s v="Student_843"/>
        <s v="Student_844"/>
        <s v="Student_845"/>
        <s v="Student_846"/>
        <s v="Student_847"/>
        <s v="Student_848"/>
        <s v="Student_849"/>
        <s v="Student_850"/>
        <s v="Student_851"/>
        <s v="Student_852"/>
        <s v="Student_853"/>
        <s v="Student_854"/>
        <s v="Student_855"/>
        <s v="Student_856"/>
        <s v="Student_857"/>
        <s v="Student_858"/>
        <s v="Student_859"/>
        <s v="Student_860"/>
        <s v="Student_861"/>
        <s v="Student_862"/>
        <s v="Student_863"/>
        <s v="Student_864"/>
        <s v="Student_865"/>
        <s v="Student_866"/>
        <s v="Student_867"/>
        <s v="Student_868"/>
        <s v="Student_869"/>
        <s v="Student_870"/>
        <s v="Student_871"/>
        <s v="Student_872"/>
        <s v="Student_873"/>
        <s v="Student_874"/>
        <s v="Student_875"/>
        <s v="Student_876"/>
        <s v="Student_877"/>
        <s v="Student_878"/>
        <s v="Student_879"/>
        <s v="Student_880"/>
        <s v="Student_881"/>
        <s v="Student_882"/>
        <s v="Student_883"/>
        <s v="Student_884"/>
        <s v="Student_885"/>
        <s v="Student_886"/>
        <s v="Student_887"/>
        <s v="Student_888"/>
        <s v="Student_889"/>
        <s v="Student_890"/>
        <s v="Student_891"/>
        <s v="Student_892"/>
        <s v="Student_893"/>
        <s v="Student_894"/>
        <s v="Student_895"/>
        <s v="Student_896"/>
        <s v="Student_897"/>
        <s v="Student_898"/>
        <s v="Student_899"/>
        <s v="Student_900"/>
        <s v="Student_901"/>
        <s v="Student_902"/>
        <s v="Student_903"/>
        <s v="Student_904"/>
        <s v="Student_905"/>
        <s v="Student_906"/>
        <s v="Student_907"/>
        <s v="Student_908"/>
        <s v="Student_909"/>
        <s v="Student_910"/>
        <s v="Student_911"/>
        <s v="Student_912"/>
        <s v="Student_913"/>
        <s v="Student_914"/>
        <s v="Student_915"/>
        <s v="Student_916"/>
        <s v="Student_917"/>
        <s v="Student_918"/>
        <s v="Student_919"/>
        <s v="Student_920"/>
        <s v="Student_921"/>
        <s v="Student_922"/>
        <s v="Student_923"/>
        <s v="Student_924"/>
        <s v="Student_925"/>
        <s v="Student_926"/>
        <s v="Student_927"/>
        <s v="Student_928"/>
        <s v="Student_929"/>
        <s v="Student_930"/>
        <s v="Student_931"/>
        <s v="Student_932"/>
        <s v="Student_933"/>
        <s v="Student_934"/>
        <s v="Student_935"/>
        <s v="Student_936"/>
        <s v="Student_937"/>
        <s v="Student_938"/>
        <s v="Student_939"/>
        <s v="Student_940"/>
        <s v="Student_941"/>
        <s v="Student_942"/>
        <s v="Student_943"/>
        <s v="Student_944"/>
        <s v="Student_945"/>
        <s v="Student_946"/>
        <s v="Student_947"/>
        <s v="Student_948"/>
        <s v="Student_949"/>
        <s v="Student_950"/>
        <s v="Student_951"/>
        <s v="Student_952"/>
        <s v="Student_953"/>
        <s v="Student_954"/>
        <s v="Student_955"/>
        <s v="Student_956"/>
        <s v="Student_957"/>
        <s v="Student_958"/>
        <s v="Student_959"/>
        <s v="Student_960"/>
        <s v="Student_961"/>
        <s v="Student_962"/>
        <s v="Student_963"/>
        <s v="Student_964"/>
        <s v="Student_965"/>
        <s v="Student_966"/>
        <s v="Student_967"/>
        <s v="Student_968"/>
        <s v="Student_969"/>
        <s v="Student_970"/>
        <s v="Student_971"/>
        <s v="Student_972"/>
        <s v="Student_973"/>
        <s v="Student_974"/>
        <s v="Student_975"/>
        <s v="Student_976"/>
        <s v="Student_977"/>
        <s v="Student_978"/>
        <s v="Student_979"/>
        <s v="Student_980"/>
        <s v="Student_981"/>
        <s v="Student_982"/>
        <s v="Student_983"/>
        <s v="Student_984"/>
        <s v="Student_985"/>
        <s v="Student_986"/>
        <s v="Student_987"/>
        <s v="Student_988"/>
        <s v="Student_989"/>
        <s v="Student_990"/>
        <s v="Student_991"/>
        <s v="Student_992"/>
        <s v="Student_993"/>
        <s v="Student_994"/>
        <s v="Student_995"/>
        <s v="Student_996"/>
        <s v="Student_997"/>
        <s v="Student_998"/>
        <s v="Student_999"/>
        <s v="Student_1000"/>
        <s v="Student_1001"/>
        <s v="Student_1002"/>
        <s v="Student_1003"/>
        <s v="Student_1004"/>
        <s v="Student_1005"/>
        <s v="Student_1006"/>
        <s v="Student_1007"/>
        <s v="Student_1008"/>
        <s v="Student_1009"/>
        <s v="Student_1010"/>
        <s v="Student_1011"/>
        <s v="Student_1012"/>
        <s v="Student_1013"/>
        <s v="Student_1014"/>
        <s v="Student_1015"/>
        <s v="Student_1016"/>
        <s v="Student_1017"/>
        <s v="Student_1018"/>
        <s v="Student_1019"/>
        <s v="Student_1020"/>
        <s v="Student_1021"/>
        <s v="Student_1022"/>
        <s v="Student_1023"/>
        <s v="Student_1024"/>
        <s v="Student_1025"/>
        <s v="Student_1026"/>
        <s v="Student_1027"/>
        <s v="Student_1028"/>
        <s v="Student_1029"/>
        <s v="Student_1030"/>
        <s v="Student_1031"/>
        <s v="Student_1032"/>
        <s v="Student_1033"/>
        <s v="Student_1034"/>
        <s v="Student_1035"/>
        <s v="Student_1036"/>
        <s v="Student_1037"/>
        <s v="Student_1038"/>
        <s v="Student_1039"/>
        <s v="Student_1040"/>
        <s v="Student_1041"/>
        <s v="Student_1042"/>
        <s v="Student_1043"/>
        <s v="Student_1044"/>
        <s v="Student_1045"/>
        <s v="Student_1046"/>
        <s v="Student_1047"/>
        <s v="Student_1048"/>
        <s v="Student_1049"/>
        <s v="Student_1050"/>
        <s v="Student_1051"/>
        <s v="Student_1052"/>
        <s v="Student_1053"/>
        <s v="Student_1054"/>
        <s v="Student_1055"/>
        <s v="Student_1056"/>
        <s v="Student_1057"/>
        <s v="Student_1058"/>
        <s v="Student_1059"/>
        <s v="Student_1060"/>
        <s v="Student_1061"/>
        <s v="Student_1062"/>
        <s v="Student_1063"/>
        <s v="Student_1064"/>
        <s v="Student_1065"/>
        <s v="Student_1066"/>
        <s v="Student_1067"/>
        <s v="Student_1068"/>
        <s v="Student_1069"/>
        <s v="Student_1070"/>
        <s v="Student_1071"/>
        <s v="Student_1072"/>
        <s v="Student_1073"/>
        <s v="Student_1074"/>
        <s v="Student_1075"/>
        <s v="Student_1076"/>
        <s v="Student_1077"/>
        <s v="Student_1078"/>
        <s v="Student_1079"/>
        <s v="Student_1080"/>
        <s v="Student_1081"/>
        <s v="Student_1082"/>
        <s v="Student_1083"/>
        <s v="Student_1084"/>
        <s v="Student_1085"/>
        <s v="Student_1086"/>
        <s v="Student_1087"/>
        <s v="Student_1088"/>
        <s v="Student_1089"/>
        <s v="Student_1090"/>
        <s v="Student_1091"/>
        <s v="Student_1092"/>
        <s v="Student_1093"/>
        <s v="Student_1094"/>
        <s v="Student_1095"/>
        <s v="Student_1096"/>
        <s v="Student_1097"/>
        <s v="Student_1098"/>
        <s v="Student_1099"/>
        <s v="Student_1100"/>
        <s v="Student_1101"/>
        <s v="Student_1102"/>
        <s v="Student_1103"/>
        <s v="Student_1104"/>
        <s v="Student_1105"/>
        <s v="Student_1106"/>
        <s v="Student_1107"/>
        <s v="Student_1108"/>
        <s v="Student_1109"/>
        <s v="Student_1110"/>
        <s v="Student_1111"/>
        <s v="Student_1112"/>
        <s v="Student_1113"/>
        <s v="Student_1114"/>
        <s v="Student_1115"/>
        <s v="Student_1116"/>
        <s v="Student_1117"/>
        <s v="Student_1118"/>
        <s v="Student_1119"/>
        <s v="Student_1120"/>
        <s v="Student_1121"/>
        <s v="Student_1122"/>
        <s v="Student_1123"/>
        <s v="Student_1124"/>
        <s v="Student_1125"/>
        <s v="Student_1126"/>
        <s v="Student_1127"/>
        <s v="Student_1128"/>
        <s v="Student_1129"/>
        <s v="Student_1130"/>
        <s v="Student_1131"/>
        <s v="Student_1132"/>
        <s v="Student_1133"/>
        <s v="Student_1134"/>
        <s v="Student_1135"/>
        <s v="Student_1136"/>
        <s v="Student_1137"/>
        <s v="Student_1138"/>
        <s v="Student_1139"/>
        <s v="Student_1140"/>
        <s v="Student_1141"/>
        <s v="Student_1142"/>
        <s v="Student_1143"/>
        <s v="Student_1144"/>
        <s v="Student_1145"/>
        <s v="Student_1146"/>
        <s v="Student_1147"/>
        <s v="Student_1148"/>
        <s v="Student_1149"/>
        <s v="Student_1150"/>
        <s v="Student_1151"/>
        <s v="Student_1152"/>
        <s v="Student_1153"/>
        <s v="Student_1154"/>
        <s v="Student_1155"/>
        <s v="Student_1156"/>
        <s v="Student_1157"/>
        <s v="Student_1158"/>
        <s v="Student_1159"/>
        <s v="Student_1160"/>
        <s v="Student_1161"/>
        <s v="Student_1162"/>
        <s v="Student_1163"/>
        <s v="Student_1164"/>
        <s v="Student_1165"/>
        <s v="Student_1166"/>
        <s v="Student_1167"/>
        <s v="Student_1168"/>
        <s v="Student_1169"/>
        <s v="Student_1170"/>
        <s v="Student_1171"/>
        <s v="Student_1172"/>
        <s v="Student_1173"/>
        <s v="Student_1174"/>
        <s v="Student_1175"/>
        <s v="Student_1176"/>
        <s v="Student_1177"/>
        <s v="Student_1178"/>
        <s v="Student_1179"/>
        <s v="Student_1180"/>
        <s v="Student_1181"/>
        <s v="Student_1182"/>
        <s v="Student_1183"/>
        <s v="Student_1184"/>
        <s v="Student_1185"/>
        <s v="Student_1186"/>
        <s v="Student_1187"/>
        <s v="Student_1188"/>
        <s v="Student_1189"/>
        <s v="Student_1190"/>
        <s v="Student_1191"/>
        <s v="Student_1192"/>
        <s v="Student_1193"/>
        <s v="Student_1194"/>
        <s v="Student_1195"/>
        <s v="Student_1196"/>
        <s v="Student_1197"/>
        <s v="Student_1198"/>
        <s v="Student_1199"/>
      </sharedItems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66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 count="1129">
        <n v="1099"/>
        <n v="4700"/>
        <n v="3408"/>
        <n v="3245"/>
        <n v="4259"/>
        <n v="2831"/>
        <n v="3078"/>
        <n v="6039"/>
        <n v="2208"/>
        <n v="2737"/>
        <n v="2303"/>
        <n v="5301"/>
        <n v="1939"/>
        <n v="7602"/>
        <n v="4188"/>
        <n v="1391"/>
        <n v="8514"/>
        <n v="1973"/>
        <n v="9735"/>
        <n v="9965"/>
        <n v="4963"/>
        <n v="9181"/>
        <n v="6036"/>
        <n v="7133"/>
        <n v="7232"/>
        <n v="6637"/>
        <n v="907"/>
        <n v="2778"/>
        <n v="5935"/>
        <n v="9649"/>
        <n v="5739"/>
        <n v="7715"/>
        <n v="1884"/>
        <n v="3240"/>
        <n v="7220"/>
        <n v="945"/>
        <n v="4478"/>
        <n v="9022"/>
        <n v="5347"/>
        <n v="4324"/>
        <n v="4160"/>
        <n v="9481"/>
        <n v="7957"/>
        <n v="8324"/>
        <n v="5874"/>
        <n v="7817"/>
        <n v="5837"/>
        <n v="7214"/>
        <n v="5349"/>
        <n v="1352"/>
        <n v="3667"/>
        <n v="1955"/>
        <n v="6992"/>
        <n v="4377"/>
        <n v="8884"/>
        <n v="8868"/>
        <n v="9881"/>
        <n v="4541"/>
        <n v="9329"/>
        <n v="631"/>
        <n v="3384"/>
        <n v="2777"/>
        <n v="883"/>
        <n v="8683"/>
        <n v="7383"/>
        <n v="1265"/>
        <n v="6042"/>
        <n v="7031"/>
        <n v="5214"/>
        <n v="9048"/>
        <n v="3552"/>
        <n v="3376"/>
        <n v="4343"/>
        <n v="5520"/>
        <n v="7511"/>
        <n v="596"/>
        <n v="5064"/>
        <n v="9149"/>
        <n v="9078"/>
        <n v="9984"/>
        <n v="8580"/>
        <n v="9908"/>
        <n v="1595"/>
        <n v="6799"/>
        <n v="3108"/>
        <n v="9872"/>
        <n v="3701"/>
        <n v="1841"/>
        <n v="1211"/>
        <n v="4278"/>
        <n v="3762"/>
        <n v="583"/>
        <n v="9029"/>
        <n v="2692"/>
        <n v="4086"/>
        <n v="2674"/>
        <n v="4382"/>
        <n v="838"/>
        <n v="5622"/>
        <n v="8102"/>
        <n v="5393"/>
        <n v="5757"/>
        <n v="913"/>
        <n v="4473"/>
        <n v="7462"/>
        <n v="9601"/>
        <n v="3049"/>
        <n v="424"/>
        <n v="2544"/>
        <n v="4738"/>
        <n v="8250"/>
        <n v="1062"/>
        <n v="5629"/>
        <n v="7611"/>
        <n v="8232"/>
        <n v="1312"/>
        <n v="6425"/>
        <n v="8587"/>
        <n v="6508"/>
        <n v="8642"/>
        <n v="1993"/>
        <n v="4389"/>
        <n v="8075"/>
        <n v="1545"/>
        <n v="3980"/>
        <n v="5031"/>
        <n v="5862"/>
        <n v="5162"/>
        <n v="7719"/>
        <n v="9943"/>
        <n v="2909"/>
        <n v="6841"/>
        <n v="8620"/>
        <n v="5059"/>
        <n v="8811"/>
        <n v="857"/>
        <n v="1240"/>
        <n v="965"/>
        <n v="7279"/>
        <n v="366"/>
        <n v="463"/>
        <n v="5564"/>
        <n v="5003"/>
        <n v="3722"/>
        <n v="8997"/>
        <n v="3403"/>
        <n v="1358"/>
        <n v="6919"/>
        <n v="427"/>
        <n v="8641"/>
        <n v="3317"/>
        <n v="466"/>
        <n v="3962"/>
        <n v="3013"/>
        <n v="5649"/>
        <n v="7678"/>
        <n v="3075"/>
        <n v="8135"/>
        <n v="8739"/>
        <n v="8258"/>
        <n v="3765"/>
        <n v="527"/>
        <n v="2010"/>
        <n v="8752"/>
        <n v="9226"/>
        <n v="3909"/>
        <n v="6117"/>
        <n v="5712"/>
        <n v="3842"/>
        <n v="5633"/>
        <n v="6861"/>
        <n v="4126"/>
        <n v="1786"/>
        <n v="8202"/>
        <n v="9153"/>
        <n v="4495"/>
        <n v="9475"/>
        <n v="5383"/>
        <n v="3995"/>
        <n v="3690"/>
        <n v="2721"/>
        <n v="1826"/>
        <n v="5655"/>
        <n v="6872"/>
        <n v="3801"/>
        <n v="2399"/>
        <n v="9320"/>
        <n v="1822"/>
        <n v="8966"/>
        <n v="2892"/>
        <n v="2025"/>
        <n v="2236"/>
        <n v="1754"/>
        <n v="4072"/>
        <n v="3336"/>
        <n v="5912"/>
        <n v="9578"/>
        <n v="5482"/>
        <n v="3254"/>
        <n v="3160"/>
        <n v="3151"/>
        <n v="8777"/>
        <n v="7848"/>
        <n v="1641"/>
        <n v="3698"/>
        <n v="3998"/>
        <n v="1458"/>
        <n v="1610"/>
        <n v="7036"/>
        <n v="5770"/>
        <n v="7162"/>
        <n v="5195"/>
        <n v="919"/>
        <n v="8965"/>
        <n v="4601"/>
        <n v="7952"/>
        <n v="8652"/>
        <n v="6481"/>
        <n v="199"/>
        <n v="8374"/>
        <n v="6463"/>
        <n v="385"/>
        <n v="295"/>
        <n v="5463"/>
        <n v="1855"/>
        <n v="9361"/>
        <n v="5207"/>
        <n v="684"/>
        <n v="4226"/>
        <n v="7961"/>
        <n v="1188"/>
        <n v="4415"/>
        <n v="1060"/>
        <n v="5856"/>
        <n v="8974"/>
        <n v="7899"/>
        <n v="5645"/>
        <n v="4822"/>
        <n v="3767"/>
        <n v="1197"/>
        <n v="3851"/>
        <n v="9223"/>
        <n v="9130"/>
        <n v="2182"/>
        <n v="7193"/>
        <n v="1801"/>
        <n v="6124"/>
        <n v="6728"/>
        <n v="4716"/>
        <n v="7603"/>
        <n v="9487"/>
        <n v="7185"/>
        <n v="1446"/>
        <n v="7647"/>
        <n v="1781"/>
        <n v="2427"/>
        <n v="1536"/>
        <n v="1494"/>
        <n v="9447"/>
        <n v="1558"/>
        <n v="1292"/>
        <n v="3943"/>
        <n v="4922"/>
        <n v="6663"/>
        <n v="2030"/>
        <n v="6424"/>
        <n v="313"/>
        <n v="8538"/>
        <n v="2405"/>
        <n v="6229"/>
        <n v="4476"/>
        <n v="9251"/>
        <n v="7770"/>
        <n v="8679"/>
        <n v="9530"/>
        <n v="8265"/>
        <n v="4580"/>
        <n v="6924"/>
        <n v="2190"/>
        <n v="561"/>
        <n v="4201"/>
        <n v="4832"/>
        <n v="4786"/>
        <n v="4065"/>
        <n v="260"/>
        <n v="6902"/>
        <n v="1354"/>
        <n v="9577"/>
        <n v="9248"/>
        <n v="2434"/>
        <n v="7941"/>
        <n v="3721"/>
        <n v="6411"/>
        <n v="6454"/>
        <n v="4798"/>
        <n v="6022"/>
        <n v="5467"/>
        <n v="9194"/>
        <n v="4450"/>
        <n v="368"/>
        <n v="7534"/>
        <n v="1717"/>
        <n v="3213"/>
        <n v="7737"/>
        <n v="2238"/>
        <n v="3942"/>
        <n v="6143"/>
        <n v="4980"/>
        <n v="9266"/>
        <n v="906"/>
        <n v="8857"/>
        <n v="1441"/>
        <n v="2071"/>
        <n v="458"/>
        <n v="3731"/>
        <n v="5468"/>
        <n v="3558"/>
        <n v="5309"/>
        <n v="5300"/>
        <n v="1253"/>
        <n v="2120"/>
        <n v="5614"/>
        <n v="3502"/>
        <n v="1597"/>
        <n v="4249"/>
        <n v="590"/>
        <n v="1309"/>
        <n v="5580"/>
        <n v="7990"/>
        <n v="8244"/>
        <n v="8837"/>
        <n v="3613"/>
        <n v="4182"/>
        <n v="2504"/>
        <n v="5701"/>
        <n v="1972"/>
        <n v="9450"/>
        <n v="5785"/>
        <n v="3730"/>
        <n v="3605"/>
        <n v="373"/>
        <n v="5955"/>
        <n v="3342"/>
        <n v="1819"/>
        <n v="6443"/>
        <n v="9456"/>
        <n v="9457"/>
        <n v="7406"/>
        <n v="9853"/>
        <n v="5656"/>
        <n v="8143"/>
        <n v="9114"/>
        <n v="840"/>
        <n v="678"/>
        <n v="36"/>
        <n v="3077"/>
        <n v="6320"/>
        <n v="2771"/>
        <n v="8663"/>
        <n v="1629"/>
        <n v="6989"/>
        <n v="2389"/>
        <n v="6430"/>
        <n v="9733"/>
        <n v="8209"/>
        <n v="7274"/>
        <n v="7627"/>
        <n v="849"/>
        <n v="8077"/>
        <n v="4257"/>
        <n v="5542"/>
        <n v="7768"/>
        <n v="5020"/>
        <n v="5639"/>
        <n v="6852"/>
        <n v="1986"/>
        <n v="2798"/>
        <n v="8499"/>
        <n v="7439"/>
        <n v="9829"/>
        <n v="2183"/>
        <n v="7205"/>
        <n v="1875"/>
        <n v="1359"/>
        <n v="6447"/>
        <n v="7243"/>
        <n v="1193"/>
        <n v="6092"/>
        <n v="7006"/>
        <n v="2681"/>
        <n v="4525"/>
        <n v="6289"/>
        <n v="4054"/>
        <n v="8184"/>
        <n v="7872"/>
        <n v="3331"/>
        <n v="2017"/>
        <n v="5321"/>
        <n v="6344"/>
        <n v="3092"/>
        <n v="2639"/>
        <n v="8192"/>
        <n v="768"/>
        <n v="8660"/>
        <n v="4121"/>
        <n v="864"/>
        <n v="7136"/>
        <n v="3622"/>
        <n v="9265"/>
        <n v="9633"/>
        <n v="2816"/>
        <n v="3972"/>
        <n v="4647"/>
        <n v="8975"/>
        <n v="1727"/>
        <n v="9027"/>
        <n v="6828"/>
        <n v="4710"/>
        <n v="4916"/>
        <n v="4567"/>
        <n v="2890"/>
        <n v="4629"/>
        <n v="9993"/>
        <n v="9544"/>
        <n v="3156"/>
        <n v="7447"/>
        <n v="4162"/>
        <n v="4265"/>
        <n v="2564"/>
        <n v="6758"/>
        <n v="7664"/>
        <n v="5009"/>
        <n v="8911"/>
        <n v="2658"/>
        <n v="4315"/>
        <n v="2408"/>
        <n v="8380"/>
        <n v="5191"/>
        <n v="5198"/>
        <n v="5910"/>
        <n v="3462"/>
        <n v="9891"/>
        <n v="8402"/>
        <n v="2234"/>
        <n v="2548"/>
        <n v="7787"/>
        <n v="3737"/>
        <n v="5772"/>
        <n v="5814"/>
        <n v="3466"/>
        <n v="6381"/>
        <n v="1376"/>
        <n v="7561"/>
        <n v="9125"/>
        <n v="6392"/>
        <n v="2729"/>
        <n v="1"/>
        <n v="9803"/>
        <n v="3087"/>
        <n v="4879"/>
        <n v="2913"/>
        <n v="9605"/>
        <n v="3200"/>
        <n v="8625"/>
        <n v="1469"/>
        <n v="371"/>
        <n v="2799"/>
        <n v="8573"/>
        <n v="6007"/>
        <n v="8711"/>
        <n v="1464"/>
        <n v="6640"/>
        <n v="5276"/>
        <n v="308"/>
        <n v="6754"/>
        <n v="4243"/>
        <n v="6177"/>
        <n v="1114"/>
        <n v="332"/>
        <n v="1430"/>
        <n v="6205"/>
        <n v="5563"/>
        <n v="7302"/>
        <n v="7883"/>
        <n v="1111"/>
        <n v="1814"/>
        <n v="3416"/>
        <n v="1862"/>
        <n v="4913"/>
        <n v="8783"/>
        <n v="2162"/>
        <n v="8128"/>
        <n v="7702"/>
        <n v="5926"/>
        <n v="3693"/>
        <n v="3885"/>
        <n v="9799"/>
        <n v="1531"/>
        <n v="6838"/>
        <n v="5788"/>
        <n v="1742"/>
        <n v="6415"/>
        <n v="2906"/>
        <n v="2085"/>
        <n v="6633"/>
        <n v="3439"/>
        <n v="8709"/>
        <n v="7700"/>
        <n v="3535"/>
        <n v="3406"/>
        <n v="431"/>
        <n v="3228"/>
        <n v="5210"/>
        <n v="5236"/>
        <n v="1102"/>
        <n v="6695"/>
        <n v="5019"/>
        <n v="3000"/>
        <n v="3746"/>
        <n v="9409"/>
        <n v="4429"/>
        <n v="4077"/>
        <n v="8999"/>
        <n v="9068"/>
        <n v="7325"/>
        <n v="802"/>
        <n v="2557"/>
        <n v="782"/>
        <n v="7027"/>
        <n v="6720"/>
        <n v="8496"/>
        <n v="3086"/>
        <n v="378"/>
        <n v="2423"/>
        <n v="8899"/>
        <n v="6684"/>
        <n v="5252"/>
        <n v="9625"/>
        <n v="1546"/>
        <n v="667"/>
        <n v="4906"/>
        <n v="7945"/>
        <n v="4903"/>
        <n v="4560"/>
        <n v="3008"/>
        <n v="3830"/>
        <n v="1956"/>
        <n v="6378"/>
        <n v="8153"/>
        <n v="8755"/>
        <n v="633"/>
        <n v="1118"/>
        <n v="4498"/>
        <n v="4520"/>
        <n v="7832"/>
        <n v="2277"/>
        <n v="9086"/>
        <n v="5205"/>
        <n v="5671"/>
        <n v="5904"/>
        <n v="1523"/>
        <n v="5377"/>
        <n v="1799"/>
        <n v="6705"/>
        <n v="7824"/>
        <n v="8004"/>
        <n v="602"/>
        <n v="3641"/>
        <n v="8831"/>
        <n v="6140"/>
        <n v="6290"/>
        <n v="6091"/>
        <n v="2341"/>
        <n v="591"/>
        <n v="7450"/>
        <n v="8101"/>
        <n v="3149"/>
        <n v="1957"/>
        <n v="1521"/>
        <n v="9168"/>
        <n v="86"/>
        <n v="9521"/>
        <n v="2826"/>
        <n v="6352"/>
        <n v="5071"/>
        <n v="8515"/>
        <n v="5194"/>
        <n v="2074"/>
        <n v="7509"/>
        <n v="4974"/>
        <n v="6679"/>
        <n v="4398"/>
        <n v="7209"/>
        <n v="1900"/>
        <n v="2842"/>
        <n v="5534"/>
        <n v="1920"/>
        <n v="7573"/>
        <n v="9222"/>
        <n v="1136"/>
        <n v="8824"/>
        <n v="5830"/>
        <n v="4756"/>
        <n v="7268"/>
        <n v="2480"/>
        <n v="3817"/>
        <n v="5148"/>
        <n v="776"/>
        <n v="4565"/>
        <n v="8730"/>
        <n v="8648"/>
        <n v="9308"/>
        <n v="77"/>
        <n v="1773"/>
        <n v="7567"/>
        <n v="2409"/>
        <n v="3198"/>
        <n v="2164"/>
        <n v="250"/>
        <n v="9821"/>
        <n v="3649"/>
        <n v="1881"/>
        <n v="9014"/>
        <n v="66"/>
        <n v="6404"/>
        <n v="7710"/>
        <n v="9211"/>
        <n v="2947"/>
        <n v="1268"/>
        <n v="469"/>
        <n v="2083"/>
        <n v="2043"/>
        <n v="4272"/>
        <n v="134"/>
        <n v="5339"/>
        <n v="5852"/>
        <n v="1493"/>
        <n v="6814"/>
        <n v="5791"/>
        <n v="9067"/>
        <n v="5741"/>
        <n v="3044"/>
        <n v="4263"/>
        <n v="5545"/>
        <n v="3148"/>
        <n v="6829"/>
        <n v="5292"/>
        <n v="273"/>
        <n v="6857"/>
        <n v="55"/>
        <n v="6146"/>
        <n v="5081"/>
        <n v="3738"/>
        <n v="1090"/>
        <n v="4029"/>
        <n v="9237"/>
        <n v="1382"/>
        <n v="944"/>
        <n v="6864"/>
        <n v="1138"/>
        <n v="6306"/>
        <n v="7911"/>
        <n v="4096"/>
        <n v="1714"/>
        <n v="1350"/>
        <n v="4930"/>
        <n v="1653"/>
        <n v="4734"/>
        <n v="7800"/>
        <n v="1245"/>
        <n v="4035"/>
        <n v="6097"/>
        <n v="3961"/>
        <n v="3386"/>
        <n v="6755"/>
        <n v="8600"/>
        <n v="4521"/>
        <n v="7053"/>
        <n v="5499"/>
        <n v="290"/>
        <n v="7356"/>
        <n v="8270"/>
        <n v="137"/>
        <n v="5884"/>
        <n v="7291"/>
        <n v="6300"/>
        <n v="5062"/>
        <n v="9582"/>
        <n v="5027"/>
        <n v="8461"/>
        <n v="5789"/>
        <n v="33"/>
        <n v="869"/>
        <n v="9319"/>
        <n v="2439"/>
        <n v="8919"/>
        <n v="3209"/>
        <n v="2667"/>
        <n v="8381"/>
        <n v="5810"/>
        <n v="1250"/>
        <n v="107"/>
        <n v="2392"/>
        <n v="6933"/>
        <n v="729"/>
        <n v="6014"/>
        <n v="1246"/>
        <n v="9272"/>
        <n v="1670"/>
        <n v="8847"/>
        <n v="352"/>
        <n v="1159"/>
        <n v="7109"/>
        <n v="7822"/>
        <n v="4845"/>
        <n v="4842"/>
        <n v="5128"/>
        <n v="3076"/>
        <n v="4309"/>
        <n v="311"/>
        <n v="9072"/>
        <n v="6639"/>
        <n v="1236"/>
        <n v="5098"/>
        <n v="5005"/>
        <n v="2596"/>
        <n v="1760"/>
        <n v="8241"/>
        <n v="377"/>
        <n v="3748"/>
        <n v="4900"/>
        <n v="7548"/>
        <n v="3054"/>
        <n v="9037"/>
        <n v="5140"/>
        <n v="7535"/>
        <n v="1912"/>
        <n v="3726"/>
        <n v="4266"/>
        <n v="8308"/>
        <n v="3306"/>
        <n v="2886"/>
        <n v="4635"/>
        <n v="7607"/>
        <n v="1368"/>
        <n v="8720"/>
        <n v="3997"/>
        <n v="5720"/>
        <n v="1190"/>
        <n v="4708"/>
        <n v="5406"/>
        <n v="449"/>
        <n v="116"/>
        <n v="9745"/>
        <n v="2559"/>
        <n v="6710"/>
        <n v="931"/>
        <n v="8702"/>
        <n v="4412"/>
        <n v="2905"/>
        <n v="8784"/>
        <n v="3577"/>
        <n v="7022"/>
        <n v="5173"/>
        <n v="6263"/>
        <n v="2605"/>
        <n v="7251"/>
        <n v="4244"/>
        <n v="4400"/>
        <n v="1413"/>
        <n v="7249"/>
        <n v="4125"/>
        <n v="2663"/>
        <n v="3750"/>
        <n v="3072"/>
        <n v="2433"/>
        <n v="1865"/>
        <n v="3378"/>
        <n v="259"/>
        <n v="6794"/>
        <n v="1313"/>
        <n v="9046"/>
        <n v="5801"/>
        <n v="8331"/>
        <n v="1608"/>
        <n v="3137"/>
        <n v="5464"/>
        <n v="6199"/>
        <n v="8871"/>
        <n v="5084"/>
        <n v="5986"/>
        <n v="6873"/>
        <n v="6715"/>
        <n v="464"/>
        <n v="1946"/>
        <n v="1267"/>
        <n v="386"/>
        <n v="5227"/>
        <n v="7017"/>
        <n v="3775"/>
        <n v="3766"/>
        <n v="8902"/>
        <n v="7261"/>
        <n v="1326"/>
        <n v="2222"/>
        <n v="161"/>
        <n v="9095"/>
        <n v="1397"/>
        <n v="5676"/>
        <n v="6021"/>
        <n v="7453"/>
        <n v="354"/>
        <n v="5074"/>
        <n v="5879"/>
        <n v="374"/>
        <n v="8597"/>
        <n v="8878"/>
        <n v="5420"/>
        <n v="9901"/>
        <n v="2495"/>
        <n v="8983"/>
        <n v="3347"/>
        <n v="3533"/>
        <n v="1018"/>
        <n v="7"/>
        <n v="3682"/>
        <n v="6130"/>
        <n v="1594"/>
        <n v="6005"/>
        <n v="7238"/>
        <n v="7428"/>
        <n v="7479"/>
        <n v="6202"/>
        <n v="9305"/>
        <n v="8015"/>
        <n v="7593"/>
        <n v="7751"/>
        <n v="2882"/>
        <n v="9517"/>
        <n v="889"/>
        <n v="6953"/>
        <n v="5181"/>
        <n v="8239"/>
        <n v="1249"/>
        <n v="786"/>
        <n v="6115"/>
        <n v="7169"/>
        <n v="8105"/>
        <n v="143"/>
        <n v="7266"/>
        <n v="878"/>
        <n v="4428"/>
        <n v="6152"/>
        <n v="1513"/>
        <n v="488"/>
        <n v="5288"/>
        <n v="7731"/>
        <n v="9543"/>
        <n v="2949"/>
        <n v="2093"/>
        <n v="2759"/>
        <n v="244"/>
        <n v="6618"/>
        <n v="7642"/>
        <n v="9104"/>
        <n v="3190"/>
        <n v="5871"/>
        <n v="7146"/>
        <n v="3356"/>
        <n v="3990"/>
        <n v="809"/>
        <n v="7086"/>
        <n v="6312"/>
        <n v="958"/>
        <n v="5333"/>
        <n v="6273"/>
        <n v="29"/>
        <n v="8341"/>
        <n v="1851"/>
        <n v="823"/>
        <n v="4170"/>
        <n v="5014"/>
        <n v="6823"/>
        <n v="7334"/>
        <n v="3191"/>
        <n v="7992"/>
        <n v="3624"/>
        <n v="9774"/>
        <n v="6931"/>
        <n v="2925"/>
        <n v="1355"/>
        <n v="7327"/>
        <n v="537"/>
        <n v="5137"/>
        <n v="6436"/>
        <n v="8006"/>
        <n v="1192"/>
        <n v="6105"/>
        <n v="2170"/>
        <n v="6971"/>
        <n v="359"/>
        <n v="6355"/>
        <n v="4005"/>
        <n v="4678"/>
        <n v="2232"/>
        <n v="5209"/>
        <n v="2458"/>
        <n v="1293"/>
        <n v="8134"/>
        <n v="3921"/>
        <n v="3593"/>
        <n v="7138"/>
        <n v="9626"/>
        <n v="5677"/>
        <n v="6095"/>
        <n v="7812"/>
        <n v="1702"/>
        <n v="1839"/>
        <n v="9900"/>
        <n v="6485"/>
        <n v="8841"/>
        <n v="8417"/>
        <n v="2545"/>
        <n v="321"/>
        <n v="1423"/>
        <n v="4345"/>
        <n v="592"/>
        <n v="885"/>
        <n v="8808"/>
        <n v="3888"/>
        <n v="4688"/>
        <n v="9495"/>
        <n v="3454"/>
        <n v="2651"/>
        <n v="3264"/>
        <n v="6666"/>
        <n v="294"/>
        <n v="9832"/>
        <n v="6901"/>
        <n v="9500"/>
        <n v="408"/>
        <n v="4367"/>
        <n v="8283"/>
        <n v="2022"/>
        <n v="8764"/>
        <n v="7939"/>
        <n v="7298"/>
        <n v="7108"/>
        <n v="8616"/>
        <n v="9438"/>
        <n v="4680"/>
        <n v="1427"/>
        <n v="9058"/>
        <n v="3119"/>
        <n v="152"/>
        <n v="2463"/>
        <n v="1700"/>
        <n v="9643"/>
        <n v="5079"/>
        <n v="4015"/>
        <n v="800"/>
        <n v="1185"/>
        <n v="2693"/>
        <n v="8371"/>
        <n v="7401"/>
        <n v="7150"/>
        <n v="9599"/>
        <n v="6329"/>
        <n v="8224"/>
        <n v="7202"/>
        <n v="5540"/>
        <n v="3252"/>
        <n v="5286"/>
        <n v="3422"/>
        <n v="7082"/>
        <n v="9171"/>
        <n v="3524"/>
        <n v="7989"/>
        <n v="2926"/>
        <n v="9705"/>
        <n v="3129"/>
        <n v="1642"/>
        <n v="943"/>
        <n v="6673"/>
        <n v="8037"/>
        <n v="934"/>
        <n v="3736"/>
        <n v="2149"/>
        <n v="795"/>
        <n v="9604"/>
        <n v="5793"/>
        <n v="586"/>
        <n v="3982"/>
        <n v="5902"/>
        <n v="6049"/>
        <n v="2317"/>
        <n v="8186"/>
        <n v="2730"/>
        <n v="1588"/>
        <n v="405"/>
        <n v="9818"/>
        <n v="7090"/>
        <n v="1221"/>
        <n v="6700"/>
        <n v="2452"/>
        <n v="8637"/>
        <n v="999"/>
        <n v="3785"/>
        <n v="9628"/>
        <n v="4781"/>
        <n v="8712"/>
        <n v="6144"/>
        <n v="5681"/>
        <n v="7292"/>
        <n v="6067"/>
        <n v="3573"/>
        <n v="445"/>
        <n v="325"/>
        <n v="5973"/>
        <n v="8608"/>
        <n v="6629"/>
        <n v="897"/>
        <n v="8833"/>
        <n v="2032"/>
        <n v="1911"/>
        <n v="7034"/>
        <n v="2626"/>
        <n v="6739"/>
        <n v="3304"/>
        <n v="7578"/>
        <n v="8335"/>
        <n v="2204"/>
        <n v="8495"/>
        <n v="7905"/>
        <n v="6321"/>
        <n v="7083"/>
        <n v="8528"/>
        <n v="9193"/>
        <n v="8464"/>
        <n v="499"/>
        <n v="1405"/>
        <n v="4741"/>
        <n v="8048"/>
        <n v="1392"/>
        <n v="7122"/>
        <n v="6445"/>
        <n v="2358"/>
        <n v="1220"/>
        <n v="8271"/>
        <n v="3979"/>
        <n v="3377"/>
        <n v="9595"/>
        <n v="1768"/>
        <n v="4858"/>
        <n v="6949"/>
        <n v="8400"/>
        <n v="6330"/>
        <n v="4420"/>
        <n v="3789"/>
        <n v="9839"/>
        <n v="4235"/>
        <n v="3001"/>
        <n v="5243"/>
        <n v="2849"/>
        <n v="3437"/>
        <n v="4221"/>
        <n v="8903"/>
        <n v="2534"/>
        <n v="3650"/>
        <n v="1254"/>
        <n v="6168"/>
        <n v="8989"/>
        <n v="1796"/>
        <n v="7758"/>
        <n v="4718"/>
        <n v="3599"/>
        <n v="7576"/>
        <n v="4097"/>
        <n v="1593"/>
        <n v="3971"/>
        <n v="6397"/>
        <n v="8356"/>
        <n v="3090"/>
        <n v="2167"/>
        <n v="6773"/>
        <n v="302"/>
        <n v="1605"/>
        <n v="1679"/>
        <n v="6646"/>
        <n v="6311"/>
        <n v="4198"/>
        <n v="4550"/>
        <n v="9267"/>
        <n v="9790"/>
        <n v="1674"/>
        <n v="3689"/>
        <n v="2328"/>
        <n v="6133"/>
        <n v="8796"/>
        <n v="5277"/>
        <n v="8298"/>
        <n v="6314"/>
        <n v="1280"/>
        <n v="2499"/>
        <n v="7321"/>
        <n v="4769"/>
        <n v="7194"/>
        <n v="155"/>
        <n v="7691"/>
        <n v="8067"/>
        <n v="4414"/>
        <n v="541"/>
        <n v="3891"/>
        <n v="438"/>
        <n v="5901"/>
        <n v="7747"/>
        <n v="6788"/>
        <n v="3004"/>
        <n v="9463"/>
        <n v="8158"/>
        <n v="4690"/>
        <n v="3841"/>
        <n v="5928"/>
        <n v="6487"/>
        <n v="4810"/>
        <n v="6811"/>
        <n v="8671"/>
        <n v="5188"/>
        <n v="5298"/>
      </sharedItems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x v="0"/>
    <x v="0"/>
    <x v="0"/>
    <d v="2023-03-28T00:00:00"/>
    <x v="0"/>
    <n v="14714"/>
    <x v="0"/>
    <n v="2.39"/>
    <n v="89"/>
  </r>
  <r>
    <s v="S1001"/>
    <x v="1"/>
    <x v="1"/>
    <x v="1"/>
    <d v="2022-10-21T00:00:00"/>
    <x v="1"/>
    <n v="5718"/>
    <x v="1"/>
    <n v="3.49"/>
    <n v="79"/>
  </r>
  <r>
    <s v="S1002"/>
    <x v="2"/>
    <x v="2"/>
    <x v="0"/>
    <d v="2023-09-11T00:00:00"/>
    <x v="0"/>
    <n v="5726"/>
    <x v="2"/>
    <n v="3.08"/>
    <n v="84"/>
  </r>
  <r>
    <s v="S1003"/>
    <x v="3"/>
    <x v="3"/>
    <x v="1"/>
    <d v="2023-11-23T00:00:00"/>
    <x v="1"/>
    <n v="10846"/>
    <x v="3"/>
    <n v="3.59"/>
    <n v="9"/>
  </r>
  <r>
    <s v="S1004"/>
    <x v="4"/>
    <x v="4"/>
    <x v="1"/>
    <d v="2024-04-18T00:00:00"/>
    <x v="0"/>
    <n v="11437"/>
    <x v="4"/>
    <n v="3.31"/>
    <n v="72"/>
  </r>
  <r>
    <s v="S1005"/>
    <x v="5"/>
    <x v="1"/>
    <x v="2"/>
    <d v="2022-06-25T00:00:00"/>
    <x v="1"/>
    <n v="13342"/>
    <x v="5"/>
    <n v="3.39"/>
    <n v="107"/>
  </r>
  <r>
    <s v="S1006"/>
    <x v="6"/>
    <x v="3"/>
    <x v="0"/>
    <d v="2023-02-19T00:00:00"/>
    <x v="0"/>
    <n v="3831"/>
    <x v="6"/>
    <n v="2.4500000000000002"/>
    <n v="70"/>
  </r>
  <r>
    <s v="S1007"/>
    <x v="7"/>
    <x v="5"/>
    <x v="0"/>
    <d v="2022-06-02T00:00:00"/>
    <x v="0"/>
    <n v="8155"/>
    <x v="7"/>
    <n v="3.41"/>
    <n v="118"/>
  </r>
  <r>
    <s v="S1008"/>
    <x v="8"/>
    <x v="4"/>
    <x v="2"/>
    <d v="2023-01-13T00:00:00"/>
    <x v="2"/>
    <n v="4061"/>
    <x v="8"/>
    <n v="3.2"/>
    <n v="100"/>
  </r>
  <r>
    <s v="S1009"/>
    <x v="9"/>
    <x v="1"/>
    <x v="0"/>
    <d v="2022-11-16T00:00:00"/>
    <x v="1"/>
    <n v="5718"/>
    <x v="9"/>
    <n v="2.02"/>
    <n v="38"/>
  </r>
  <r>
    <s v="S1010"/>
    <x v="10"/>
    <x v="2"/>
    <x v="2"/>
    <d v="2023-03-24T00:00:00"/>
    <x v="0"/>
    <n v="9724"/>
    <x v="10"/>
    <n v="2.61"/>
    <n v="52"/>
  </r>
  <r>
    <s v="S1011"/>
    <x v="11"/>
    <x v="4"/>
    <x v="2"/>
    <d v="2022-03-04T00:00:00"/>
    <x v="0"/>
    <n v="6176"/>
    <x v="11"/>
    <n v="3.16"/>
    <n v="37"/>
  </r>
  <r>
    <s v="S1012"/>
    <x v="12"/>
    <x v="1"/>
    <x v="1"/>
    <d v="2023-10-20T00:00:00"/>
    <x v="1"/>
    <n v="11085"/>
    <x v="12"/>
    <n v="3.02"/>
    <n v="107"/>
  </r>
  <r>
    <s v="S1013"/>
    <x v="13"/>
    <x v="5"/>
    <x v="1"/>
    <d v="2022-11-02T00:00:00"/>
    <x v="1"/>
    <n v="8006"/>
    <x v="13"/>
    <n v="3.38"/>
    <n v="84"/>
  </r>
  <r>
    <s v="S1014"/>
    <x v="14"/>
    <x v="5"/>
    <x v="1"/>
    <d v="2023-09-27T00:00:00"/>
    <x v="0"/>
    <n v="14699"/>
    <x v="14"/>
    <n v="3.4"/>
    <n v="25"/>
  </r>
  <r>
    <s v="S1015"/>
    <x v="15"/>
    <x v="6"/>
    <x v="2"/>
    <d v="2022-05-04T00:00:00"/>
    <x v="1"/>
    <n v="10985"/>
    <x v="15"/>
    <n v="3.47"/>
    <n v="18"/>
  </r>
  <r>
    <s v="S1016"/>
    <x v="16"/>
    <x v="7"/>
    <x v="0"/>
    <d v="2023-07-22T00:00:00"/>
    <x v="0"/>
    <n v="6946"/>
    <x v="16"/>
    <n v="2.08"/>
    <n v="73"/>
  </r>
  <r>
    <s v="S1017"/>
    <x v="17"/>
    <x v="2"/>
    <x v="1"/>
    <d v="2023-10-23T00:00:00"/>
    <x v="0"/>
    <n v="5088"/>
    <x v="17"/>
    <n v="3.56"/>
    <n v="52"/>
  </r>
  <r>
    <s v="S1018"/>
    <x v="18"/>
    <x v="4"/>
    <x v="3"/>
    <d v="2023-02-04T00:00:00"/>
    <x v="0"/>
    <n v="3188"/>
    <x v="18"/>
    <n v="3.54"/>
    <n v="67"/>
  </r>
  <r>
    <s v="S1019"/>
    <x v="19"/>
    <x v="6"/>
    <x v="2"/>
    <d v="2022-07-30T00:00:00"/>
    <x v="1"/>
    <n v="6258"/>
    <x v="19"/>
    <n v="2.48"/>
    <n v="100"/>
  </r>
  <r>
    <s v="S1020"/>
    <x v="20"/>
    <x v="3"/>
    <x v="1"/>
    <d v="2023-08-28T00:00:00"/>
    <x v="0"/>
    <n v="12607"/>
    <x v="20"/>
    <n v="2.86"/>
    <n v="25"/>
  </r>
  <r>
    <s v="S1021"/>
    <x v="21"/>
    <x v="3"/>
    <x v="2"/>
    <d v="2023-03-19T00:00:00"/>
    <x v="0"/>
    <n v="9303"/>
    <x v="21"/>
    <n v="2.12"/>
    <n v="119"/>
  </r>
  <r>
    <s v="S1022"/>
    <x v="22"/>
    <x v="5"/>
    <x v="0"/>
    <d v="2023-01-06T00:00:00"/>
    <x v="1"/>
    <n v="2797"/>
    <x v="22"/>
    <n v="2.36"/>
    <n v="14"/>
  </r>
  <r>
    <s v="S1023"/>
    <x v="23"/>
    <x v="0"/>
    <x v="2"/>
    <d v="2023-06-06T00:00:00"/>
    <x v="1"/>
    <n v="6057"/>
    <x v="23"/>
    <n v="2.57"/>
    <n v="93"/>
  </r>
  <r>
    <s v="S1024"/>
    <x v="24"/>
    <x v="7"/>
    <x v="2"/>
    <d v="2022-01-03T00:00:00"/>
    <x v="1"/>
    <n v="8791"/>
    <x v="24"/>
    <n v="3.2"/>
    <n v="14"/>
  </r>
  <r>
    <s v="S1025"/>
    <x v="25"/>
    <x v="2"/>
    <x v="3"/>
    <d v="2024-06-04T00:00:00"/>
    <x v="0"/>
    <n v="6655"/>
    <x v="25"/>
    <n v="3.15"/>
    <n v="43"/>
  </r>
  <r>
    <s v="S1026"/>
    <x v="26"/>
    <x v="0"/>
    <x v="2"/>
    <d v="2023-06-15T00:00:00"/>
    <x v="1"/>
    <n v="5008"/>
    <x v="26"/>
    <n v="3.83"/>
    <n v="96"/>
  </r>
  <r>
    <s v="S1027"/>
    <x v="27"/>
    <x v="5"/>
    <x v="1"/>
    <d v="2022-06-25T00:00:00"/>
    <x v="0"/>
    <n v="13997"/>
    <x v="27"/>
    <n v="3.22"/>
    <n v="87"/>
  </r>
  <r>
    <s v="S1028"/>
    <x v="28"/>
    <x v="2"/>
    <x v="3"/>
    <d v="2023-06-09T00:00:00"/>
    <x v="0"/>
    <n v="4627"/>
    <x v="28"/>
    <n v="2.29"/>
    <n v="118"/>
  </r>
  <r>
    <s v="S1029"/>
    <x v="29"/>
    <x v="0"/>
    <x v="1"/>
    <d v="2024-04-05T00:00:00"/>
    <x v="1"/>
    <n v="6711"/>
    <x v="29"/>
    <n v="3.2"/>
    <n v="54"/>
  </r>
  <r>
    <s v="S1030"/>
    <x v="30"/>
    <x v="7"/>
    <x v="1"/>
    <d v="2022-09-27T00:00:00"/>
    <x v="1"/>
    <n v="2173"/>
    <x v="30"/>
    <n v="3.09"/>
    <n v="97"/>
  </r>
  <r>
    <s v="S1031"/>
    <x v="31"/>
    <x v="7"/>
    <x v="3"/>
    <d v="2022-02-10T00:00:00"/>
    <x v="0"/>
    <n v="8163"/>
    <x v="31"/>
    <n v="2.2799999999999998"/>
    <n v="19"/>
  </r>
  <r>
    <s v="S1032"/>
    <x v="32"/>
    <x v="4"/>
    <x v="0"/>
    <d v="2022-01-01T00:00:00"/>
    <x v="0"/>
    <n v="14774"/>
    <x v="32"/>
    <n v="2.78"/>
    <n v="9"/>
  </r>
  <r>
    <s v="S1033"/>
    <x v="33"/>
    <x v="7"/>
    <x v="2"/>
    <d v="2023-06-14T00:00:00"/>
    <x v="1"/>
    <n v="7783"/>
    <x v="33"/>
    <n v="2.82"/>
    <n v="115"/>
  </r>
  <r>
    <s v="S1034"/>
    <x v="34"/>
    <x v="3"/>
    <x v="2"/>
    <d v="2022-03-30T00:00:00"/>
    <x v="1"/>
    <n v="14442"/>
    <x v="34"/>
    <n v="2.76"/>
    <n v="109"/>
  </r>
  <r>
    <s v="S1035"/>
    <x v="35"/>
    <x v="6"/>
    <x v="1"/>
    <d v="2023-05-07T00:00:00"/>
    <x v="0"/>
    <n v="4770"/>
    <x v="35"/>
    <n v="2.75"/>
    <n v="38"/>
  </r>
  <r>
    <s v="S1036"/>
    <x v="36"/>
    <x v="1"/>
    <x v="0"/>
    <d v="2024-02-06T00:00:00"/>
    <x v="1"/>
    <n v="14761"/>
    <x v="36"/>
    <n v="2.65"/>
    <n v="2"/>
  </r>
  <r>
    <s v="S1037"/>
    <x v="37"/>
    <x v="7"/>
    <x v="1"/>
    <d v="2022-02-27T00:00:00"/>
    <x v="1"/>
    <n v="14013"/>
    <x v="37"/>
    <n v="2.13"/>
    <n v="10"/>
  </r>
  <r>
    <s v="S1038"/>
    <x v="38"/>
    <x v="3"/>
    <x v="3"/>
    <d v="2024-03-28T00:00:00"/>
    <x v="1"/>
    <n v="8345"/>
    <x v="38"/>
    <n v="3.8"/>
    <n v="53"/>
  </r>
  <r>
    <s v="S1039"/>
    <x v="39"/>
    <x v="1"/>
    <x v="1"/>
    <d v="2022-11-18T00:00:00"/>
    <x v="0"/>
    <n v="10449"/>
    <x v="39"/>
    <n v="3.08"/>
    <n v="2"/>
  </r>
  <r>
    <s v="S1040"/>
    <x v="40"/>
    <x v="5"/>
    <x v="2"/>
    <d v="2023-02-22T00:00:00"/>
    <x v="0"/>
    <n v="14303"/>
    <x v="40"/>
    <n v="2.39"/>
    <n v="42"/>
  </r>
  <r>
    <s v="S1041"/>
    <x v="41"/>
    <x v="6"/>
    <x v="1"/>
    <d v="2022-01-16T00:00:00"/>
    <x v="0"/>
    <n v="5900"/>
    <x v="41"/>
    <n v="3.17"/>
    <n v="15"/>
  </r>
  <r>
    <s v="S1042"/>
    <x v="42"/>
    <x v="5"/>
    <x v="1"/>
    <d v="2022-12-20T00:00:00"/>
    <x v="1"/>
    <n v="6128"/>
    <x v="42"/>
    <n v="2.2799999999999998"/>
    <n v="115"/>
  </r>
  <r>
    <s v="S1043"/>
    <x v="43"/>
    <x v="5"/>
    <x v="0"/>
    <d v="2023-03-12T00:00:00"/>
    <x v="0"/>
    <n v="10731"/>
    <x v="43"/>
    <n v="3.2"/>
    <n v="13"/>
  </r>
  <r>
    <s v="S1044"/>
    <x v="44"/>
    <x v="6"/>
    <x v="2"/>
    <d v="2022-03-29T00:00:00"/>
    <x v="0"/>
    <n v="12461"/>
    <x v="44"/>
    <n v="2.31"/>
    <n v="114"/>
  </r>
  <r>
    <s v="S1045"/>
    <x v="45"/>
    <x v="5"/>
    <x v="0"/>
    <d v="2023-08-22T00:00:00"/>
    <x v="0"/>
    <n v="13677"/>
    <x v="45"/>
    <n v="3.39"/>
    <n v="74"/>
  </r>
  <r>
    <s v="S1046"/>
    <x v="46"/>
    <x v="2"/>
    <x v="0"/>
    <d v="2023-09-01T00:00:00"/>
    <x v="0"/>
    <n v="9276"/>
    <x v="46"/>
    <n v="3.16"/>
    <n v="92"/>
  </r>
  <r>
    <s v="S1047"/>
    <x v="47"/>
    <x v="0"/>
    <x v="1"/>
    <d v="2023-09-13T00:00:00"/>
    <x v="0"/>
    <n v="2183"/>
    <x v="47"/>
    <n v="3.33"/>
    <n v="97"/>
  </r>
  <r>
    <s v="S1048"/>
    <x v="48"/>
    <x v="2"/>
    <x v="0"/>
    <d v="2023-04-26T00:00:00"/>
    <x v="1"/>
    <n v="6227"/>
    <x v="48"/>
    <n v="3.85"/>
    <n v="75"/>
  </r>
  <r>
    <s v="S1049"/>
    <x v="49"/>
    <x v="4"/>
    <x v="0"/>
    <d v="2022-02-07T00:00:00"/>
    <x v="0"/>
    <n v="4500"/>
    <x v="49"/>
    <n v="2.91"/>
    <n v="87"/>
  </r>
  <r>
    <s v="S1050"/>
    <x v="50"/>
    <x v="5"/>
    <x v="1"/>
    <d v="2024-03-02T00:00:00"/>
    <x v="0"/>
    <n v="4615"/>
    <x v="50"/>
    <n v="3.61"/>
    <n v="41"/>
  </r>
  <r>
    <s v="S1051"/>
    <x v="51"/>
    <x v="4"/>
    <x v="3"/>
    <d v="2022-05-24T00:00:00"/>
    <x v="0"/>
    <n v="11879"/>
    <x v="51"/>
    <n v="3.1"/>
    <n v="7"/>
  </r>
  <r>
    <s v="S1052"/>
    <x v="52"/>
    <x v="5"/>
    <x v="3"/>
    <d v="2022-11-28T00:00:00"/>
    <x v="0"/>
    <n v="4067"/>
    <x v="52"/>
    <n v="2.34"/>
    <n v="20"/>
  </r>
  <r>
    <s v="S1053"/>
    <x v="53"/>
    <x v="3"/>
    <x v="1"/>
    <d v="2023-03-13T00:00:00"/>
    <x v="1"/>
    <n v="4873"/>
    <x v="53"/>
    <n v="3.78"/>
    <n v="80"/>
  </r>
  <r>
    <s v="S1054"/>
    <x v="54"/>
    <x v="1"/>
    <x v="3"/>
    <d v="2023-01-04T00:00:00"/>
    <x v="0"/>
    <n v="3391"/>
    <x v="54"/>
    <n v="3.88"/>
    <n v="59"/>
  </r>
  <r>
    <s v="S1055"/>
    <x v="55"/>
    <x v="3"/>
    <x v="3"/>
    <d v="2024-01-09T00:00:00"/>
    <x v="0"/>
    <n v="10808"/>
    <x v="55"/>
    <n v="2.4300000000000002"/>
    <n v="18"/>
  </r>
  <r>
    <s v="S1056"/>
    <x v="56"/>
    <x v="6"/>
    <x v="0"/>
    <d v="2022-08-12T00:00:00"/>
    <x v="0"/>
    <n v="5739"/>
    <x v="56"/>
    <n v="2.42"/>
    <n v="78"/>
  </r>
  <r>
    <s v="S1057"/>
    <x v="57"/>
    <x v="2"/>
    <x v="2"/>
    <d v="2023-06-09T00:00:00"/>
    <x v="0"/>
    <n v="4317"/>
    <x v="57"/>
    <n v="3.49"/>
    <n v="107"/>
  </r>
  <r>
    <s v="S1058"/>
    <x v="58"/>
    <x v="1"/>
    <x v="1"/>
    <d v="2023-11-25T00:00:00"/>
    <x v="2"/>
    <n v="7954"/>
    <x v="58"/>
    <n v="3.4"/>
    <n v="64"/>
  </r>
  <r>
    <s v="S1059"/>
    <x v="59"/>
    <x v="6"/>
    <x v="1"/>
    <d v="2022-08-13T00:00:00"/>
    <x v="2"/>
    <n v="10043"/>
    <x v="59"/>
    <n v="2.68"/>
    <n v="77"/>
  </r>
  <r>
    <s v="S1060"/>
    <x v="60"/>
    <x v="5"/>
    <x v="3"/>
    <d v="2022-11-05T00:00:00"/>
    <x v="0"/>
    <n v="6418"/>
    <x v="60"/>
    <n v="2"/>
    <n v="93"/>
  </r>
  <r>
    <s v="S1061"/>
    <x v="61"/>
    <x v="5"/>
    <x v="3"/>
    <d v="2023-11-26T00:00:00"/>
    <x v="0"/>
    <n v="4274"/>
    <x v="61"/>
    <n v="3.53"/>
    <n v="22"/>
  </r>
  <r>
    <s v="S1062"/>
    <x v="62"/>
    <x v="3"/>
    <x v="3"/>
    <d v="2022-06-24T00:00:00"/>
    <x v="0"/>
    <n v="14423"/>
    <x v="62"/>
    <n v="2.12"/>
    <n v="84"/>
  </r>
  <r>
    <s v="S1063"/>
    <x v="63"/>
    <x v="0"/>
    <x v="1"/>
    <d v="2022-08-28T00:00:00"/>
    <x v="1"/>
    <n v="5263"/>
    <x v="63"/>
    <n v="2.31"/>
    <n v="45"/>
  </r>
  <r>
    <s v="S1064"/>
    <x v="64"/>
    <x v="2"/>
    <x v="1"/>
    <d v="2022-11-19T00:00:00"/>
    <x v="0"/>
    <n v="11418"/>
    <x v="64"/>
    <n v="2.23"/>
    <n v="98"/>
  </r>
  <r>
    <s v="S1065"/>
    <x v="65"/>
    <x v="1"/>
    <x v="3"/>
    <d v="2023-06-25T00:00:00"/>
    <x v="0"/>
    <n v="12257"/>
    <x v="65"/>
    <n v="2.67"/>
    <n v="77"/>
  </r>
  <r>
    <s v="S1066"/>
    <x v="66"/>
    <x v="4"/>
    <x v="2"/>
    <d v="2023-05-15T00:00:00"/>
    <x v="0"/>
    <n v="11963"/>
    <x v="66"/>
    <n v="3.93"/>
    <n v="15"/>
  </r>
  <r>
    <s v="S1067"/>
    <x v="67"/>
    <x v="4"/>
    <x v="2"/>
    <d v="2023-09-16T00:00:00"/>
    <x v="0"/>
    <n v="14287"/>
    <x v="67"/>
    <n v="3.57"/>
    <n v="47"/>
  </r>
  <r>
    <s v="S1068"/>
    <x v="68"/>
    <x v="2"/>
    <x v="1"/>
    <d v="2023-06-20T00:00:00"/>
    <x v="0"/>
    <n v="13017"/>
    <x v="68"/>
    <n v="3.64"/>
    <n v="1"/>
  </r>
  <r>
    <s v="S1069"/>
    <x v="69"/>
    <x v="5"/>
    <x v="0"/>
    <d v="2022-10-24T00:00:00"/>
    <x v="0"/>
    <n v="5312"/>
    <x v="69"/>
    <n v="3.35"/>
    <n v="66"/>
  </r>
  <r>
    <s v="S1070"/>
    <x v="70"/>
    <x v="1"/>
    <x v="3"/>
    <d v="2023-08-18T00:00:00"/>
    <x v="0"/>
    <n v="3888"/>
    <x v="70"/>
    <n v="3.89"/>
    <n v="104"/>
  </r>
  <r>
    <s v="S1071"/>
    <x v="71"/>
    <x v="1"/>
    <x v="1"/>
    <d v="2022-02-07T00:00:00"/>
    <x v="0"/>
    <n v="5609"/>
    <x v="71"/>
    <n v="2.75"/>
    <n v="105"/>
  </r>
  <r>
    <s v="S1072"/>
    <x v="72"/>
    <x v="4"/>
    <x v="1"/>
    <d v="2022-04-21T00:00:00"/>
    <x v="0"/>
    <n v="12778"/>
    <x v="72"/>
    <n v="2.79"/>
    <n v="109"/>
  </r>
  <r>
    <s v="S1073"/>
    <x v="73"/>
    <x v="5"/>
    <x v="0"/>
    <d v="2023-11-07T00:00:00"/>
    <x v="1"/>
    <n v="13270"/>
    <x v="73"/>
    <n v="2.12"/>
    <n v="111"/>
  </r>
  <r>
    <s v="S1074"/>
    <x v="74"/>
    <x v="3"/>
    <x v="1"/>
    <d v="2022-07-03T00:00:00"/>
    <x v="0"/>
    <n v="13617"/>
    <x v="74"/>
    <n v="3.37"/>
    <n v="72"/>
  </r>
  <r>
    <s v="S1075"/>
    <x v="75"/>
    <x v="2"/>
    <x v="2"/>
    <d v="2022-07-08T00:00:00"/>
    <x v="2"/>
    <n v="5155"/>
    <x v="75"/>
    <n v="3.34"/>
    <n v="18"/>
  </r>
  <r>
    <s v="S1076"/>
    <x v="76"/>
    <x v="1"/>
    <x v="3"/>
    <d v="2022-12-01T00:00:00"/>
    <x v="0"/>
    <n v="14298"/>
    <x v="76"/>
    <n v="3.83"/>
    <n v="17"/>
  </r>
  <r>
    <s v="S1077"/>
    <x v="77"/>
    <x v="1"/>
    <x v="0"/>
    <d v="2023-05-12T00:00:00"/>
    <x v="0"/>
    <n v="4932"/>
    <x v="77"/>
    <n v="2.38"/>
    <n v="32"/>
  </r>
  <r>
    <s v="S1078"/>
    <x v="78"/>
    <x v="6"/>
    <x v="1"/>
    <d v="2023-12-27T00:00:00"/>
    <x v="0"/>
    <n v="14685"/>
    <x v="78"/>
    <n v="2.02"/>
    <n v="27"/>
  </r>
  <r>
    <s v="S1079"/>
    <x v="79"/>
    <x v="2"/>
    <x v="0"/>
    <d v="2024-05-26T00:00:00"/>
    <x v="0"/>
    <n v="4021"/>
    <x v="79"/>
    <n v="2.65"/>
    <n v="55"/>
  </r>
  <r>
    <s v="S1080"/>
    <x v="80"/>
    <x v="2"/>
    <x v="2"/>
    <d v="2023-09-03T00:00:00"/>
    <x v="0"/>
    <n v="14754"/>
    <x v="80"/>
    <n v="3.89"/>
    <n v="68"/>
  </r>
  <r>
    <s v="S1081"/>
    <x v="81"/>
    <x v="7"/>
    <x v="3"/>
    <d v="2022-09-20T00:00:00"/>
    <x v="2"/>
    <n v="7359"/>
    <x v="81"/>
    <n v="3.53"/>
    <n v="35"/>
  </r>
  <r>
    <s v="S1082"/>
    <x v="82"/>
    <x v="5"/>
    <x v="3"/>
    <d v="2022-04-02T00:00:00"/>
    <x v="0"/>
    <n v="9833"/>
    <x v="82"/>
    <n v="3.64"/>
    <n v="28"/>
  </r>
  <r>
    <s v="S1083"/>
    <x v="83"/>
    <x v="3"/>
    <x v="2"/>
    <d v="2023-09-17T00:00:00"/>
    <x v="1"/>
    <n v="9039"/>
    <x v="83"/>
    <n v="2.57"/>
    <n v="74"/>
  </r>
  <r>
    <s v="S1084"/>
    <x v="84"/>
    <x v="3"/>
    <x v="0"/>
    <d v="2022-03-07T00:00:00"/>
    <x v="1"/>
    <n v="7072"/>
    <x v="84"/>
    <n v="3.66"/>
    <n v="82"/>
  </r>
  <r>
    <s v="S1085"/>
    <x v="85"/>
    <x v="5"/>
    <x v="2"/>
    <d v="2022-11-29T00:00:00"/>
    <x v="0"/>
    <n v="14564"/>
    <x v="85"/>
    <n v="2.64"/>
    <n v="81"/>
  </r>
  <r>
    <s v="S1086"/>
    <x v="86"/>
    <x v="6"/>
    <x v="1"/>
    <d v="2022-10-05T00:00:00"/>
    <x v="0"/>
    <n v="9580"/>
    <x v="86"/>
    <n v="2.27"/>
    <n v="14"/>
  </r>
  <r>
    <s v="S1087"/>
    <x v="87"/>
    <x v="2"/>
    <x v="3"/>
    <d v="2022-08-28T00:00:00"/>
    <x v="0"/>
    <n v="13295"/>
    <x v="87"/>
    <n v="2.4"/>
    <n v="41"/>
  </r>
  <r>
    <s v="S1088"/>
    <x v="88"/>
    <x v="5"/>
    <x v="0"/>
    <d v="2023-05-27T00:00:00"/>
    <x v="0"/>
    <n v="13755"/>
    <x v="88"/>
    <n v="2.92"/>
    <n v="95"/>
  </r>
  <r>
    <s v="S1089"/>
    <x v="89"/>
    <x v="2"/>
    <x v="3"/>
    <d v="2023-01-20T00:00:00"/>
    <x v="1"/>
    <n v="5803"/>
    <x v="89"/>
    <n v="3.56"/>
    <n v="54"/>
  </r>
  <r>
    <s v="S1090"/>
    <x v="90"/>
    <x v="3"/>
    <x v="0"/>
    <d v="2022-02-28T00:00:00"/>
    <x v="1"/>
    <n v="4425"/>
    <x v="90"/>
    <n v="3.25"/>
    <n v="88"/>
  </r>
  <r>
    <s v="S1091"/>
    <x v="91"/>
    <x v="7"/>
    <x v="2"/>
    <d v="2023-03-28T00:00:00"/>
    <x v="0"/>
    <n v="10595"/>
    <x v="91"/>
    <n v="2.06"/>
    <n v="53"/>
  </r>
  <r>
    <s v="S1092"/>
    <x v="92"/>
    <x v="6"/>
    <x v="3"/>
    <d v="2022-11-12T00:00:00"/>
    <x v="0"/>
    <n v="4640"/>
    <x v="92"/>
    <n v="2.2000000000000002"/>
    <n v="49"/>
  </r>
  <r>
    <s v="S1093"/>
    <x v="93"/>
    <x v="2"/>
    <x v="1"/>
    <d v="2023-01-08T00:00:00"/>
    <x v="0"/>
    <n v="10193"/>
    <x v="93"/>
    <n v="2.72"/>
    <n v="65"/>
  </r>
  <r>
    <s v="S1094"/>
    <x v="94"/>
    <x v="3"/>
    <x v="0"/>
    <d v="2024-01-02T00:00:00"/>
    <x v="1"/>
    <n v="8635"/>
    <x v="94"/>
    <n v="3.63"/>
    <n v="15"/>
  </r>
  <r>
    <s v="S1095"/>
    <x v="95"/>
    <x v="5"/>
    <x v="3"/>
    <d v="2022-03-12T00:00:00"/>
    <x v="1"/>
    <n v="14890"/>
    <x v="95"/>
    <n v="3.17"/>
    <n v="93"/>
  </r>
  <r>
    <s v="S1096"/>
    <x v="96"/>
    <x v="1"/>
    <x v="3"/>
    <d v="2022-03-10T00:00:00"/>
    <x v="0"/>
    <n v="4942"/>
    <x v="96"/>
    <n v="3.43"/>
    <n v="39"/>
  </r>
  <r>
    <s v="S1097"/>
    <x v="97"/>
    <x v="4"/>
    <x v="0"/>
    <d v="2023-10-15T00:00:00"/>
    <x v="0"/>
    <n v="12134"/>
    <x v="97"/>
    <n v="3.48"/>
    <n v="20"/>
  </r>
  <r>
    <s v="S1098"/>
    <x v="98"/>
    <x v="5"/>
    <x v="0"/>
    <d v="2023-01-10T00:00:00"/>
    <x v="0"/>
    <n v="5970"/>
    <x v="98"/>
    <n v="3.22"/>
    <n v="118"/>
  </r>
  <r>
    <s v="S1099"/>
    <x v="99"/>
    <x v="6"/>
    <x v="2"/>
    <d v="2023-10-01T00:00:00"/>
    <x v="0"/>
    <n v="4576"/>
    <x v="99"/>
    <n v="2.91"/>
    <n v="111"/>
  </r>
  <r>
    <s v="S1100"/>
    <x v="100"/>
    <x v="6"/>
    <x v="3"/>
    <d v="2022-04-22T00:00:00"/>
    <x v="1"/>
    <n v="4673"/>
    <x v="100"/>
    <n v="2.2799999999999998"/>
    <n v="35"/>
  </r>
  <r>
    <s v="S1101"/>
    <x v="101"/>
    <x v="2"/>
    <x v="2"/>
    <d v="2022-11-18T00:00:00"/>
    <x v="1"/>
    <n v="11777"/>
    <x v="101"/>
    <n v="3.22"/>
    <n v="19"/>
  </r>
  <r>
    <s v="S1102"/>
    <x v="102"/>
    <x v="5"/>
    <x v="1"/>
    <d v="2024-05-03T00:00:00"/>
    <x v="0"/>
    <n v="3948"/>
    <x v="102"/>
    <n v="3.44"/>
    <n v="101"/>
  </r>
  <r>
    <s v="S1103"/>
    <x v="103"/>
    <x v="7"/>
    <x v="2"/>
    <d v="2023-08-12T00:00:00"/>
    <x v="1"/>
    <n v="3512"/>
    <x v="103"/>
    <n v="2.92"/>
    <n v="63"/>
  </r>
  <r>
    <s v="S1104"/>
    <x v="104"/>
    <x v="1"/>
    <x v="2"/>
    <d v="2024-06-13T00:00:00"/>
    <x v="0"/>
    <n v="4717"/>
    <x v="104"/>
    <n v="3.58"/>
    <n v="1"/>
  </r>
  <r>
    <s v="S1105"/>
    <x v="105"/>
    <x v="2"/>
    <x v="0"/>
    <d v="2023-06-15T00:00:00"/>
    <x v="2"/>
    <n v="2717"/>
    <x v="105"/>
    <n v="2.14"/>
    <n v="11"/>
  </r>
  <r>
    <s v="S1106"/>
    <x v="106"/>
    <x v="1"/>
    <x v="2"/>
    <d v="2022-02-09T00:00:00"/>
    <x v="1"/>
    <n v="9160"/>
    <x v="106"/>
    <n v="3.59"/>
    <n v="2"/>
  </r>
  <r>
    <s v="S1107"/>
    <x v="107"/>
    <x v="7"/>
    <x v="0"/>
    <d v="2023-04-03T00:00:00"/>
    <x v="0"/>
    <n v="3268"/>
    <x v="107"/>
    <n v="2.85"/>
    <n v="59"/>
  </r>
  <r>
    <s v="S1108"/>
    <x v="108"/>
    <x v="3"/>
    <x v="2"/>
    <d v="2023-01-06T00:00:00"/>
    <x v="0"/>
    <n v="4636"/>
    <x v="108"/>
    <n v="3.31"/>
    <n v="60"/>
  </r>
  <r>
    <s v="S1109"/>
    <x v="109"/>
    <x v="4"/>
    <x v="2"/>
    <d v="2023-10-24T00:00:00"/>
    <x v="0"/>
    <n v="10654"/>
    <x v="109"/>
    <n v="2.67"/>
    <n v="53"/>
  </r>
  <r>
    <s v="S1110"/>
    <x v="110"/>
    <x v="4"/>
    <x v="2"/>
    <d v="2023-04-20T00:00:00"/>
    <x v="0"/>
    <n v="9355"/>
    <x v="110"/>
    <n v="3.02"/>
    <n v="92"/>
  </r>
  <r>
    <s v="S1111"/>
    <x v="111"/>
    <x v="5"/>
    <x v="1"/>
    <d v="2022-10-30T00:00:00"/>
    <x v="0"/>
    <n v="12309"/>
    <x v="111"/>
    <n v="2.71"/>
    <n v="116"/>
  </r>
  <r>
    <s v="S1112"/>
    <x v="112"/>
    <x v="3"/>
    <x v="2"/>
    <d v="2024-02-11T00:00:00"/>
    <x v="0"/>
    <n v="8529"/>
    <x v="112"/>
    <n v="3.62"/>
    <n v="95"/>
  </r>
  <r>
    <s v="S1113"/>
    <x v="113"/>
    <x v="0"/>
    <x v="3"/>
    <d v="2022-10-01T00:00:00"/>
    <x v="0"/>
    <n v="7580"/>
    <x v="113"/>
    <n v="3.77"/>
    <n v="82"/>
  </r>
  <r>
    <s v="S1114"/>
    <x v="114"/>
    <x v="5"/>
    <x v="3"/>
    <d v="2022-02-02T00:00:00"/>
    <x v="0"/>
    <n v="4713"/>
    <x v="114"/>
    <n v="2.87"/>
    <n v="98"/>
  </r>
  <r>
    <s v="S1115"/>
    <x v="115"/>
    <x v="0"/>
    <x v="1"/>
    <d v="2022-02-04T00:00:00"/>
    <x v="0"/>
    <n v="9304"/>
    <x v="115"/>
    <n v="2.62"/>
    <n v="102"/>
  </r>
  <r>
    <s v="S1116"/>
    <x v="116"/>
    <x v="2"/>
    <x v="1"/>
    <d v="2024-03-18T00:00:00"/>
    <x v="0"/>
    <n v="2599"/>
    <x v="116"/>
    <n v="3.62"/>
    <n v="5"/>
  </r>
  <r>
    <s v="S1117"/>
    <x v="117"/>
    <x v="1"/>
    <x v="3"/>
    <d v="2023-10-03T00:00:00"/>
    <x v="0"/>
    <n v="12572"/>
    <x v="117"/>
    <n v="3.67"/>
    <n v="14"/>
  </r>
  <r>
    <s v="S1118"/>
    <x v="118"/>
    <x v="2"/>
    <x v="0"/>
    <d v="2024-02-28T00:00:00"/>
    <x v="0"/>
    <n v="10736"/>
    <x v="118"/>
    <n v="2.48"/>
    <n v="21"/>
  </r>
  <r>
    <s v="S1119"/>
    <x v="119"/>
    <x v="6"/>
    <x v="2"/>
    <d v="2022-02-17T00:00:00"/>
    <x v="0"/>
    <n v="11349"/>
    <x v="119"/>
    <n v="3.5"/>
    <n v="112"/>
  </r>
  <r>
    <s v="S1120"/>
    <x v="120"/>
    <x v="3"/>
    <x v="0"/>
    <d v="2023-07-11T00:00:00"/>
    <x v="0"/>
    <n v="2073"/>
    <x v="120"/>
    <n v="3.62"/>
    <n v="0"/>
  </r>
  <r>
    <s v="S1121"/>
    <x v="121"/>
    <x v="3"/>
    <x v="2"/>
    <d v="2023-11-06T00:00:00"/>
    <x v="1"/>
    <n v="3742"/>
    <x v="121"/>
    <n v="2.67"/>
    <n v="9"/>
  </r>
  <r>
    <s v="S1122"/>
    <x v="122"/>
    <x v="1"/>
    <x v="1"/>
    <d v="2024-01-08T00:00:00"/>
    <x v="0"/>
    <n v="5954"/>
    <x v="122"/>
    <n v="2.82"/>
    <n v="57"/>
  </r>
  <r>
    <s v="S1123"/>
    <x v="123"/>
    <x v="1"/>
    <x v="0"/>
    <d v="2023-11-26T00:00:00"/>
    <x v="1"/>
    <n v="5513"/>
    <x v="123"/>
    <n v="2.72"/>
    <n v="79"/>
  </r>
  <r>
    <s v="S1124"/>
    <x v="124"/>
    <x v="6"/>
    <x v="0"/>
    <d v="2024-03-13T00:00:00"/>
    <x v="1"/>
    <n v="9374"/>
    <x v="124"/>
    <n v="3.9"/>
    <n v="92"/>
  </r>
  <r>
    <s v="S1125"/>
    <x v="125"/>
    <x v="6"/>
    <x v="3"/>
    <d v="2022-09-21T00:00:00"/>
    <x v="0"/>
    <n v="13694"/>
    <x v="125"/>
    <n v="2.2400000000000002"/>
    <n v="42"/>
  </r>
  <r>
    <s v="S1126"/>
    <x v="126"/>
    <x v="4"/>
    <x v="3"/>
    <d v="2023-12-11T00:00:00"/>
    <x v="1"/>
    <n v="7401"/>
    <x v="126"/>
    <n v="3.24"/>
    <n v="1"/>
  </r>
  <r>
    <s v="S1127"/>
    <x v="127"/>
    <x v="4"/>
    <x v="2"/>
    <d v="2024-03-28T00:00:00"/>
    <x v="0"/>
    <n v="10718"/>
    <x v="127"/>
    <n v="3.21"/>
    <n v="32"/>
  </r>
  <r>
    <s v="S1128"/>
    <x v="128"/>
    <x v="5"/>
    <x v="2"/>
    <d v="2022-02-27T00:00:00"/>
    <x v="0"/>
    <n v="8809"/>
    <x v="128"/>
    <n v="2.92"/>
    <n v="39"/>
  </r>
  <r>
    <s v="S1129"/>
    <x v="129"/>
    <x v="3"/>
    <x v="3"/>
    <d v="2023-04-21T00:00:00"/>
    <x v="2"/>
    <n v="5590"/>
    <x v="129"/>
    <n v="2.37"/>
    <n v="4"/>
  </r>
  <r>
    <s v="S1130"/>
    <x v="130"/>
    <x v="5"/>
    <x v="2"/>
    <d v="2022-06-02T00:00:00"/>
    <x v="1"/>
    <n v="4728"/>
    <x v="130"/>
    <n v="3.64"/>
    <n v="39"/>
  </r>
  <r>
    <s v="S1131"/>
    <x v="131"/>
    <x v="4"/>
    <x v="2"/>
    <d v="2022-05-08T00:00:00"/>
    <x v="1"/>
    <n v="9469"/>
    <x v="131"/>
    <n v="2.94"/>
    <n v="53"/>
  </r>
  <r>
    <s v="S1132"/>
    <x v="132"/>
    <x v="7"/>
    <x v="3"/>
    <d v="2022-07-31T00:00:00"/>
    <x v="0"/>
    <n v="10140"/>
    <x v="132"/>
    <n v="3.6"/>
    <n v="115"/>
  </r>
  <r>
    <s v="S1133"/>
    <x v="133"/>
    <x v="5"/>
    <x v="2"/>
    <d v="2024-01-16T00:00:00"/>
    <x v="0"/>
    <n v="9766"/>
    <x v="133"/>
    <n v="3.41"/>
    <n v="56"/>
  </r>
  <r>
    <s v="S1134"/>
    <x v="134"/>
    <x v="2"/>
    <x v="2"/>
    <d v="2023-11-29T00:00:00"/>
    <x v="1"/>
    <n v="3860"/>
    <x v="134"/>
    <n v="3.15"/>
    <n v="103"/>
  </r>
  <r>
    <s v="S1135"/>
    <x v="135"/>
    <x v="1"/>
    <x v="0"/>
    <d v="2023-07-02T00:00:00"/>
    <x v="1"/>
    <n v="7810"/>
    <x v="135"/>
    <n v="3.97"/>
    <n v="63"/>
  </r>
  <r>
    <s v="S1136"/>
    <x v="136"/>
    <x v="4"/>
    <x v="2"/>
    <d v="2024-03-13T00:00:00"/>
    <x v="2"/>
    <n v="2993"/>
    <x v="136"/>
    <n v="3.79"/>
    <n v="111"/>
  </r>
  <r>
    <s v="S1137"/>
    <x v="137"/>
    <x v="4"/>
    <x v="1"/>
    <d v="2022-07-03T00:00:00"/>
    <x v="0"/>
    <n v="2004"/>
    <x v="137"/>
    <n v="3.84"/>
    <n v="87"/>
  </r>
  <r>
    <s v="S1138"/>
    <x v="138"/>
    <x v="7"/>
    <x v="0"/>
    <d v="2022-07-14T00:00:00"/>
    <x v="2"/>
    <n v="8745"/>
    <x v="138"/>
    <n v="2.97"/>
    <n v="31"/>
  </r>
  <r>
    <s v="S1139"/>
    <x v="139"/>
    <x v="5"/>
    <x v="1"/>
    <d v="2022-03-11T00:00:00"/>
    <x v="0"/>
    <n v="13687"/>
    <x v="139"/>
    <n v="3.07"/>
    <n v="39"/>
  </r>
  <r>
    <s v="S1140"/>
    <x v="140"/>
    <x v="6"/>
    <x v="0"/>
    <d v="2022-07-24T00:00:00"/>
    <x v="0"/>
    <n v="14018"/>
    <x v="140"/>
    <n v="2.0699999999999998"/>
    <n v="33"/>
  </r>
  <r>
    <s v="S1141"/>
    <x v="141"/>
    <x v="7"/>
    <x v="2"/>
    <d v="2022-10-07T00:00:00"/>
    <x v="0"/>
    <n v="9817"/>
    <x v="141"/>
    <n v="2.57"/>
    <n v="48"/>
  </r>
  <r>
    <s v="S1142"/>
    <x v="142"/>
    <x v="4"/>
    <x v="0"/>
    <d v="2023-03-15T00:00:00"/>
    <x v="1"/>
    <n v="13150"/>
    <x v="142"/>
    <n v="2.38"/>
    <n v="87"/>
  </r>
  <r>
    <s v="S1143"/>
    <x v="143"/>
    <x v="4"/>
    <x v="0"/>
    <d v="2023-07-16T00:00:00"/>
    <x v="1"/>
    <n v="14774"/>
    <x v="143"/>
    <n v="3.78"/>
    <n v="106"/>
  </r>
  <r>
    <s v="S1144"/>
    <x v="144"/>
    <x v="5"/>
    <x v="2"/>
    <d v="2024-03-17T00:00:00"/>
    <x v="0"/>
    <n v="5340"/>
    <x v="144"/>
    <n v="2.54"/>
    <n v="59"/>
  </r>
  <r>
    <s v="S1145"/>
    <x v="145"/>
    <x v="2"/>
    <x v="2"/>
    <d v="2022-01-18T00:00:00"/>
    <x v="1"/>
    <n v="12094"/>
    <x v="145"/>
    <n v="2.27"/>
    <n v="69"/>
  </r>
  <r>
    <s v="S1146"/>
    <x v="146"/>
    <x v="6"/>
    <x v="0"/>
    <d v="2023-03-29T00:00:00"/>
    <x v="0"/>
    <n v="14344"/>
    <x v="146"/>
    <n v="3.34"/>
    <n v="3"/>
  </r>
  <r>
    <s v="S1147"/>
    <x v="147"/>
    <x v="6"/>
    <x v="1"/>
    <d v="2022-08-21T00:00:00"/>
    <x v="0"/>
    <n v="7247"/>
    <x v="147"/>
    <n v="2.27"/>
    <n v="109"/>
  </r>
  <r>
    <s v="S1148"/>
    <x v="148"/>
    <x v="5"/>
    <x v="3"/>
    <d v="2023-07-31T00:00:00"/>
    <x v="0"/>
    <n v="8141"/>
    <x v="148"/>
    <n v="2.17"/>
    <n v="113"/>
  </r>
  <r>
    <s v="S1149"/>
    <x v="149"/>
    <x v="6"/>
    <x v="3"/>
    <d v="2022-05-15T00:00:00"/>
    <x v="0"/>
    <n v="9809"/>
    <x v="149"/>
    <n v="2.4"/>
    <n v="87"/>
  </r>
  <r>
    <s v="S1150"/>
    <x v="150"/>
    <x v="1"/>
    <x v="1"/>
    <d v="2022-10-04T00:00:00"/>
    <x v="0"/>
    <n v="10454"/>
    <x v="150"/>
    <n v="2.06"/>
    <n v="29"/>
  </r>
  <r>
    <s v="S1151"/>
    <x v="151"/>
    <x v="6"/>
    <x v="1"/>
    <d v="2023-08-26T00:00:00"/>
    <x v="0"/>
    <n v="10121"/>
    <x v="151"/>
    <n v="2.3199999999999998"/>
    <n v="90"/>
  </r>
  <r>
    <s v="S1152"/>
    <x v="152"/>
    <x v="5"/>
    <x v="2"/>
    <d v="2024-05-28T00:00:00"/>
    <x v="0"/>
    <n v="4736"/>
    <x v="152"/>
    <n v="3.01"/>
    <n v="17"/>
  </r>
  <r>
    <s v="S1153"/>
    <x v="153"/>
    <x v="4"/>
    <x v="2"/>
    <d v="2022-02-26T00:00:00"/>
    <x v="2"/>
    <n v="9014"/>
    <x v="153"/>
    <n v="2.99"/>
    <n v="45"/>
  </r>
  <r>
    <s v="S1154"/>
    <x v="154"/>
    <x v="0"/>
    <x v="1"/>
    <d v="2024-06-16T00:00:00"/>
    <x v="0"/>
    <n v="2715"/>
    <x v="154"/>
    <n v="3.53"/>
    <n v="0"/>
  </r>
  <r>
    <s v="S1155"/>
    <x v="155"/>
    <x v="0"/>
    <x v="1"/>
    <d v="2023-03-15T00:00:00"/>
    <x v="0"/>
    <n v="13742"/>
    <x v="155"/>
    <n v="2.35"/>
    <n v="38"/>
  </r>
  <r>
    <s v="S1156"/>
    <x v="156"/>
    <x v="5"/>
    <x v="3"/>
    <d v="2022-05-12T00:00:00"/>
    <x v="1"/>
    <n v="3617"/>
    <x v="156"/>
    <n v="2.81"/>
    <n v="5"/>
  </r>
  <r>
    <s v="S1157"/>
    <x v="157"/>
    <x v="0"/>
    <x v="2"/>
    <d v="2022-05-25T00:00:00"/>
    <x v="1"/>
    <n v="13091"/>
    <x v="157"/>
    <n v="3.49"/>
    <n v="0"/>
  </r>
  <r>
    <s v="S1158"/>
    <x v="158"/>
    <x v="4"/>
    <x v="1"/>
    <d v="2024-02-26T00:00:00"/>
    <x v="2"/>
    <n v="11936"/>
    <x v="158"/>
    <n v="2.5299999999999998"/>
    <n v="93"/>
  </r>
  <r>
    <s v="S1159"/>
    <x v="159"/>
    <x v="0"/>
    <x v="0"/>
    <d v="2022-02-13T00:00:00"/>
    <x v="0"/>
    <n v="14162"/>
    <x v="23"/>
    <n v="3.75"/>
    <n v="115"/>
  </r>
  <r>
    <s v="S1160"/>
    <x v="160"/>
    <x v="4"/>
    <x v="0"/>
    <d v="2022-01-18T00:00:00"/>
    <x v="0"/>
    <n v="12730"/>
    <x v="159"/>
    <n v="3.22"/>
    <n v="99"/>
  </r>
  <r>
    <s v="S1161"/>
    <x v="161"/>
    <x v="7"/>
    <x v="1"/>
    <d v="2023-10-14T00:00:00"/>
    <x v="1"/>
    <n v="12837"/>
    <x v="160"/>
    <n v="3.52"/>
    <n v="105"/>
  </r>
  <r>
    <s v="S1162"/>
    <x v="162"/>
    <x v="4"/>
    <x v="2"/>
    <d v="2023-04-09T00:00:00"/>
    <x v="2"/>
    <n v="6301"/>
    <x v="161"/>
    <n v="3.23"/>
    <n v="117"/>
  </r>
  <r>
    <s v="S1163"/>
    <x v="163"/>
    <x v="5"/>
    <x v="2"/>
    <d v="2022-05-25T00:00:00"/>
    <x v="0"/>
    <n v="12857"/>
    <x v="162"/>
    <n v="2.76"/>
    <n v="4"/>
  </r>
  <r>
    <s v="S1164"/>
    <x v="164"/>
    <x v="3"/>
    <x v="0"/>
    <d v="2022-08-30T00:00:00"/>
    <x v="0"/>
    <n v="10432"/>
    <x v="163"/>
    <n v="3.08"/>
    <n v="77"/>
  </r>
  <r>
    <s v="S1165"/>
    <x v="165"/>
    <x v="3"/>
    <x v="1"/>
    <d v="2022-10-04T00:00:00"/>
    <x v="1"/>
    <n v="11825"/>
    <x v="164"/>
    <n v="3.93"/>
    <n v="43"/>
  </r>
  <r>
    <s v="S1166"/>
    <x v="166"/>
    <x v="1"/>
    <x v="3"/>
    <d v="2023-12-02T00:00:00"/>
    <x v="0"/>
    <n v="3474"/>
    <x v="165"/>
    <n v="3.89"/>
    <n v="111"/>
  </r>
  <r>
    <s v="S1167"/>
    <x v="167"/>
    <x v="2"/>
    <x v="0"/>
    <d v="2022-01-22T00:00:00"/>
    <x v="1"/>
    <n v="14567"/>
    <x v="166"/>
    <n v="2.2400000000000002"/>
    <n v="9"/>
  </r>
  <r>
    <s v="S1168"/>
    <x v="168"/>
    <x v="6"/>
    <x v="2"/>
    <d v="2023-01-07T00:00:00"/>
    <x v="0"/>
    <n v="12381"/>
    <x v="167"/>
    <n v="2.57"/>
    <n v="104"/>
  </r>
  <r>
    <s v="S1169"/>
    <x v="169"/>
    <x v="1"/>
    <x v="1"/>
    <d v="2024-04-04T00:00:00"/>
    <x v="0"/>
    <n v="14324"/>
    <x v="168"/>
    <n v="3.29"/>
    <n v="36"/>
  </r>
  <r>
    <s v="S1170"/>
    <x v="170"/>
    <x v="4"/>
    <x v="3"/>
    <d v="2023-09-19T00:00:00"/>
    <x v="0"/>
    <n v="12649"/>
    <x v="169"/>
    <n v="2.2999999999999998"/>
    <n v="77"/>
  </r>
  <r>
    <s v="S1171"/>
    <x v="171"/>
    <x v="3"/>
    <x v="0"/>
    <d v="2023-12-22T00:00:00"/>
    <x v="1"/>
    <n v="14074"/>
    <x v="170"/>
    <n v="3.43"/>
    <n v="82"/>
  </r>
  <r>
    <s v="S1172"/>
    <x v="172"/>
    <x v="0"/>
    <x v="3"/>
    <d v="2024-02-05T00:00:00"/>
    <x v="1"/>
    <n v="3427"/>
    <x v="171"/>
    <n v="3.35"/>
    <n v="24"/>
  </r>
  <r>
    <s v="S1173"/>
    <x v="173"/>
    <x v="1"/>
    <x v="0"/>
    <d v="2022-01-27T00:00:00"/>
    <x v="0"/>
    <n v="12397"/>
    <x v="172"/>
    <n v="3.54"/>
    <n v="60"/>
  </r>
  <r>
    <s v="S1174"/>
    <x v="174"/>
    <x v="3"/>
    <x v="1"/>
    <d v="2022-04-17T00:00:00"/>
    <x v="2"/>
    <n v="6795"/>
    <x v="173"/>
    <n v="2.66"/>
    <n v="64"/>
  </r>
  <r>
    <s v="S1175"/>
    <x v="175"/>
    <x v="4"/>
    <x v="3"/>
    <d v="2022-05-19T00:00:00"/>
    <x v="1"/>
    <n v="8638"/>
    <x v="174"/>
    <n v="3.5"/>
    <n v="113"/>
  </r>
  <r>
    <s v="S1176"/>
    <x v="176"/>
    <x v="1"/>
    <x v="1"/>
    <d v="2023-01-30T00:00:00"/>
    <x v="2"/>
    <n v="7115"/>
    <x v="175"/>
    <n v="2.46"/>
    <n v="113"/>
  </r>
  <r>
    <s v="S1177"/>
    <x v="177"/>
    <x v="7"/>
    <x v="3"/>
    <d v="2022-07-03T00:00:00"/>
    <x v="1"/>
    <n v="9350"/>
    <x v="176"/>
    <n v="2.27"/>
    <n v="42"/>
  </r>
  <r>
    <s v="S1178"/>
    <x v="178"/>
    <x v="4"/>
    <x v="3"/>
    <d v="2023-11-11T00:00:00"/>
    <x v="0"/>
    <n v="9814"/>
    <x v="177"/>
    <n v="3.3"/>
    <n v="26"/>
  </r>
  <r>
    <s v="S1179"/>
    <x v="179"/>
    <x v="5"/>
    <x v="1"/>
    <d v="2024-03-27T00:00:00"/>
    <x v="1"/>
    <n v="3206"/>
    <x v="178"/>
    <n v="2.2200000000000002"/>
    <n v="76"/>
  </r>
  <r>
    <s v="S1180"/>
    <x v="180"/>
    <x v="3"/>
    <x v="1"/>
    <d v="2023-10-08T00:00:00"/>
    <x v="0"/>
    <n v="3198"/>
    <x v="179"/>
    <n v="2.64"/>
    <n v="69"/>
  </r>
  <r>
    <s v="S1181"/>
    <x v="181"/>
    <x v="5"/>
    <x v="1"/>
    <d v="2022-07-19T00:00:00"/>
    <x v="0"/>
    <n v="2972"/>
    <x v="180"/>
    <n v="3.6"/>
    <n v="24"/>
  </r>
  <r>
    <s v="S1182"/>
    <x v="182"/>
    <x v="1"/>
    <x v="0"/>
    <d v="2024-02-05T00:00:00"/>
    <x v="0"/>
    <n v="8985"/>
    <x v="181"/>
    <n v="2.1"/>
    <n v="9"/>
  </r>
  <r>
    <s v="S1183"/>
    <x v="183"/>
    <x v="4"/>
    <x v="0"/>
    <d v="2023-01-08T00:00:00"/>
    <x v="0"/>
    <n v="8434"/>
    <x v="182"/>
    <n v="3.62"/>
    <n v="50"/>
  </r>
  <r>
    <s v="S1184"/>
    <x v="184"/>
    <x v="7"/>
    <x v="0"/>
    <d v="2024-04-07T00:00:00"/>
    <x v="2"/>
    <n v="8637"/>
    <x v="183"/>
    <n v="2.02"/>
    <n v="2"/>
  </r>
  <r>
    <s v="S1185"/>
    <x v="185"/>
    <x v="2"/>
    <x v="0"/>
    <d v="2022-01-21T00:00:00"/>
    <x v="0"/>
    <n v="7498"/>
    <x v="184"/>
    <n v="2.66"/>
    <n v="61"/>
  </r>
  <r>
    <s v="S1186"/>
    <x v="186"/>
    <x v="6"/>
    <x v="0"/>
    <d v="2022-08-24T00:00:00"/>
    <x v="0"/>
    <n v="8592"/>
    <x v="185"/>
    <n v="2.95"/>
    <n v="113"/>
  </r>
  <r>
    <s v="S1187"/>
    <x v="187"/>
    <x v="0"/>
    <x v="1"/>
    <d v="2023-01-09T00:00:00"/>
    <x v="0"/>
    <n v="13019"/>
    <x v="186"/>
    <n v="3.4"/>
    <n v="5"/>
  </r>
  <r>
    <s v="S1188"/>
    <x v="188"/>
    <x v="4"/>
    <x v="3"/>
    <d v="2024-02-11T00:00:00"/>
    <x v="0"/>
    <n v="4919"/>
    <x v="187"/>
    <n v="2.46"/>
    <n v="38"/>
  </r>
  <r>
    <s v="S1189"/>
    <x v="189"/>
    <x v="1"/>
    <x v="3"/>
    <d v="2023-04-22T00:00:00"/>
    <x v="0"/>
    <n v="2581"/>
    <x v="188"/>
    <n v="3.75"/>
    <n v="22"/>
  </r>
  <r>
    <s v="S1190"/>
    <x v="190"/>
    <x v="6"/>
    <x v="2"/>
    <d v="2023-03-15T00:00:00"/>
    <x v="0"/>
    <n v="7675"/>
    <x v="189"/>
    <n v="3.24"/>
    <n v="62"/>
  </r>
  <r>
    <s v="S1191"/>
    <x v="191"/>
    <x v="4"/>
    <x v="1"/>
    <d v="2023-04-20T00:00:00"/>
    <x v="0"/>
    <n v="3222"/>
    <x v="190"/>
    <n v="2.38"/>
    <n v="6"/>
  </r>
  <r>
    <s v="S1192"/>
    <x v="192"/>
    <x v="1"/>
    <x v="1"/>
    <d v="2022-02-14T00:00:00"/>
    <x v="0"/>
    <n v="14952"/>
    <x v="191"/>
    <n v="2.34"/>
    <n v="77"/>
  </r>
  <r>
    <s v="S1193"/>
    <x v="193"/>
    <x v="1"/>
    <x v="0"/>
    <d v="2022-04-27T00:00:00"/>
    <x v="0"/>
    <n v="2577"/>
    <x v="134"/>
    <n v="3.43"/>
    <n v="99"/>
  </r>
  <r>
    <s v="S1194"/>
    <x v="194"/>
    <x v="7"/>
    <x v="2"/>
    <d v="2022-10-27T00:00:00"/>
    <x v="2"/>
    <n v="8254"/>
    <x v="192"/>
    <n v="3.3"/>
    <n v="97"/>
  </r>
  <r>
    <s v="S1195"/>
    <x v="195"/>
    <x v="5"/>
    <x v="2"/>
    <d v="2024-03-17T00:00:00"/>
    <x v="2"/>
    <n v="3770"/>
    <x v="193"/>
    <n v="2.73"/>
    <n v="23"/>
  </r>
  <r>
    <s v="S1196"/>
    <x v="196"/>
    <x v="2"/>
    <x v="1"/>
    <d v="2022-02-21T00:00:00"/>
    <x v="0"/>
    <n v="8294"/>
    <x v="194"/>
    <n v="2.5099999999999998"/>
    <n v="80"/>
  </r>
  <r>
    <s v="S1197"/>
    <x v="197"/>
    <x v="4"/>
    <x v="2"/>
    <d v="2022-04-29T00:00:00"/>
    <x v="0"/>
    <n v="11110"/>
    <x v="195"/>
    <n v="2.83"/>
    <n v="93"/>
  </r>
  <r>
    <s v="S1198"/>
    <x v="198"/>
    <x v="4"/>
    <x v="3"/>
    <d v="2023-04-15T00:00:00"/>
    <x v="0"/>
    <n v="4826"/>
    <x v="196"/>
    <n v="3.3"/>
    <n v="48"/>
  </r>
  <r>
    <s v="S1199"/>
    <x v="199"/>
    <x v="3"/>
    <x v="3"/>
    <d v="2022-01-08T00:00:00"/>
    <x v="0"/>
    <n v="9328"/>
    <x v="197"/>
    <n v="2.5099999999999998"/>
    <n v="78"/>
  </r>
  <r>
    <s v="S1200"/>
    <x v="200"/>
    <x v="2"/>
    <x v="3"/>
    <d v="2023-11-03T00:00:00"/>
    <x v="1"/>
    <n v="10414"/>
    <x v="198"/>
    <n v="2.36"/>
    <n v="48"/>
  </r>
  <r>
    <s v="S1201"/>
    <x v="201"/>
    <x v="6"/>
    <x v="3"/>
    <d v="2022-09-09T00:00:00"/>
    <x v="0"/>
    <n v="5868"/>
    <x v="199"/>
    <n v="3.33"/>
    <n v="47"/>
  </r>
  <r>
    <s v="S1202"/>
    <x v="202"/>
    <x v="3"/>
    <x v="0"/>
    <d v="2023-05-10T00:00:00"/>
    <x v="0"/>
    <n v="13500"/>
    <x v="200"/>
    <n v="2.34"/>
    <n v="114"/>
  </r>
  <r>
    <s v="S1203"/>
    <x v="203"/>
    <x v="2"/>
    <x v="2"/>
    <d v="2022-11-30T00:00:00"/>
    <x v="0"/>
    <n v="5931"/>
    <x v="201"/>
    <n v="3.86"/>
    <n v="31"/>
  </r>
  <r>
    <s v="S1204"/>
    <x v="204"/>
    <x v="0"/>
    <x v="1"/>
    <d v="2024-06-11T00:00:00"/>
    <x v="1"/>
    <n v="9066"/>
    <x v="202"/>
    <n v="2.21"/>
    <n v="26"/>
  </r>
  <r>
    <s v="S1205"/>
    <x v="205"/>
    <x v="1"/>
    <x v="0"/>
    <d v="2022-06-18T00:00:00"/>
    <x v="0"/>
    <n v="7462"/>
    <x v="203"/>
    <n v="3.01"/>
    <n v="72"/>
  </r>
  <r>
    <s v="S1206"/>
    <x v="206"/>
    <x v="4"/>
    <x v="3"/>
    <d v="2023-08-25T00:00:00"/>
    <x v="0"/>
    <n v="13915"/>
    <x v="204"/>
    <n v="3"/>
    <n v="79"/>
  </r>
  <r>
    <s v="S1207"/>
    <x v="207"/>
    <x v="2"/>
    <x v="3"/>
    <d v="2022-05-02T00:00:00"/>
    <x v="1"/>
    <n v="10682"/>
    <x v="205"/>
    <n v="2.58"/>
    <n v="34"/>
  </r>
  <r>
    <s v="S1208"/>
    <x v="208"/>
    <x v="2"/>
    <x v="0"/>
    <d v="2022-01-04T00:00:00"/>
    <x v="0"/>
    <n v="7804"/>
    <x v="206"/>
    <n v="3.63"/>
    <n v="68"/>
  </r>
  <r>
    <s v="S1209"/>
    <x v="209"/>
    <x v="5"/>
    <x v="0"/>
    <d v="2024-05-21T00:00:00"/>
    <x v="1"/>
    <n v="14208"/>
    <x v="207"/>
    <n v="2.4"/>
    <n v="64"/>
  </r>
  <r>
    <s v="S1210"/>
    <x v="210"/>
    <x v="2"/>
    <x v="1"/>
    <d v="2024-04-18T00:00:00"/>
    <x v="2"/>
    <n v="10912"/>
    <x v="208"/>
    <n v="2.34"/>
    <n v="43"/>
  </r>
  <r>
    <s v="S1211"/>
    <x v="211"/>
    <x v="1"/>
    <x v="0"/>
    <d v="2023-11-01T00:00:00"/>
    <x v="0"/>
    <n v="4292"/>
    <x v="209"/>
    <n v="3.5"/>
    <n v="96"/>
  </r>
  <r>
    <s v="S1212"/>
    <x v="212"/>
    <x v="4"/>
    <x v="2"/>
    <d v="2023-11-15T00:00:00"/>
    <x v="1"/>
    <n v="13557"/>
    <x v="210"/>
    <n v="2.0299999999999998"/>
    <n v="111"/>
  </r>
  <r>
    <s v="S1213"/>
    <x v="213"/>
    <x v="1"/>
    <x v="3"/>
    <d v="2023-09-06T00:00:00"/>
    <x v="1"/>
    <n v="9626"/>
    <x v="211"/>
    <n v="3.38"/>
    <n v="17"/>
  </r>
  <r>
    <s v="S1214"/>
    <x v="214"/>
    <x v="0"/>
    <x v="0"/>
    <d v="2023-08-19T00:00:00"/>
    <x v="0"/>
    <n v="13924"/>
    <x v="212"/>
    <n v="2.89"/>
    <n v="108"/>
  </r>
  <r>
    <s v="S1215"/>
    <x v="215"/>
    <x v="1"/>
    <x v="3"/>
    <d v="2022-08-29T00:00:00"/>
    <x v="0"/>
    <n v="11491"/>
    <x v="213"/>
    <n v="2.95"/>
    <n v="5"/>
  </r>
  <r>
    <s v="S1216"/>
    <x v="216"/>
    <x v="7"/>
    <x v="1"/>
    <d v="2024-04-06T00:00:00"/>
    <x v="0"/>
    <n v="3781"/>
    <x v="214"/>
    <n v="3.36"/>
    <n v="6"/>
  </r>
  <r>
    <s v="S1217"/>
    <x v="217"/>
    <x v="1"/>
    <x v="3"/>
    <d v="2023-11-22T00:00:00"/>
    <x v="1"/>
    <n v="12986"/>
    <x v="215"/>
    <n v="2.85"/>
    <n v="90"/>
  </r>
  <r>
    <s v="S1218"/>
    <x v="218"/>
    <x v="7"/>
    <x v="0"/>
    <d v="2022-06-07T00:00:00"/>
    <x v="0"/>
    <n v="5785"/>
    <x v="216"/>
    <n v="3.75"/>
    <n v="96"/>
  </r>
  <r>
    <s v="S1219"/>
    <x v="219"/>
    <x v="1"/>
    <x v="3"/>
    <d v="2022-12-29T00:00:00"/>
    <x v="0"/>
    <n v="6786"/>
    <x v="217"/>
    <n v="2.57"/>
    <n v="28"/>
  </r>
  <r>
    <s v="S1220"/>
    <x v="220"/>
    <x v="4"/>
    <x v="2"/>
    <d v="2022-10-09T00:00:00"/>
    <x v="0"/>
    <n v="6615"/>
    <x v="218"/>
    <n v="2.04"/>
    <n v="38"/>
  </r>
  <r>
    <s v="S1221"/>
    <x v="221"/>
    <x v="6"/>
    <x v="1"/>
    <d v="2024-06-06T00:00:00"/>
    <x v="0"/>
    <n v="9625"/>
    <x v="219"/>
    <n v="3.69"/>
    <n v="6"/>
  </r>
  <r>
    <s v="S1222"/>
    <x v="222"/>
    <x v="7"/>
    <x v="3"/>
    <d v="2023-09-23T00:00:00"/>
    <x v="0"/>
    <n v="13304"/>
    <x v="220"/>
    <n v="3.24"/>
    <n v="96"/>
  </r>
  <r>
    <s v="S1223"/>
    <x v="223"/>
    <x v="6"/>
    <x v="0"/>
    <d v="2023-07-09T00:00:00"/>
    <x v="0"/>
    <n v="4559"/>
    <x v="221"/>
    <n v="3.67"/>
    <n v="105"/>
  </r>
  <r>
    <s v="S1224"/>
    <x v="224"/>
    <x v="7"/>
    <x v="2"/>
    <d v="2022-08-04T00:00:00"/>
    <x v="0"/>
    <n v="4418"/>
    <x v="222"/>
    <n v="2.12"/>
    <n v="65"/>
  </r>
  <r>
    <s v="S1225"/>
    <x v="225"/>
    <x v="4"/>
    <x v="1"/>
    <d v="2022-10-08T00:00:00"/>
    <x v="0"/>
    <n v="11433"/>
    <x v="223"/>
    <n v="2.87"/>
    <n v="55"/>
  </r>
  <r>
    <s v="S1226"/>
    <x v="226"/>
    <x v="4"/>
    <x v="3"/>
    <d v="2023-08-11T00:00:00"/>
    <x v="0"/>
    <n v="10920"/>
    <x v="224"/>
    <n v="2.5299999999999998"/>
    <n v="35"/>
  </r>
  <r>
    <s v="S1227"/>
    <x v="227"/>
    <x v="5"/>
    <x v="0"/>
    <d v="2022-03-24T00:00:00"/>
    <x v="1"/>
    <n v="7532"/>
    <x v="209"/>
    <n v="2.84"/>
    <n v="53"/>
  </r>
  <r>
    <s v="S1228"/>
    <x v="228"/>
    <x v="4"/>
    <x v="3"/>
    <d v="2023-10-27T00:00:00"/>
    <x v="0"/>
    <n v="4365"/>
    <x v="225"/>
    <n v="3.09"/>
    <n v="24"/>
  </r>
  <r>
    <s v="S1229"/>
    <x v="229"/>
    <x v="6"/>
    <x v="0"/>
    <d v="2022-01-07T00:00:00"/>
    <x v="1"/>
    <n v="8437"/>
    <x v="226"/>
    <n v="2.61"/>
    <n v="78"/>
  </r>
  <r>
    <s v="S1230"/>
    <x v="230"/>
    <x v="6"/>
    <x v="3"/>
    <d v="2023-02-28T00:00:00"/>
    <x v="0"/>
    <n v="8696"/>
    <x v="227"/>
    <n v="2.88"/>
    <n v="83"/>
  </r>
  <r>
    <s v="S1231"/>
    <x v="231"/>
    <x v="2"/>
    <x v="3"/>
    <d v="2022-05-01T00:00:00"/>
    <x v="1"/>
    <n v="11639"/>
    <x v="228"/>
    <n v="3.24"/>
    <n v="43"/>
  </r>
  <r>
    <s v="S1232"/>
    <x v="232"/>
    <x v="4"/>
    <x v="1"/>
    <d v="2023-12-20T00:00:00"/>
    <x v="1"/>
    <n v="14104"/>
    <x v="229"/>
    <n v="3.12"/>
    <n v="119"/>
  </r>
  <r>
    <s v="S1233"/>
    <x v="233"/>
    <x v="3"/>
    <x v="1"/>
    <d v="2023-09-12T00:00:00"/>
    <x v="2"/>
    <n v="8577"/>
    <x v="230"/>
    <n v="2.21"/>
    <n v="47"/>
  </r>
  <r>
    <s v="S1234"/>
    <x v="234"/>
    <x v="3"/>
    <x v="0"/>
    <d v="2023-01-29T00:00:00"/>
    <x v="1"/>
    <n v="9465"/>
    <x v="231"/>
    <n v="2.44"/>
    <n v="62"/>
  </r>
  <r>
    <s v="S1235"/>
    <x v="235"/>
    <x v="7"/>
    <x v="0"/>
    <d v="2022-06-24T00:00:00"/>
    <x v="0"/>
    <n v="11825"/>
    <x v="232"/>
    <n v="2.14"/>
    <n v="90"/>
  </r>
  <r>
    <s v="S1236"/>
    <x v="236"/>
    <x v="7"/>
    <x v="3"/>
    <d v="2023-12-08T00:00:00"/>
    <x v="0"/>
    <n v="12026"/>
    <x v="233"/>
    <n v="3.64"/>
    <n v="15"/>
  </r>
  <r>
    <s v="S1237"/>
    <x v="237"/>
    <x v="5"/>
    <x v="0"/>
    <d v="2023-05-09T00:00:00"/>
    <x v="0"/>
    <n v="12137"/>
    <x v="234"/>
    <n v="3.33"/>
    <n v="59"/>
  </r>
  <r>
    <s v="S1238"/>
    <x v="238"/>
    <x v="6"/>
    <x v="1"/>
    <d v="2024-01-25T00:00:00"/>
    <x v="0"/>
    <n v="13153"/>
    <x v="235"/>
    <n v="3.35"/>
    <n v="4"/>
  </r>
  <r>
    <s v="S1239"/>
    <x v="239"/>
    <x v="6"/>
    <x v="2"/>
    <d v="2024-03-26T00:00:00"/>
    <x v="0"/>
    <n v="8445"/>
    <x v="236"/>
    <n v="2.66"/>
    <n v="106"/>
  </r>
  <r>
    <s v="S1240"/>
    <x v="240"/>
    <x v="3"/>
    <x v="3"/>
    <d v="2022-10-13T00:00:00"/>
    <x v="1"/>
    <n v="6582"/>
    <x v="64"/>
    <n v="2.9"/>
    <n v="68"/>
  </r>
  <r>
    <s v="S1241"/>
    <x v="241"/>
    <x v="5"/>
    <x v="3"/>
    <d v="2023-04-10T00:00:00"/>
    <x v="1"/>
    <n v="9924"/>
    <x v="237"/>
    <n v="2.79"/>
    <n v="25"/>
  </r>
  <r>
    <s v="S1242"/>
    <x v="242"/>
    <x v="5"/>
    <x v="0"/>
    <d v="2024-01-01T00:00:00"/>
    <x v="1"/>
    <n v="9436"/>
    <x v="238"/>
    <n v="2.27"/>
    <n v="69"/>
  </r>
  <r>
    <s v="S1243"/>
    <x v="243"/>
    <x v="4"/>
    <x v="2"/>
    <d v="2023-02-25T00:00:00"/>
    <x v="0"/>
    <n v="11021"/>
    <x v="239"/>
    <n v="2.08"/>
    <n v="13"/>
  </r>
  <r>
    <s v="S1244"/>
    <x v="244"/>
    <x v="1"/>
    <x v="3"/>
    <d v="2023-08-09T00:00:00"/>
    <x v="2"/>
    <n v="5204"/>
    <x v="240"/>
    <n v="2.2799999999999998"/>
    <n v="29"/>
  </r>
  <r>
    <s v="S1245"/>
    <x v="245"/>
    <x v="1"/>
    <x v="3"/>
    <d v="2024-05-11T00:00:00"/>
    <x v="0"/>
    <n v="2031"/>
    <x v="241"/>
    <n v="2.78"/>
    <n v="49"/>
  </r>
  <r>
    <s v="S1246"/>
    <x v="246"/>
    <x v="5"/>
    <x v="3"/>
    <d v="2024-02-12T00:00:00"/>
    <x v="0"/>
    <n v="9136"/>
    <x v="242"/>
    <n v="2.15"/>
    <n v="53"/>
  </r>
  <r>
    <s v="S1247"/>
    <x v="247"/>
    <x v="4"/>
    <x v="3"/>
    <d v="2022-11-29T00:00:00"/>
    <x v="0"/>
    <n v="7624"/>
    <x v="243"/>
    <n v="2.35"/>
    <n v="21"/>
  </r>
  <r>
    <s v="S1248"/>
    <x v="248"/>
    <x v="6"/>
    <x v="1"/>
    <d v="2023-07-30T00:00:00"/>
    <x v="0"/>
    <n v="14896"/>
    <x v="244"/>
    <n v="2.99"/>
    <n v="19"/>
  </r>
  <r>
    <s v="S1249"/>
    <x v="249"/>
    <x v="2"/>
    <x v="1"/>
    <d v="2023-01-16T00:00:00"/>
    <x v="0"/>
    <n v="9944"/>
    <x v="245"/>
    <n v="2.2000000000000002"/>
    <n v="74"/>
  </r>
  <r>
    <s v="S1250"/>
    <x v="250"/>
    <x v="0"/>
    <x v="3"/>
    <d v="2024-04-09T00:00:00"/>
    <x v="0"/>
    <n v="4101"/>
    <x v="246"/>
    <n v="2.59"/>
    <n v="77"/>
  </r>
  <r>
    <s v="S1251"/>
    <x v="251"/>
    <x v="4"/>
    <x v="0"/>
    <d v="2023-03-31T00:00:00"/>
    <x v="0"/>
    <n v="2923"/>
    <x v="247"/>
    <n v="3.9"/>
    <n v="116"/>
  </r>
  <r>
    <s v="S1252"/>
    <x v="252"/>
    <x v="0"/>
    <x v="2"/>
    <d v="2022-06-13T00:00:00"/>
    <x v="0"/>
    <n v="6135"/>
    <x v="248"/>
    <n v="2.1800000000000002"/>
    <n v="52"/>
  </r>
  <r>
    <s v="S1253"/>
    <x v="253"/>
    <x v="6"/>
    <x v="3"/>
    <d v="2023-06-07T00:00:00"/>
    <x v="2"/>
    <n v="5429"/>
    <x v="249"/>
    <n v="2.35"/>
    <n v="18"/>
  </r>
  <r>
    <s v="S1254"/>
    <x v="254"/>
    <x v="4"/>
    <x v="3"/>
    <d v="2024-02-18T00:00:00"/>
    <x v="0"/>
    <n v="9722"/>
    <x v="250"/>
    <n v="3.38"/>
    <n v="35"/>
  </r>
  <r>
    <s v="S1255"/>
    <x v="255"/>
    <x v="0"/>
    <x v="2"/>
    <d v="2022-01-24T00:00:00"/>
    <x v="0"/>
    <n v="8231"/>
    <x v="251"/>
    <n v="2.23"/>
    <n v="106"/>
  </r>
  <r>
    <s v="S1256"/>
    <x v="256"/>
    <x v="3"/>
    <x v="0"/>
    <d v="2023-09-20T00:00:00"/>
    <x v="0"/>
    <n v="6740"/>
    <x v="252"/>
    <n v="3.06"/>
    <n v="88"/>
  </r>
  <r>
    <s v="S1257"/>
    <x v="257"/>
    <x v="6"/>
    <x v="2"/>
    <d v="2022-10-23T00:00:00"/>
    <x v="1"/>
    <n v="3472"/>
    <x v="253"/>
    <n v="2.27"/>
    <n v="70"/>
  </r>
  <r>
    <s v="S1258"/>
    <x v="258"/>
    <x v="4"/>
    <x v="2"/>
    <d v="2024-03-10T00:00:00"/>
    <x v="2"/>
    <n v="14136"/>
    <x v="254"/>
    <n v="2.06"/>
    <n v="81"/>
  </r>
  <r>
    <s v="S1259"/>
    <x v="259"/>
    <x v="6"/>
    <x v="0"/>
    <d v="2023-01-11T00:00:00"/>
    <x v="1"/>
    <n v="8110"/>
    <x v="255"/>
    <n v="3.44"/>
    <n v="55"/>
  </r>
  <r>
    <s v="S1260"/>
    <x v="260"/>
    <x v="4"/>
    <x v="1"/>
    <d v="2023-03-10T00:00:00"/>
    <x v="1"/>
    <n v="4090"/>
    <x v="256"/>
    <n v="2.95"/>
    <n v="60"/>
  </r>
  <r>
    <s v="S1261"/>
    <x v="261"/>
    <x v="5"/>
    <x v="0"/>
    <d v="2023-01-26T00:00:00"/>
    <x v="0"/>
    <n v="2654"/>
    <x v="257"/>
    <n v="3.44"/>
    <n v="78"/>
  </r>
  <r>
    <s v="S1262"/>
    <x v="262"/>
    <x v="0"/>
    <x v="3"/>
    <d v="2023-12-16T00:00:00"/>
    <x v="0"/>
    <n v="14036"/>
    <x v="41"/>
    <n v="3.17"/>
    <n v="85"/>
  </r>
  <r>
    <s v="S1263"/>
    <x v="263"/>
    <x v="0"/>
    <x v="2"/>
    <d v="2022-02-27T00:00:00"/>
    <x v="1"/>
    <n v="9912"/>
    <x v="258"/>
    <n v="2.11"/>
    <n v="10"/>
  </r>
  <r>
    <s v="S1264"/>
    <x v="264"/>
    <x v="3"/>
    <x v="0"/>
    <d v="2022-12-27T00:00:00"/>
    <x v="1"/>
    <n v="6111"/>
    <x v="259"/>
    <n v="2.2200000000000002"/>
    <n v="48"/>
  </r>
  <r>
    <s v="S1265"/>
    <x v="265"/>
    <x v="3"/>
    <x v="3"/>
    <d v="2024-03-09T00:00:00"/>
    <x v="0"/>
    <n v="12375"/>
    <x v="260"/>
    <n v="2.54"/>
    <n v="40"/>
  </r>
  <r>
    <s v="S1266"/>
    <x v="266"/>
    <x v="6"/>
    <x v="1"/>
    <d v="2022-12-11T00:00:00"/>
    <x v="0"/>
    <n v="5864"/>
    <x v="261"/>
    <n v="3.14"/>
    <n v="79"/>
  </r>
  <r>
    <s v="S1267"/>
    <x v="267"/>
    <x v="3"/>
    <x v="0"/>
    <d v="2022-03-17T00:00:00"/>
    <x v="0"/>
    <n v="14547"/>
    <x v="262"/>
    <n v="3.06"/>
    <n v="67"/>
  </r>
  <r>
    <s v="S1268"/>
    <x v="268"/>
    <x v="4"/>
    <x v="0"/>
    <d v="2022-03-27T00:00:00"/>
    <x v="1"/>
    <n v="12862"/>
    <x v="263"/>
    <n v="3.69"/>
    <n v="85"/>
  </r>
  <r>
    <s v="S1269"/>
    <x v="269"/>
    <x v="2"/>
    <x v="0"/>
    <d v="2023-11-04T00:00:00"/>
    <x v="0"/>
    <n v="3181"/>
    <x v="264"/>
    <n v="2.2200000000000002"/>
    <n v="110"/>
  </r>
  <r>
    <s v="S1270"/>
    <x v="270"/>
    <x v="1"/>
    <x v="3"/>
    <d v="2022-07-17T00:00:00"/>
    <x v="1"/>
    <n v="7961"/>
    <x v="265"/>
    <n v="3.69"/>
    <n v="12"/>
  </r>
  <r>
    <s v="S1271"/>
    <x v="271"/>
    <x v="6"/>
    <x v="1"/>
    <d v="2022-12-14T00:00:00"/>
    <x v="1"/>
    <n v="3134"/>
    <x v="266"/>
    <n v="2.02"/>
    <n v="112"/>
  </r>
  <r>
    <s v="S1272"/>
    <x v="272"/>
    <x v="7"/>
    <x v="1"/>
    <d v="2023-05-14T00:00:00"/>
    <x v="1"/>
    <n v="13777"/>
    <x v="267"/>
    <n v="3.35"/>
    <n v="22"/>
  </r>
  <r>
    <s v="S1273"/>
    <x v="273"/>
    <x v="7"/>
    <x v="0"/>
    <d v="2024-04-05T00:00:00"/>
    <x v="0"/>
    <n v="13439"/>
    <x v="268"/>
    <n v="2.5099999999999998"/>
    <n v="104"/>
  </r>
  <r>
    <s v="S1274"/>
    <x v="274"/>
    <x v="6"/>
    <x v="1"/>
    <d v="2023-01-18T00:00:00"/>
    <x v="1"/>
    <n v="7518"/>
    <x v="269"/>
    <n v="3.59"/>
    <n v="48"/>
  </r>
  <r>
    <s v="S1275"/>
    <x v="275"/>
    <x v="5"/>
    <x v="2"/>
    <d v="2023-05-27T00:00:00"/>
    <x v="0"/>
    <n v="13408"/>
    <x v="270"/>
    <n v="2.15"/>
    <n v="22"/>
  </r>
  <r>
    <s v="S1276"/>
    <x v="276"/>
    <x v="0"/>
    <x v="0"/>
    <d v="2024-06-07T00:00:00"/>
    <x v="0"/>
    <n v="8007"/>
    <x v="271"/>
    <n v="2.42"/>
    <n v="37"/>
  </r>
  <r>
    <s v="S1277"/>
    <x v="277"/>
    <x v="0"/>
    <x v="3"/>
    <d v="2023-09-14T00:00:00"/>
    <x v="1"/>
    <n v="9757"/>
    <x v="272"/>
    <n v="3.36"/>
    <n v="103"/>
  </r>
  <r>
    <s v="S1278"/>
    <x v="278"/>
    <x v="3"/>
    <x v="3"/>
    <d v="2023-03-04T00:00:00"/>
    <x v="1"/>
    <n v="5923"/>
    <x v="273"/>
    <n v="2.2799999999999998"/>
    <n v="65"/>
  </r>
  <r>
    <s v="S1279"/>
    <x v="279"/>
    <x v="6"/>
    <x v="2"/>
    <d v="2023-10-11T00:00:00"/>
    <x v="1"/>
    <n v="11940"/>
    <x v="274"/>
    <n v="2.02"/>
    <n v="30"/>
  </r>
  <r>
    <s v="S1280"/>
    <x v="280"/>
    <x v="5"/>
    <x v="0"/>
    <d v="2023-08-17T00:00:00"/>
    <x v="1"/>
    <n v="12216"/>
    <x v="275"/>
    <n v="3.42"/>
    <n v="5"/>
  </r>
  <r>
    <s v="S1281"/>
    <x v="281"/>
    <x v="6"/>
    <x v="2"/>
    <d v="2022-12-15T00:00:00"/>
    <x v="0"/>
    <n v="8332"/>
    <x v="276"/>
    <n v="2.6"/>
    <n v="53"/>
  </r>
  <r>
    <s v="S1282"/>
    <x v="282"/>
    <x v="6"/>
    <x v="2"/>
    <d v="2022-11-04T00:00:00"/>
    <x v="0"/>
    <n v="8893"/>
    <x v="277"/>
    <n v="3.7"/>
    <n v="51"/>
  </r>
  <r>
    <s v="S1283"/>
    <x v="283"/>
    <x v="4"/>
    <x v="2"/>
    <d v="2022-06-13T00:00:00"/>
    <x v="2"/>
    <n v="9981"/>
    <x v="278"/>
    <n v="2.12"/>
    <n v="53"/>
  </r>
  <r>
    <s v="S1284"/>
    <x v="284"/>
    <x v="2"/>
    <x v="2"/>
    <d v="2023-11-24T00:00:00"/>
    <x v="1"/>
    <n v="9881"/>
    <x v="279"/>
    <n v="2.93"/>
    <n v="90"/>
  </r>
  <r>
    <s v="S1285"/>
    <x v="285"/>
    <x v="0"/>
    <x v="0"/>
    <d v="2023-09-09T00:00:00"/>
    <x v="0"/>
    <n v="2709"/>
    <x v="280"/>
    <n v="2.2599999999999998"/>
    <n v="50"/>
  </r>
  <r>
    <s v="S1286"/>
    <x v="286"/>
    <x v="1"/>
    <x v="2"/>
    <d v="2022-01-19T00:00:00"/>
    <x v="0"/>
    <n v="11935"/>
    <x v="281"/>
    <n v="2.36"/>
    <n v="31"/>
  </r>
  <r>
    <s v="S1287"/>
    <x v="287"/>
    <x v="3"/>
    <x v="2"/>
    <d v="2024-06-09T00:00:00"/>
    <x v="0"/>
    <n v="11303"/>
    <x v="282"/>
    <n v="2.72"/>
    <n v="60"/>
  </r>
  <r>
    <s v="S1288"/>
    <x v="288"/>
    <x v="7"/>
    <x v="3"/>
    <d v="2022-11-07T00:00:00"/>
    <x v="1"/>
    <n v="14396"/>
    <x v="283"/>
    <n v="2.06"/>
    <n v="34"/>
  </r>
  <r>
    <s v="S1289"/>
    <x v="289"/>
    <x v="5"/>
    <x v="0"/>
    <d v="2023-02-23T00:00:00"/>
    <x v="1"/>
    <n v="7215"/>
    <x v="284"/>
    <n v="2.98"/>
    <n v="47"/>
  </r>
  <r>
    <s v="S1290"/>
    <x v="290"/>
    <x v="7"/>
    <x v="3"/>
    <d v="2022-05-17T00:00:00"/>
    <x v="0"/>
    <n v="5255"/>
    <x v="285"/>
    <n v="3.64"/>
    <n v="86"/>
  </r>
  <r>
    <s v="S1291"/>
    <x v="291"/>
    <x v="6"/>
    <x v="0"/>
    <d v="2024-05-21T00:00:00"/>
    <x v="2"/>
    <n v="9805"/>
    <x v="286"/>
    <n v="3.9"/>
    <n v="83"/>
  </r>
  <r>
    <s v="S1292"/>
    <x v="292"/>
    <x v="3"/>
    <x v="1"/>
    <d v="2023-01-07T00:00:00"/>
    <x v="1"/>
    <n v="4492"/>
    <x v="287"/>
    <n v="3.78"/>
    <n v="58"/>
  </r>
  <r>
    <s v="S1293"/>
    <x v="293"/>
    <x v="5"/>
    <x v="3"/>
    <d v="2022-05-10T00:00:00"/>
    <x v="0"/>
    <n v="14426"/>
    <x v="288"/>
    <n v="2.79"/>
    <n v="87"/>
  </r>
  <r>
    <s v="S1294"/>
    <x v="294"/>
    <x v="7"/>
    <x v="3"/>
    <d v="2022-12-19T00:00:00"/>
    <x v="1"/>
    <n v="5148"/>
    <x v="289"/>
    <n v="3.96"/>
    <n v="32"/>
  </r>
  <r>
    <s v="S1295"/>
    <x v="295"/>
    <x v="2"/>
    <x v="1"/>
    <d v="2023-11-10T00:00:00"/>
    <x v="0"/>
    <n v="11170"/>
    <x v="290"/>
    <n v="2.06"/>
    <n v="112"/>
  </r>
  <r>
    <s v="S1296"/>
    <x v="296"/>
    <x v="7"/>
    <x v="3"/>
    <d v="2022-07-23T00:00:00"/>
    <x v="0"/>
    <n v="12190"/>
    <x v="291"/>
    <n v="3.4"/>
    <n v="5"/>
  </r>
  <r>
    <s v="S1297"/>
    <x v="297"/>
    <x v="4"/>
    <x v="3"/>
    <d v="2022-10-06T00:00:00"/>
    <x v="1"/>
    <n v="11788"/>
    <x v="292"/>
    <n v="3.18"/>
    <n v="23"/>
  </r>
  <r>
    <s v="S1298"/>
    <x v="298"/>
    <x v="7"/>
    <x v="3"/>
    <d v="2024-02-18T00:00:00"/>
    <x v="0"/>
    <n v="7884"/>
    <x v="293"/>
    <n v="2.1"/>
    <n v="40"/>
  </r>
  <r>
    <s v="S1299"/>
    <x v="299"/>
    <x v="2"/>
    <x v="2"/>
    <d v="2023-03-26T00:00:00"/>
    <x v="1"/>
    <n v="3515"/>
    <x v="294"/>
    <n v="2.41"/>
    <n v="115"/>
  </r>
  <r>
    <s v="S1300"/>
    <x v="300"/>
    <x v="7"/>
    <x v="3"/>
    <d v="2022-07-30T00:00:00"/>
    <x v="1"/>
    <n v="11803"/>
    <x v="295"/>
    <n v="2.94"/>
    <n v="116"/>
  </r>
  <r>
    <s v="S1301"/>
    <x v="301"/>
    <x v="2"/>
    <x v="0"/>
    <d v="2022-05-10T00:00:00"/>
    <x v="0"/>
    <n v="5515"/>
    <x v="296"/>
    <n v="3.85"/>
    <n v="65"/>
  </r>
  <r>
    <s v="S1302"/>
    <x v="302"/>
    <x v="3"/>
    <x v="3"/>
    <d v="2022-09-08T00:00:00"/>
    <x v="0"/>
    <n v="12810"/>
    <x v="297"/>
    <n v="3.95"/>
    <n v="58"/>
  </r>
  <r>
    <s v="S1303"/>
    <x v="303"/>
    <x v="3"/>
    <x v="2"/>
    <d v="2022-10-05T00:00:00"/>
    <x v="0"/>
    <n v="4155"/>
    <x v="298"/>
    <n v="3.64"/>
    <n v="25"/>
  </r>
  <r>
    <s v="S1304"/>
    <x v="304"/>
    <x v="1"/>
    <x v="3"/>
    <d v="2024-03-21T00:00:00"/>
    <x v="0"/>
    <n v="7723"/>
    <x v="299"/>
    <n v="3.09"/>
    <n v="23"/>
  </r>
  <r>
    <s v="S1305"/>
    <x v="305"/>
    <x v="5"/>
    <x v="1"/>
    <d v="2022-11-18T00:00:00"/>
    <x v="1"/>
    <n v="6777"/>
    <x v="300"/>
    <n v="2.29"/>
    <n v="47"/>
  </r>
  <r>
    <s v="S1306"/>
    <x v="306"/>
    <x v="0"/>
    <x v="0"/>
    <d v="2022-01-23T00:00:00"/>
    <x v="1"/>
    <n v="8267"/>
    <x v="301"/>
    <n v="3.92"/>
    <n v="56"/>
  </r>
  <r>
    <s v="S1307"/>
    <x v="307"/>
    <x v="0"/>
    <x v="3"/>
    <d v="2023-01-14T00:00:00"/>
    <x v="0"/>
    <n v="9602"/>
    <x v="302"/>
    <n v="3.51"/>
    <n v="103"/>
  </r>
  <r>
    <s v="S1308"/>
    <x v="308"/>
    <x v="2"/>
    <x v="2"/>
    <d v="2023-04-01T00:00:00"/>
    <x v="0"/>
    <n v="7771"/>
    <x v="303"/>
    <n v="3.5"/>
    <n v="44"/>
  </r>
  <r>
    <s v="S1309"/>
    <x v="309"/>
    <x v="6"/>
    <x v="3"/>
    <d v="2022-06-16T00:00:00"/>
    <x v="0"/>
    <n v="6051"/>
    <x v="304"/>
    <n v="2.88"/>
    <n v="73"/>
  </r>
  <r>
    <s v="S1310"/>
    <x v="310"/>
    <x v="2"/>
    <x v="2"/>
    <d v="2023-05-22T00:00:00"/>
    <x v="1"/>
    <n v="10432"/>
    <x v="305"/>
    <n v="3.19"/>
    <n v="34"/>
  </r>
  <r>
    <s v="S1311"/>
    <x v="311"/>
    <x v="7"/>
    <x v="1"/>
    <d v="2022-04-05T00:00:00"/>
    <x v="1"/>
    <n v="13615"/>
    <x v="306"/>
    <n v="2.2999999999999998"/>
    <n v="26"/>
  </r>
  <r>
    <s v="S1312"/>
    <x v="312"/>
    <x v="4"/>
    <x v="1"/>
    <d v="2022-01-18T00:00:00"/>
    <x v="0"/>
    <n v="11152"/>
    <x v="307"/>
    <n v="2.37"/>
    <n v="27"/>
  </r>
  <r>
    <s v="S1313"/>
    <x v="313"/>
    <x v="6"/>
    <x v="2"/>
    <d v="2024-02-06T00:00:00"/>
    <x v="0"/>
    <n v="6901"/>
    <x v="308"/>
    <n v="2.88"/>
    <n v="83"/>
  </r>
  <r>
    <s v="S1314"/>
    <x v="314"/>
    <x v="0"/>
    <x v="0"/>
    <d v="2022-06-18T00:00:00"/>
    <x v="0"/>
    <n v="8130"/>
    <x v="309"/>
    <n v="3.34"/>
    <n v="13"/>
  </r>
  <r>
    <s v="S1315"/>
    <x v="315"/>
    <x v="2"/>
    <x v="0"/>
    <d v="2023-01-08T00:00:00"/>
    <x v="1"/>
    <n v="3221"/>
    <x v="310"/>
    <n v="3.67"/>
    <n v="48"/>
  </r>
  <r>
    <s v="S1316"/>
    <x v="316"/>
    <x v="1"/>
    <x v="3"/>
    <d v="2022-09-06T00:00:00"/>
    <x v="1"/>
    <n v="14917"/>
    <x v="311"/>
    <n v="2.77"/>
    <n v="23"/>
  </r>
  <r>
    <s v="S1317"/>
    <x v="317"/>
    <x v="5"/>
    <x v="3"/>
    <d v="2022-11-28T00:00:00"/>
    <x v="0"/>
    <n v="12168"/>
    <x v="312"/>
    <n v="2.75"/>
    <n v="24"/>
  </r>
  <r>
    <s v="S1318"/>
    <x v="318"/>
    <x v="6"/>
    <x v="2"/>
    <d v="2022-06-13T00:00:00"/>
    <x v="1"/>
    <n v="10039"/>
    <x v="313"/>
    <n v="3.26"/>
    <n v="63"/>
  </r>
  <r>
    <s v="S1319"/>
    <x v="319"/>
    <x v="6"/>
    <x v="3"/>
    <d v="2022-02-09T00:00:00"/>
    <x v="0"/>
    <n v="3870"/>
    <x v="314"/>
    <n v="2.08"/>
    <n v="65"/>
  </r>
  <r>
    <s v="S1320"/>
    <x v="320"/>
    <x v="5"/>
    <x v="3"/>
    <d v="2022-11-12T00:00:00"/>
    <x v="1"/>
    <n v="5914"/>
    <x v="152"/>
    <n v="2.11"/>
    <n v="71"/>
  </r>
  <r>
    <s v="S1321"/>
    <x v="321"/>
    <x v="1"/>
    <x v="3"/>
    <d v="2024-06-01T00:00:00"/>
    <x v="0"/>
    <n v="2084"/>
    <x v="315"/>
    <n v="2.79"/>
    <n v="46"/>
  </r>
  <r>
    <s v="S1322"/>
    <x v="322"/>
    <x v="0"/>
    <x v="3"/>
    <d v="2022-02-24T00:00:00"/>
    <x v="0"/>
    <n v="9739"/>
    <x v="316"/>
    <n v="3.14"/>
    <n v="50"/>
  </r>
  <r>
    <s v="S1323"/>
    <x v="323"/>
    <x v="5"/>
    <x v="1"/>
    <d v="2023-12-01T00:00:00"/>
    <x v="1"/>
    <n v="5005"/>
    <x v="317"/>
    <n v="3.62"/>
    <n v="31"/>
  </r>
  <r>
    <s v="S1324"/>
    <x v="324"/>
    <x v="6"/>
    <x v="1"/>
    <d v="2024-01-06T00:00:00"/>
    <x v="1"/>
    <n v="5480"/>
    <x v="318"/>
    <n v="3.52"/>
    <n v="111"/>
  </r>
  <r>
    <s v="S1325"/>
    <x v="325"/>
    <x v="2"/>
    <x v="3"/>
    <d v="2024-03-27T00:00:00"/>
    <x v="0"/>
    <n v="12926"/>
    <x v="319"/>
    <n v="3.62"/>
    <n v="13"/>
  </r>
  <r>
    <s v="S1326"/>
    <x v="326"/>
    <x v="0"/>
    <x v="0"/>
    <d v="2024-05-18T00:00:00"/>
    <x v="2"/>
    <n v="11564"/>
    <x v="320"/>
    <n v="2.13"/>
    <n v="68"/>
  </r>
  <r>
    <s v="S1327"/>
    <x v="327"/>
    <x v="6"/>
    <x v="3"/>
    <d v="2022-04-08T00:00:00"/>
    <x v="0"/>
    <n v="8396"/>
    <x v="321"/>
    <n v="3.52"/>
    <n v="8"/>
  </r>
  <r>
    <s v="S1328"/>
    <x v="328"/>
    <x v="6"/>
    <x v="1"/>
    <d v="2023-02-12T00:00:00"/>
    <x v="0"/>
    <n v="10998"/>
    <x v="322"/>
    <n v="2.02"/>
    <n v="113"/>
  </r>
  <r>
    <s v="S1329"/>
    <x v="329"/>
    <x v="4"/>
    <x v="2"/>
    <d v="2022-01-17T00:00:00"/>
    <x v="0"/>
    <n v="8399"/>
    <x v="323"/>
    <n v="2.92"/>
    <n v="54"/>
  </r>
  <r>
    <s v="S1330"/>
    <x v="330"/>
    <x v="7"/>
    <x v="2"/>
    <d v="2022-03-20T00:00:00"/>
    <x v="0"/>
    <n v="14659"/>
    <x v="324"/>
    <n v="3.9"/>
    <n v="4"/>
  </r>
  <r>
    <s v="S1331"/>
    <x v="331"/>
    <x v="1"/>
    <x v="1"/>
    <d v="2023-07-25T00:00:00"/>
    <x v="1"/>
    <n v="11038"/>
    <x v="325"/>
    <n v="2.02"/>
    <n v="16"/>
  </r>
  <r>
    <s v="S1332"/>
    <x v="332"/>
    <x v="0"/>
    <x v="0"/>
    <d v="2023-05-29T00:00:00"/>
    <x v="1"/>
    <n v="3155"/>
    <x v="326"/>
    <n v="2.13"/>
    <n v="60"/>
  </r>
  <r>
    <s v="S1333"/>
    <x v="333"/>
    <x v="7"/>
    <x v="0"/>
    <d v="2023-02-18T00:00:00"/>
    <x v="0"/>
    <n v="9857"/>
    <x v="327"/>
    <n v="2.76"/>
    <n v="6"/>
  </r>
  <r>
    <s v="S1334"/>
    <x v="334"/>
    <x v="4"/>
    <x v="3"/>
    <d v="2022-02-15T00:00:00"/>
    <x v="0"/>
    <n v="3419"/>
    <x v="328"/>
    <n v="3.98"/>
    <n v="57"/>
  </r>
  <r>
    <s v="S1335"/>
    <x v="335"/>
    <x v="2"/>
    <x v="1"/>
    <d v="2022-10-03T00:00:00"/>
    <x v="0"/>
    <n v="10227"/>
    <x v="329"/>
    <n v="2.46"/>
    <n v="40"/>
  </r>
  <r>
    <s v="S1336"/>
    <x v="336"/>
    <x v="7"/>
    <x v="3"/>
    <d v="2023-12-09T00:00:00"/>
    <x v="0"/>
    <n v="5425"/>
    <x v="330"/>
    <n v="2.46"/>
    <n v="17"/>
  </r>
  <r>
    <s v="S1337"/>
    <x v="337"/>
    <x v="0"/>
    <x v="1"/>
    <d v="2024-01-15T00:00:00"/>
    <x v="0"/>
    <n v="3010"/>
    <x v="331"/>
    <n v="3.27"/>
    <n v="9"/>
  </r>
  <r>
    <s v="S1338"/>
    <x v="338"/>
    <x v="7"/>
    <x v="2"/>
    <d v="2022-10-20T00:00:00"/>
    <x v="0"/>
    <n v="8290"/>
    <x v="332"/>
    <n v="2.71"/>
    <n v="72"/>
  </r>
  <r>
    <s v="S1339"/>
    <x v="339"/>
    <x v="5"/>
    <x v="3"/>
    <d v="2023-05-16T00:00:00"/>
    <x v="0"/>
    <n v="3151"/>
    <x v="333"/>
    <n v="2.38"/>
    <n v="51"/>
  </r>
  <r>
    <s v="S1340"/>
    <x v="340"/>
    <x v="1"/>
    <x v="0"/>
    <d v="2023-04-27T00:00:00"/>
    <x v="0"/>
    <n v="3317"/>
    <x v="334"/>
    <n v="2.08"/>
    <n v="85"/>
  </r>
  <r>
    <s v="S1341"/>
    <x v="341"/>
    <x v="4"/>
    <x v="3"/>
    <d v="2022-02-19T00:00:00"/>
    <x v="0"/>
    <n v="4447"/>
    <x v="335"/>
    <n v="3.43"/>
    <n v="67"/>
  </r>
  <r>
    <s v="S1342"/>
    <x v="342"/>
    <x v="3"/>
    <x v="1"/>
    <d v="2024-01-30T00:00:00"/>
    <x v="0"/>
    <n v="4390"/>
    <x v="336"/>
    <n v="3.04"/>
    <n v="119"/>
  </r>
  <r>
    <s v="S1343"/>
    <x v="343"/>
    <x v="1"/>
    <x v="1"/>
    <d v="2023-01-19T00:00:00"/>
    <x v="0"/>
    <n v="12226"/>
    <x v="337"/>
    <n v="3.48"/>
    <n v="46"/>
  </r>
  <r>
    <s v="S1344"/>
    <x v="344"/>
    <x v="7"/>
    <x v="0"/>
    <d v="2024-06-17T00:00:00"/>
    <x v="0"/>
    <n v="10765"/>
    <x v="338"/>
    <n v="3.18"/>
    <n v="109"/>
  </r>
  <r>
    <s v="S1345"/>
    <x v="345"/>
    <x v="1"/>
    <x v="3"/>
    <d v="2023-09-14T00:00:00"/>
    <x v="0"/>
    <n v="6631"/>
    <x v="339"/>
    <n v="2.15"/>
    <n v="93"/>
  </r>
  <r>
    <s v="S1346"/>
    <x v="346"/>
    <x v="4"/>
    <x v="0"/>
    <d v="2022-11-19T00:00:00"/>
    <x v="0"/>
    <n v="12250"/>
    <x v="340"/>
    <n v="3.37"/>
    <n v="23"/>
  </r>
  <r>
    <s v="S1347"/>
    <x v="347"/>
    <x v="0"/>
    <x v="0"/>
    <d v="2022-03-21T00:00:00"/>
    <x v="0"/>
    <n v="8028"/>
    <x v="341"/>
    <n v="2.81"/>
    <n v="4"/>
  </r>
  <r>
    <s v="S1348"/>
    <x v="348"/>
    <x v="0"/>
    <x v="3"/>
    <d v="2024-01-25T00:00:00"/>
    <x v="1"/>
    <n v="4948"/>
    <x v="342"/>
    <n v="3.08"/>
    <n v="119"/>
  </r>
  <r>
    <s v="S1349"/>
    <x v="349"/>
    <x v="2"/>
    <x v="1"/>
    <d v="2024-03-31T00:00:00"/>
    <x v="0"/>
    <n v="5751"/>
    <x v="343"/>
    <n v="2.04"/>
    <n v="58"/>
  </r>
  <r>
    <s v="S1350"/>
    <x v="350"/>
    <x v="3"/>
    <x v="1"/>
    <d v="2022-07-18T00:00:00"/>
    <x v="2"/>
    <n v="8271"/>
    <x v="344"/>
    <n v="3.38"/>
    <n v="101"/>
  </r>
  <r>
    <s v="S1351"/>
    <x v="351"/>
    <x v="1"/>
    <x v="2"/>
    <d v="2024-01-21T00:00:00"/>
    <x v="0"/>
    <n v="11568"/>
    <x v="345"/>
    <n v="3.74"/>
    <n v="104"/>
  </r>
  <r>
    <s v="S1352"/>
    <x v="352"/>
    <x v="0"/>
    <x v="1"/>
    <d v="2023-07-31T00:00:00"/>
    <x v="0"/>
    <n v="10825"/>
    <x v="346"/>
    <n v="3.74"/>
    <n v="3"/>
  </r>
  <r>
    <s v="S1353"/>
    <x v="353"/>
    <x v="6"/>
    <x v="2"/>
    <d v="2022-07-06T00:00:00"/>
    <x v="1"/>
    <n v="7978"/>
    <x v="347"/>
    <n v="3.61"/>
    <n v="32"/>
  </r>
  <r>
    <s v="S1354"/>
    <x v="354"/>
    <x v="2"/>
    <x v="0"/>
    <d v="2022-10-03T00:00:00"/>
    <x v="1"/>
    <n v="11708"/>
    <x v="348"/>
    <n v="2.88"/>
    <n v="49"/>
  </r>
  <r>
    <s v="S1355"/>
    <x v="355"/>
    <x v="4"/>
    <x v="1"/>
    <d v="2022-01-01T00:00:00"/>
    <x v="0"/>
    <n v="14323"/>
    <x v="349"/>
    <n v="3.7"/>
    <n v="48"/>
  </r>
  <r>
    <s v="S1356"/>
    <x v="356"/>
    <x v="6"/>
    <x v="0"/>
    <d v="2023-01-13T00:00:00"/>
    <x v="0"/>
    <n v="3253"/>
    <x v="350"/>
    <n v="2.79"/>
    <n v="69"/>
  </r>
  <r>
    <s v="S1357"/>
    <x v="357"/>
    <x v="4"/>
    <x v="3"/>
    <d v="2023-08-30T00:00:00"/>
    <x v="0"/>
    <n v="14408"/>
    <x v="351"/>
    <n v="2.0699999999999998"/>
    <n v="74"/>
  </r>
  <r>
    <s v="S1358"/>
    <x v="358"/>
    <x v="7"/>
    <x v="0"/>
    <d v="2022-10-26T00:00:00"/>
    <x v="0"/>
    <n v="9948"/>
    <x v="352"/>
    <n v="2.4500000000000002"/>
    <n v="9"/>
  </r>
  <r>
    <s v="S1359"/>
    <x v="359"/>
    <x v="6"/>
    <x v="1"/>
    <d v="2023-12-29T00:00:00"/>
    <x v="2"/>
    <n v="8535"/>
    <x v="353"/>
    <n v="3.07"/>
    <n v="28"/>
  </r>
  <r>
    <s v="S1360"/>
    <x v="360"/>
    <x v="4"/>
    <x v="2"/>
    <d v="2022-06-17T00:00:00"/>
    <x v="0"/>
    <n v="3685"/>
    <x v="354"/>
    <n v="2.57"/>
    <n v="5"/>
  </r>
  <r>
    <s v="S1361"/>
    <x v="361"/>
    <x v="7"/>
    <x v="3"/>
    <d v="2024-05-26T00:00:00"/>
    <x v="2"/>
    <n v="13540"/>
    <x v="355"/>
    <n v="3.69"/>
    <n v="62"/>
  </r>
  <r>
    <s v="S1362"/>
    <x v="362"/>
    <x v="3"/>
    <x v="1"/>
    <d v="2024-05-09T00:00:00"/>
    <x v="1"/>
    <n v="14073"/>
    <x v="356"/>
    <n v="2.4300000000000002"/>
    <n v="3"/>
  </r>
  <r>
    <s v="S1363"/>
    <x v="363"/>
    <x v="7"/>
    <x v="2"/>
    <d v="2023-12-05T00:00:00"/>
    <x v="1"/>
    <n v="6665"/>
    <x v="357"/>
    <n v="3.28"/>
    <n v="66"/>
  </r>
  <r>
    <s v="S1364"/>
    <x v="364"/>
    <x v="2"/>
    <x v="3"/>
    <d v="2022-02-22T00:00:00"/>
    <x v="0"/>
    <n v="7095"/>
    <x v="358"/>
    <n v="2.3199999999999998"/>
    <n v="98"/>
  </r>
  <r>
    <s v="S1365"/>
    <x v="365"/>
    <x v="3"/>
    <x v="3"/>
    <d v="2022-09-22T00:00:00"/>
    <x v="0"/>
    <n v="14571"/>
    <x v="359"/>
    <n v="2.36"/>
    <n v="33"/>
  </r>
  <r>
    <s v="S1366"/>
    <x v="366"/>
    <x v="3"/>
    <x v="2"/>
    <d v="2024-06-10T00:00:00"/>
    <x v="2"/>
    <n v="10830"/>
    <x v="360"/>
    <n v="2.2200000000000002"/>
    <n v="83"/>
  </r>
  <r>
    <s v="S1367"/>
    <x v="367"/>
    <x v="0"/>
    <x v="1"/>
    <d v="2023-11-11T00:00:00"/>
    <x v="2"/>
    <n v="8519"/>
    <x v="361"/>
    <n v="2.85"/>
    <n v="109"/>
  </r>
  <r>
    <s v="S1368"/>
    <x v="368"/>
    <x v="4"/>
    <x v="1"/>
    <d v="2022-06-09T00:00:00"/>
    <x v="0"/>
    <n v="3664"/>
    <x v="362"/>
    <n v="3.23"/>
    <n v="112"/>
  </r>
  <r>
    <s v="S1369"/>
    <x v="369"/>
    <x v="0"/>
    <x v="1"/>
    <d v="2022-09-29T00:00:00"/>
    <x v="0"/>
    <n v="2185"/>
    <x v="363"/>
    <n v="2.1"/>
    <n v="21"/>
  </r>
  <r>
    <s v="S1370"/>
    <x v="370"/>
    <x v="1"/>
    <x v="2"/>
    <d v="2023-01-31T00:00:00"/>
    <x v="0"/>
    <n v="14842"/>
    <x v="364"/>
    <n v="3.53"/>
    <n v="5"/>
  </r>
  <r>
    <s v="S1371"/>
    <x v="371"/>
    <x v="0"/>
    <x v="2"/>
    <d v="2022-05-24T00:00:00"/>
    <x v="1"/>
    <n v="4085"/>
    <x v="365"/>
    <n v="3.68"/>
    <n v="118"/>
  </r>
  <r>
    <s v="S1372"/>
    <x v="372"/>
    <x v="0"/>
    <x v="3"/>
    <d v="2024-04-26T00:00:00"/>
    <x v="2"/>
    <n v="10083"/>
    <x v="366"/>
    <n v="3.65"/>
    <n v="51"/>
  </r>
  <r>
    <s v="S1373"/>
    <x v="373"/>
    <x v="4"/>
    <x v="2"/>
    <d v="2022-09-14T00:00:00"/>
    <x v="0"/>
    <n v="7207"/>
    <x v="367"/>
    <n v="2.7"/>
    <n v="13"/>
  </r>
  <r>
    <s v="S1374"/>
    <x v="374"/>
    <x v="6"/>
    <x v="1"/>
    <d v="2022-09-22T00:00:00"/>
    <x v="1"/>
    <n v="5212"/>
    <x v="368"/>
    <n v="3.84"/>
    <n v="107"/>
  </r>
  <r>
    <s v="S1375"/>
    <x v="375"/>
    <x v="0"/>
    <x v="2"/>
    <d v="2022-03-10T00:00:00"/>
    <x v="0"/>
    <n v="9737"/>
    <x v="369"/>
    <n v="3.43"/>
    <n v="47"/>
  </r>
  <r>
    <s v="S1376"/>
    <x v="376"/>
    <x v="5"/>
    <x v="3"/>
    <d v="2022-02-24T00:00:00"/>
    <x v="2"/>
    <n v="3123"/>
    <x v="370"/>
    <n v="3.82"/>
    <n v="48"/>
  </r>
  <r>
    <s v="S1377"/>
    <x v="377"/>
    <x v="7"/>
    <x v="0"/>
    <d v="2023-07-15T00:00:00"/>
    <x v="0"/>
    <n v="2497"/>
    <x v="371"/>
    <n v="3.66"/>
    <n v="56"/>
  </r>
  <r>
    <s v="S1378"/>
    <x v="378"/>
    <x v="1"/>
    <x v="1"/>
    <d v="2024-06-10T00:00:00"/>
    <x v="1"/>
    <n v="13114"/>
    <x v="372"/>
    <n v="2.78"/>
    <n v="67"/>
  </r>
  <r>
    <s v="S1379"/>
    <x v="379"/>
    <x v="7"/>
    <x v="3"/>
    <d v="2022-03-20T00:00:00"/>
    <x v="0"/>
    <n v="12549"/>
    <x v="373"/>
    <n v="3.36"/>
    <n v="38"/>
  </r>
  <r>
    <s v="S1380"/>
    <x v="380"/>
    <x v="0"/>
    <x v="2"/>
    <d v="2023-05-15T00:00:00"/>
    <x v="0"/>
    <n v="11461"/>
    <x v="374"/>
    <n v="2.88"/>
    <n v="73"/>
  </r>
  <r>
    <s v="S1381"/>
    <x v="381"/>
    <x v="0"/>
    <x v="2"/>
    <d v="2023-05-22T00:00:00"/>
    <x v="2"/>
    <n v="13551"/>
    <x v="375"/>
    <n v="3.86"/>
    <n v="5"/>
  </r>
  <r>
    <s v="S1382"/>
    <x v="382"/>
    <x v="2"/>
    <x v="0"/>
    <d v="2023-02-10T00:00:00"/>
    <x v="2"/>
    <n v="13139"/>
    <x v="376"/>
    <n v="2.63"/>
    <n v="119"/>
  </r>
  <r>
    <s v="S1383"/>
    <x v="383"/>
    <x v="5"/>
    <x v="0"/>
    <d v="2023-08-25T00:00:00"/>
    <x v="0"/>
    <n v="4092"/>
    <x v="377"/>
    <n v="3.48"/>
    <n v="69"/>
  </r>
  <r>
    <s v="S1384"/>
    <x v="384"/>
    <x v="4"/>
    <x v="3"/>
    <d v="2022-06-14T00:00:00"/>
    <x v="1"/>
    <n v="2153"/>
    <x v="378"/>
    <n v="3.76"/>
    <n v="30"/>
  </r>
  <r>
    <s v="S1385"/>
    <x v="385"/>
    <x v="5"/>
    <x v="2"/>
    <d v="2022-04-25T00:00:00"/>
    <x v="0"/>
    <n v="8339"/>
    <x v="379"/>
    <n v="2.34"/>
    <n v="116"/>
  </r>
  <r>
    <s v="S1386"/>
    <x v="386"/>
    <x v="6"/>
    <x v="0"/>
    <d v="2022-03-09T00:00:00"/>
    <x v="0"/>
    <n v="11121"/>
    <x v="380"/>
    <n v="2.99"/>
    <n v="42"/>
  </r>
  <r>
    <s v="S1387"/>
    <x v="387"/>
    <x v="7"/>
    <x v="2"/>
    <d v="2022-06-29T00:00:00"/>
    <x v="0"/>
    <n v="7432"/>
    <x v="381"/>
    <n v="3.64"/>
    <n v="8"/>
  </r>
  <r>
    <s v="S1388"/>
    <x v="388"/>
    <x v="5"/>
    <x v="3"/>
    <d v="2022-11-08T00:00:00"/>
    <x v="0"/>
    <n v="3537"/>
    <x v="382"/>
    <n v="2.87"/>
    <n v="19"/>
  </r>
  <r>
    <s v="S1389"/>
    <x v="389"/>
    <x v="4"/>
    <x v="2"/>
    <d v="2022-04-17T00:00:00"/>
    <x v="0"/>
    <n v="9228"/>
    <x v="383"/>
    <n v="2.4"/>
    <n v="81"/>
  </r>
  <r>
    <s v="S1390"/>
    <x v="390"/>
    <x v="5"/>
    <x v="0"/>
    <d v="2022-12-23T00:00:00"/>
    <x v="1"/>
    <n v="13877"/>
    <x v="384"/>
    <n v="2.34"/>
    <n v="69"/>
  </r>
  <r>
    <s v="S1391"/>
    <x v="391"/>
    <x v="5"/>
    <x v="1"/>
    <d v="2023-07-05T00:00:00"/>
    <x v="0"/>
    <n v="10582"/>
    <x v="385"/>
    <n v="2.41"/>
    <n v="10"/>
  </r>
  <r>
    <s v="S1392"/>
    <x v="392"/>
    <x v="7"/>
    <x v="0"/>
    <d v="2024-02-02T00:00:00"/>
    <x v="0"/>
    <n v="11913"/>
    <x v="386"/>
    <n v="3.95"/>
    <n v="92"/>
  </r>
  <r>
    <s v="S1393"/>
    <x v="393"/>
    <x v="1"/>
    <x v="3"/>
    <d v="2023-06-25T00:00:00"/>
    <x v="0"/>
    <n v="4298"/>
    <x v="387"/>
    <n v="3.4"/>
    <n v="5"/>
  </r>
  <r>
    <s v="S1394"/>
    <x v="394"/>
    <x v="7"/>
    <x v="0"/>
    <d v="2022-01-15T00:00:00"/>
    <x v="0"/>
    <n v="4756"/>
    <x v="388"/>
    <n v="3.99"/>
    <n v="105"/>
  </r>
  <r>
    <s v="S1395"/>
    <x v="395"/>
    <x v="5"/>
    <x v="0"/>
    <d v="2022-11-17T00:00:00"/>
    <x v="0"/>
    <n v="3656"/>
    <x v="389"/>
    <n v="3.13"/>
    <n v="100"/>
  </r>
  <r>
    <s v="S1396"/>
    <x v="396"/>
    <x v="6"/>
    <x v="3"/>
    <d v="2022-10-12T00:00:00"/>
    <x v="1"/>
    <n v="10433"/>
    <x v="390"/>
    <n v="3.29"/>
    <n v="108"/>
  </r>
  <r>
    <s v="S1397"/>
    <x v="397"/>
    <x v="0"/>
    <x v="3"/>
    <d v="2023-01-19T00:00:00"/>
    <x v="0"/>
    <n v="7176"/>
    <x v="391"/>
    <n v="2.74"/>
    <n v="8"/>
  </r>
  <r>
    <s v="S1398"/>
    <x v="398"/>
    <x v="0"/>
    <x v="2"/>
    <d v="2023-10-10T00:00:00"/>
    <x v="1"/>
    <n v="4923"/>
    <x v="392"/>
    <n v="2.95"/>
    <n v="47"/>
  </r>
  <r>
    <s v="S1399"/>
    <x v="399"/>
    <x v="3"/>
    <x v="1"/>
    <d v="2023-08-31T00:00:00"/>
    <x v="0"/>
    <n v="11530"/>
    <x v="393"/>
    <n v="2.92"/>
    <n v="39"/>
  </r>
  <r>
    <s v="S1400"/>
    <x v="400"/>
    <x v="5"/>
    <x v="1"/>
    <d v="2022-11-17T00:00:00"/>
    <x v="0"/>
    <n v="8885"/>
    <x v="394"/>
    <n v="3.05"/>
    <n v="90"/>
  </r>
  <r>
    <s v="S1401"/>
    <x v="401"/>
    <x v="6"/>
    <x v="2"/>
    <d v="2024-06-08T00:00:00"/>
    <x v="0"/>
    <n v="10284"/>
    <x v="395"/>
    <n v="2.88"/>
    <n v="39"/>
  </r>
  <r>
    <s v="S1402"/>
    <x v="402"/>
    <x v="5"/>
    <x v="3"/>
    <d v="2023-03-10T00:00:00"/>
    <x v="1"/>
    <n v="3783"/>
    <x v="396"/>
    <n v="3.28"/>
    <n v="88"/>
  </r>
  <r>
    <s v="S1403"/>
    <x v="403"/>
    <x v="7"/>
    <x v="2"/>
    <d v="2023-12-03T00:00:00"/>
    <x v="2"/>
    <n v="2286"/>
    <x v="397"/>
    <n v="2.81"/>
    <n v="111"/>
  </r>
  <r>
    <s v="S1404"/>
    <x v="404"/>
    <x v="4"/>
    <x v="0"/>
    <d v="2022-12-21T00:00:00"/>
    <x v="0"/>
    <n v="6531"/>
    <x v="398"/>
    <n v="3.86"/>
    <n v="36"/>
  </r>
  <r>
    <s v="S1405"/>
    <x v="405"/>
    <x v="4"/>
    <x v="0"/>
    <d v="2022-04-23T00:00:00"/>
    <x v="0"/>
    <n v="5496"/>
    <x v="399"/>
    <n v="3.83"/>
    <n v="71"/>
  </r>
  <r>
    <s v="S1406"/>
    <x v="406"/>
    <x v="6"/>
    <x v="0"/>
    <d v="2022-04-30T00:00:00"/>
    <x v="0"/>
    <n v="8341"/>
    <x v="400"/>
    <n v="3.15"/>
    <n v="39"/>
  </r>
  <r>
    <s v="S1407"/>
    <x v="407"/>
    <x v="6"/>
    <x v="1"/>
    <d v="2022-07-25T00:00:00"/>
    <x v="1"/>
    <n v="3900"/>
    <x v="401"/>
    <n v="3.46"/>
    <n v="1"/>
  </r>
  <r>
    <s v="S1408"/>
    <x v="408"/>
    <x v="4"/>
    <x v="0"/>
    <d v="2024-06-08T00:00:00"/>
    <x v="1"/>
    <n v="10931"/>
    <x v="402"/>
    <n v="3.3"/>
    <n v="97"/>
  </r>
  <r>
    <s v="S1409"/>
    <x v="409"/>
    <x v="4"/>
    <x v="0"/>
    <d v="2023-09-30T00:00:00"/>
    <x v="0"/>
    <n v="13786"/>
    <x v="403"/>
    <n v="2.0499999999999998"/>
    <n v="59"/>
  </r>
  <r>
    <s v="S1410"/>
    <x v="410"/>
    <x v="4"/>
    <x v="3"/>
    <d v="2024-03-08T00:00:00"/>
    <x v="1"/>
    <n v="7556"/>
    <x v="404"/>
    <n v="2.62"/>
    <n v="109"/>
  </r>
  <r>
    <s v="S1411"/>
    <x v="411"/>
    <x v="0"/>
    <x v="3"/>
    <d v="2023-06-11T00:00:00"/>
    <x v="0"/>
    <n v="2531"/>
    <x v="405"/>
    <n v="2.9"/>
    <n v="20"/>
  </r>
  <r>
    <s v="S1412"/>
    <x v="412"/>
    <x v="3"/>
    <x v="3"/>
    <d v="2023-08-01T00:00:00"/>
    <x v="0"/>
    <n v="11002"/>
    <x v="406"/>
    <n v="3.77"/>
    <n v="43"/>
  </r>
  <r>
    <s v="S1413"/>
    <x v="413"/>
    <x v="5"/>
    <x v="0"/>
    <d v="2023-01-24T00:00:00"/>
    <x v="0"/>
    <n v="11863"/>
    <x v="407"/>
    <n v="3.98"/>
    <n v="31"/>
  </r>
  <r>
    <s v="S1414"/>
    <x v="414"/>
    <x v="1"/>
    <x v="0"/>
    <d v="2022-12-11T00:00:00"/>
    <x v="0"/>
    <n v="2264"/>
    <x v="408"/>
    <n v="2.16"/>
    <n v="73"/>
  </r>
  <r>
    <s v="S1415"/>
    <x v="415"/>
    <x v="2"/>
    <x v="2"/>
    <d v="2022-12-04T00:00:00"/>
    <x v="0"/>
    <n v="10950"/>
    <x v="409"/>
    <n v="2.75"/>
    <n v="103"/>
  </r>
  <r>
    <s v="S1416"/>
    <x v="416"/>
    <x v="6"/>
    <x v="1"/>
    <d v="2022-09-22T00:00:00"/>
    <x v="0"/>
    <n v="14054"/>
    <x v="410"/>
    <n v="3.16"/>
    <n v="72"/>
  </r>
  <r>
    <s v="S1417"/>
    <x v="417"/>
    <x v="1"/>
    <x v="0"/>
    <d v="2022-09-18T00:00:00"/>
    <x v="0"/>
    <n v="3844"/>
    <x v="411"/>
    <n v="2.31"/>
    <n v="57"/>
  </r>
  <r>
    <s v="S1418"/>
    <x v="418"/>
    <x v="1"/>
    <x v="3"/>
    <d v="2022-03-07T00:00:00"/>
    <x v="1"/>
    <n v="5442"/>
    <x v="412"/>
    <n v="2.83"/>
    <n v="23"/>
  </r>
  <r>
    <s v="S1419"/>
    <x v="419"/>
    <x v="4"/>
    <x v="1"/>
    <d v="2022-07-03T00:00:00"/>
    <x v="0"/>
    <n v="6199"/>
    <x v="6"/>
    <n v="3.4"/>
    <n v="118"/>
  </r>
  <r>
    <s v="S1420"/>
    <x v="420"/>
    <x v="3"/>
    <x v="1"/>
    <d v="2024-04-12T00:00:00"/>
    <x v="0"/>
    <n v="14814"/>
    <x v="413"/>
    <n v="3.52"/>
    <n v="109"/>
  </r>
  <r>
    <s v="S1421"/>
    <x v="421"/>
    <x v="0"/>
    <x v="3"/>
    <d v="2023-11-17T00:00:00"/>
    <x v="1"/>
    <n v="7031"/>
    <x v="414"/>
    <n v="3.48"/>
    <n v="25"/>
  </r>
  <r>
    <s v="S1422"/>
    <x v="422"/>
    <x v="5"/>
    <x v="0"/>
    <d v="2022-07-16T00:00:00"/>
    <x v="0"/>
    <n v="12388"/>
    <x v="415"/>
    <n v="2.42"/>
    <n v="93"/>
  </r>
  <r>
    <s v="S1423"/>
    <x v="423"/>
    <x v="6"/>
    <x v="0"/>
    <d v="2024-01-12T00:00:00"/>
    <x v="1"/>
    <n v="12003"/>
    <x v="416"/>
    <n v="3.79"/>
    <n v="69"/>
  </r>
  <r>
    <s v="S1424"/>
    <x v="424"/>
    <x v="1"/>
    <x v="2"/>
    <d v="2023-07-12T00:00:00"/>
    <x v="0"/>
    <n v="11667"/>
    <x v="417"/>
    <n v="2.02"/>
    <n v="45"/>
  </r>
  <r>
    <s v="S1425"/>
    <x v="425"/>
    <x v="3"/>
    <x v="3"/>
    <d v="2022-06-02T00:00:00"/>
    <x v="0"/>
    <n v="12437"/>
    <x v="418"/>
    <n v="2.25"/>
    <n v="3"/>
  </r>
  <r>
    <s v="S1426"/>
    <x v="426"/>
    <x v="4"/>
    <x v="1"/>
    <d v="2024-05-30T00:00:00"/>
    <x v="0"/>
    <n v="7135"/>
    <x v="419"/>
    <n v="3.08"/>
    <n v="66"/>
  </r>
  <r>
    <s v="S1427"/>
    <x v="427"/>
    <x v="3"/>
    <x v="0"/>
    <d v="2023-02-12T00:00:00"/>
    <x v="2"/>
    <n v="13450"/>
    <x v="420"/>
    <n v="2.15"/>
    <n v="45"/>
  </r>
  <r>
    <s v="S1428"/>
    <x v="428"/>
    <x v="3"/>
    <x v="0"/>
    <d v="2023-02-11T00:00:00"/>
    <x v="1"/>
    <n v="4844"/>
    <x v="421"/>
    <n v="3.53"/>
    <n v="42"/>
  </r>
  <r>
    <s v="S1429"/>
    <x v="429"/>
    <x v="4"/>
    <x v="1"/>
    <d v="2023-03-16T00:00:00"/>
    <x v="0"/>
    <n v="6230"/>
    <x v="422"/>
    <n v="3.22"/>
    <n v="54"/>
  </r>
  <r>
    <s v="S1430"/>
    <x v="430"/>
    <x v="3"/>
    <x v="1"/>
    <d v="2022-01-16T00:00:00"/>
    <x v="0"/>
    <n v="8045"/>
    <x v="423"/>
    <n v="3.7"/>
    <n v="112"/>
  </r>
  <r>
    <s v="S1431"/>
    <x v="431"/>
    <x v="3"/>
    <x v="2"/>
    <d v="2023-05-14T00:00:00"/>
    <x v="0"/>
    <n v="14341"/>
    <x v="424"/>
    <n v="3.45"/>
    <n v="34"/>
  </r>
  <r>
    <s v="S1432"/>
    <x v="432"/>
    <x v="0"/>
    <x v="0"/>
    <d v="2023-09-17T00:00:00"/>
    <x v="2"/>
    <n v="12361"/>
    <x v="425"/>
    <n v="2.37"/>
    <n v="62"/>
  </r>
  <r>
    <s v="S1433"/>
    <x v="433"/>
    <x v="1"/>
    <x v="1"/>
    <d v="2023-06-23T00:00:00"/>
    <x v="0"/>
    <n v="5539"/>
    <x v="426"/>
    <n v="2.06"/>
    <n v="41"/>
  </r>
  <r>
    <s v="S1434"/>
    <x v="434"/>
    <x v="2"/>
    <x v="1"/>
    <d v="2023-07-04T00:00:00"/>
    <x v="1"/>
    <n v="9848"/>
    <x v="427"/>
    <n v="3.47"/>
    <n v="24"/>
  </r>
  <r>
    <s v="S1435"/>
    <x v="435"/>
    <x v="3"/>
    <x v="2"/>
    <d v="2022-07-21T00:00:00"/>
    <x v="0"/>
    <n v="3572"/>
    <x v="428"/>
    <n v="2.58"/>
    <n v="15"/>
  </r>
  <r>
    <s v="S1436"/>
    <x v="436"/>
    <x v="6"/>
    <x v="2"/>
    <d v="2024-03-31T00:00:00"/>
    <x v="0"/>
    <n v="10473"/>
    <x v="429"/>
    <n v="2.06"/>
    <n v="89"/>
  </r>
  <r>
    <s v="S1437"/>
    <x v="437"/>
    <x v="6"/>
    <x v="0"/>
    <d v="2024-04-02T00:00:00"/>
    <x v="0"/>
    <n v="14206"/>
    <x v="430"/>
    <n v="2.93"/>
    <n v="107"/>
  </r>
  <r>
    <s v="S1438"/>
    <x v="438"/>
    <x v="4"/>
    <x v="0"/>
    <d v="2023-04-11T00:00:00"/>
    <x v="0"/>
    <n v="13152"/>
    <x v="431"/>
    <n v="3.55"/>
    <n v="32"/>
  </r>
  <r>
    <s v="S1439"/>
    <x v="439"/>
    <x v="7"/>
    <x v="1"/>
    <d v="2023-07-29T00:00:00"/>
    <x v="0"/>
    <n v="4765"/>
    <x v="432"/>
    <n v="3.2"/>
    <n v="98"/>
  </r>
  <r>
    <s v="S1440"/>
    <x v="440"/>
    <x v="0"/>
    <x v="3"/>
    <d v="2022-11-20T00:00:00"/>
    <x v="0"/>
    <n v="5955"/>
    <x v="433"/>
    <n v="2.09"/>
    <n v="28"/>
  </r>
  <r>
    <s v="S1441"/>
    <x v="441"/>
    <x v="6"/>
    <x v="2"/>
    <d v="2024-05-03T00:00:00"/>
    <x v="0"/>
    <n v="7836"/>
    <x v="434"/>
    <n v="3.51"/>
    <n v="21"/>
  </r>
  <r>
    <s v="S1442"/>
    <x v="442"/>
    <x v="6"/>
    <x v="2"/>
    <d v="2023-11-14T00:00:00"/>
    <x v="2"/>
    <n v="5721"/>
    <x v="435"/>
    <n v="2.65"/>
    <n v="95"/>
  </r>
  <r>
    <s v="S1443"/>
    <x v="443"/>
    <x v="1"/>
    <x v="2"/>
    <d v="2023-04-04T00:00:00"/>
    <x v="0"/>
    <n v="11681"/>
    <x v="436"/>
    <n v="2.21"/>
    <n v="116"/>
  </r>
  <r>
    <s v="S1444"/>
    <x v="444"/>
    <x v="7"/>
    <x v="0"/>
    <d v="2022-12-17T00:00:00"/>
    <x v="0"/>
    <n v="12943"/>
    <x v="437"/>
    <n v="2.0099999999999998"/>
    <n v="47"/>
  </r>
  <r>
    <s v="S1445"/>
    <x v="445"/>
    <x v="7"/>
    <x v="0"/>
    <d v="2024-06-01T00:00:00"/>
    <x v="2"/>
    <n v="5062"/>
    <x v="438"/>
    <n v="2.69"/>
    <n v="20"/>
  </r>
  <r>
    <s v="S1446"/>
    <x v="446"/>
    <x v="4"/>
    <x v="0"/>
    <d v="2023-05-09T00:00:00"/>
    <x v="0"/>
    <n v="12038"/>
    <x v="439"/>
    <n v="3.02"/>
    <n v="117"/>
  </r>
  <r>
    <s v="S1447"/>
    <x v="447"/>
    <x v="2"/>
    <x v="3"/>
    <d v="2022-03-07T00:00:00"/>
    <x v="0"/>
    <n v="12484"/>
    <x v="440"/>
    <n v="2.93"/>
    <n v="41"/>
  </r>
  <r>
    <s v="S1448"/>
    <x v="448"/>
    <x v="1"/>
    <x v="1"/>
    <d v="2022-06-18T00:00:00"/>
    <x v="0"/>
    <n v="10278"/>
    <x v="441"/>
    <n v="3.9"/>
    <n v="105"/>
  </r>
  <r>
    <s v="S1449"/>
    <x v="449"/>
    <x v="5"/>
    <x v="3"/>
    <d v="2024-04-25T00:00:00"/>
    <x v="1"/>
    <n v="14666"/>
    <x v="442"/>
    <n v="3.55"/>
    <n v="22"/>
  </r>
  <r>
    <s v="S1450"/>
    <x v="450"/>
    <x v="7"/>
    <x v="3"/>
    <d v="2023-04-11T00:00:00"/>
    <x v="0"/>
    <n v="5773"/>
    <x v="443"/>
    <n v="3.22"/>
    <n v="1"/>
  </r>
  <r>
    <s v="S1451"/>
    <x v="451"/>
    <x v="1"/>
    <x v="0"/>
    <d v="2023-07-28T00:00:00"/>
    <x v="1"/>
    <n v="14561"/>
    <x v="444"/>
    <n v="2.78"/>
    <n v="73"/>
  </r>
  <r>
    <s v="S1452"/>
    <x v="452"/>
    <x v="1"/>
    <x v="3"/>
    <d v="2022-04-14T00:00:00"/>
    <x v="0"/>
    <n v="10266"/>
    <x v="445"/>
    <n v="2.36"/>
    <n v="97"/>
  </r>
  <r>
    <s v="S1453"/>
    <x v="453"/>
    <x v="7"/>
    <x v="3"/>
    <d v="2023-09-08T00:00:00"/>
    <x v="0"/>
    <n v="7631"/>
    <x v="446"/>
    <n v="3.84"/>
    <n v="84"/>
  </r>
  <r>
    <s v="S1454"/>
    <x v="454"/>
    <x v="1"/>
    <x v="0"/>
    <d v="2022-02-14T00:00:00"/>
    <x v="2"/>
    <n v="8113"/>
    <x v="447"/>
    <n v="2.13"/>
    <n v="23"/>
  </r>
  <r>
    <s v="S1455"/>
    <x v="455"/>
    <x v="6"/>
    <x v="2"/>
    <d v="2022-01-20T00:00:00"/>
    <x v="2"/>
    <n v="8188"/>
    <x v="448"/>
    <n v="3.94"/>
    <n v="48"/>
  </r>
  <r>
    <s v="S1456"/>
    <x v="456"/>
    <x v="5"/>
    <x v="0"/>
    <d v="2024-04-15T00:00:00"/>
    <x v="0"/>
    <n v="11072"/>
    <x v="449"/>
    <n v="2.4700000000000002"/>
    <n v="2"/>
  </r>
  <r>
    <s v="S1457"/>
    <x v="457"/>
    <x v="3"/>
    <x v="2"/>
    <d v="2024-02-16T00:00:00"/>
    <x v="0"/>
    <n v="10070"/>
    <x v="450"/>
    <n v="2.36"/>
    <n v="111"/>
  </r>
  <r>
    <s v="S1458"/>
    <x v="458"/>
    <x v="3"/>
    <x v="1"/>
    <d v="2022-03-28T00:00:00"/>
    <x v="1"/>
    <n v="10311"/>
    <x v="451"/>
    <n v="2.76"/>
    <n v="104"/>
  </r>
  <r>
    <s v="S1459"/>
    <x v="459"/>
    <x v="5"/>
    <x v="2"/>
    <d v="2024-01-17T00:00:00"/>
    <x v="0"/>
    <n v="7796"/>
    <x v="452"/>
    <n v="2.42"/>
    <n v="102"/>
  </r>
  <r>
    <s v="S1460"/>
    <x v="460"/>
    <x v="1"/>
    <x v="1"/>
    <d v="2024-03-15T00:00:00"/>
    <x v="0"/>
    <n v="3923"/>
    <x v="453"/>
    <n v="3.36"/>
    <n v="63"/>
  </r>
  <r>
    <s v="S1461"/>
    <x v="461"/>
    <x v="7"/>
    <x v="1"/>
    <d v="2023-02-11T00:00:00"/>
    <x v="1"/>
    <n v="11697"/>
    <x v="454"/>
    <n v="2.61"/>
    <n v="3"/>
  </r>
  <r>
    <s v="S1462"/>
    <x v="462"/>
    <x v="4"/>
    <x v="1"/>
    <d v="2024-05-28T00:00:00"/>
    <x v="0"/>
    <n v="2666"/>
    <x v="455"/>
    <n v="2.94"/>
    <n v="10"/>
  </r>
  <r>
    <s v="S1463"/>
    <x v="463"/>
    <x v="0"/>
    <x v="3"/>
    <d v="2022-03-30T00:00:00"/>
    <x v="0"/>
    <n v="7947"/>
    <x v="456"/>
    <n v="3.25"/>
    <n v="60"/>
  </r>
  <r>
    <s v="S1464"/>
    <x v="464"/>
    <x v="2"/>
    <x v="2"/>
    <d v="2023-02-26T00:00:00"/>
    <x v="1"/>
    <n v="10596"/>
    <x v="457"/>
    <n v="2.16"/>
    <n v="118"/>
  </r>
  <r>
    <s v="S1465"/>
    <x v="465"/>
    <x v="6"/>
    <x v="2"/>
    <d v="2022-09-03T00:00:00"/>
    <x v="0"/>
    <n v="8634"/>
    <x v="458"/>
    <n v="3.44"/>
    <n v="41"/>
  </r>
  <r>
    <s v="S1466"/>
    <x v="466"/>
    <x v="4"/>
    <x v="2"/>
    <d v="2023-05-14T00:00:00"/>
    <x v="1"/>
    <n v="10367"/>
    <x v="459"/>
    <n v="3.24"/>
    <n v="110"/>
  </r>
  <r>
    <s v="S1467"/>
    <x v="467"/>
    <x v="1"/>
    <x v="0"/>
    <d v="2022-07-23T00:00:00"/>
    <x v="1"/>
    <n v="10339"/>
    <x v="460"/>
    <n v="2.92"/>
    <n v="49"/>
  </r>
  <r>
    <s v="S1468"/>
    <x v="468"/>
    <x v="7"/>
    <x v="0"/>
    <d v="2024-02-17T00:00:00"/>
    <x v="1"/>
    <n v="5503"/>
    <x v="461"/>
    <n v="3.96"/>
    <n v="35"/>
  </r>
  <r>
    <s v="S1469"/>
    <x v="469"/>
    <x v="3"/>
    <x v="1"/>
    <d v="2023-03-12T00:00:00"/>
    <x v="1"/>
    <n v="7289"/>
    <x v="462"/>
    <n v="3.83"/>
    <n v="73"/>
  </r>
  <r>
    <s v="S1470"/>
    <x v="470"/>
    <x v="3"/>
    <x v="0"/>
    <d v="2022-05-03T00:00:00"/>
    <x v="0"/>
    <n v="11474"/>
    <x v="285"/>
    <n v="3.46"/>
    <n v="91"/>
  </r>
  <r>
    <s v="S1471"/>
    <x v="471"/>
    <x v="4"/>
    <x v="0"/>
    <d v="2024-05-04T00:00:00"/>
    <x v="2"/>
    <n v="10970"/>
    <x v="463"/>
    <n v="3.51"/>
    <n v="9"/>
  </r>
  <r>
    <s v="S1472"/>
    <x v="472"/>
    <x v="3"/>
    <x v="0"/>
    <d v="2023-11-30T00:00:00"/>
    <x v="1"/>
    <n v="10927"/>
    <x v="464"/>
    <n v="3.19"/>
    <n v="31"/>
  </r>
  <r>
    <s v="S1473"/>
    <x v="473"/>
    <x v="5"/>
    <x v="3"/>
    <d v="2022-07-23T00:00:00"/>
    <x v="0"/>
    <n v="8469"/>
    <x v="465"/>
    <n v="3.71"/>
    <n v="9"/>
  </r>
  <r>
    <s v="S1474"/>
    <x v="474"/>
    <x v="7"/>
    <x v="2"/>
    <d v="2022-07-03T00:00:00"/>
    <x v="0"/>
    <n v="13334"/>
    <x v="466"/>
    <n v="3.97"/>
    <n v="57"/>
  </r>
  <r>
    <s v="S1475"/>
    <x v="475"/>
    <x v="3"/>
    <x v="3"/>
    <d v="2022-11-16T00:00:00"/>
    <x v="0"/>
    <n v="11400"/>
    <x v="467"/>
    <n v="2.76"/>
    <n v="0"/>
  </r>
  <r>
    <s v="S1476"/>
    <x v="476"/>
    <x v="0"/>
    <x v="1"/>
    <d v="2022-11-11T00:00:00"/>
    <x v="0"/>
    <n v="11931"/>
    <x v="468"/>
    <n v="3.96"/>
    <n v="8"/>
  </r>
  <r>
    <s v="S1477"/>
    <x v="477"/>
    <x v="2"/>
    <x v="3"/>
    <d v="2022-10-29T00:00:00"/>
    <x v="0"/>
    <n v="12019"/>
    <x v="469"/>
    <n v="3.97"/>
    <n v="12"/>
  </r>
  <r>
    <s v="S1478"/>
    <x v="478"/>
    <x v="7"/>
    <x v="2"/>
    <d v="2022-07-14T00:00:00"/>
    <x v="0"/>
    <n v="6419"/>
    <x v="470"/>
    <n v="2.97"/>
    <n v="93"/>
  </r>
  <r>
    <s v="S1479"/>
    <x v="479"/>
    <x v="3"/>
    <x v="2"/>
    <d v="2023-05-24T00:00:00"/>
    <x v="1"/>
    <n v="3561"/>
    <x v="471"/>
    <n v="2.02"/>
    <n v="63"/>
  </r>
  <r>
    <s v="S1480"/>
    <x v="480"/>
    <x v="1"/>
    <x v="2"/>
    <d v="2022-08-26T00:00:00"/>
    <x v="1"/>
    <n v="3683"/>
    <x v="311"/>
    <n v="2.31"/>
    <n v="102"/>
  </r>
  <r>
    <s v="S1481"/>
    <x v="481"/>
    <x v="2"/>
    <x v="3"/>
    <d v="2024-05-12T00:00:00"/>
    <x v="0"/>
    <n v="6365"/>
    <x v="472"/>
    <n v="3.2"/>
    <n v="20"/>
  </r>
  <r>
    <s v="S1482"/>
    <x v="482"/>
    <x v="0"/>
    <x v="2"/>
    <d v="2022-10-25T00:00:00"/>
    <x v="1"/>
    <n v="9763"/>
    <x v="473"/>
    <n v="3.25"/>
    <n v="69"/>
  </r>
  <r>
    <s v="S1483"/>
    <x v="483"/>
    <x v="2"/>
    <x v="0"/>
    <d v="2022-07-23T00:00:00"/>
    <x v="0"/>
    <n v="8244"/>
    <x v="474"/>
    <n v="3.13"/>
    <n v="20"/>
  </r>
  <r>
    <s v="S1484"/>
    <x v="484"/>
    <x v="3"/>
    <x v="1"/>
    <d v="2022-01-21T00:00:00"/>
    <x v="1"/>
    <n v="14276"/>
    <x v="475"/>
    <n v="3.91"/>
    <n v="1"/>
  </r>
  <r>
    <s v="S1485"/>
    <x v="485"/>
    <x v="4"/>
    <x v="3"/>
    <d v="2022-06-24T00:00:00"/>
    <x v="1"/>
    <n v="5843"/>
    <x v="476"/>
    <n v="2.09"/>
    <n v="28"/>
  </r>
  <r>
    <s v="S1486"/>
    <x v="486"/>
    <x v="0"/>
    <x v="0"/>
    <d v="2023-08-02T00:00:00"/>
    <x v="0"/>
    <n v="10937"/>
    <x v="477"/>
    <n v="2.69"/>
    <n v="109"/>
  </r>
  <r>
    <s v="S1487"/>
    <x v="487"/>
    <x v="0"/>
    <x v="3"/>
    <d v="2023-08-08T00:00:00"/>
    <x v="0"/>
    <n v="4056"/>
    <x v="478"/>
    <n v="3.81"/>
    <n v="97"/>
  </r>
  <r>
    <s v="S1488"/>
    <x v="488"/>
    <x v="3"/>
    <x v="1"/>
    <d v="2022-01-31T00:00:00"/>
    <x v="0"/>
    <n v="10757"/>
    <x v="479"/>
    <n v="3.29"/>
    <n v="93"/>
  </r>
  <r>
    <s v="S1489"/>
    <x v="489"/>
    <x v="5"/>
    <x v="1"/>
    <d v="2023-10-21T00:00:00"/>
    <x v="0"/>
    <n v="5023"/>
    <x v="480"/>
    <n v="3.59"/>
    <n v="11"/>
  </r>
  <r>
    <s v="S1490"/>
    <x v="490"/>
    <x v="5"/>
    <x v="2"/>
    <d v="2024-02-11T00:00:00"/>
    <x v="1"/>
    <n v="6821"/>
    <x v="481"/>
    <n v="2.02"/>
    <n v="70"/>
  </r>
  <r>
    <s v="S1491"/>
    <x v="491"/>
    <x v="6"/>
    <x v="3"/>
    <d v="2024-05-13T00:00:00"/>
    <x v="0"/>
    <n v="3545"/>
    <x v="482"/>
    <n v="2.87"/>
    <n v="12"/>
  </r>
  <r>
    <s v="S1492"/>
    <x v="492"/>
    <x v="1"/>
    <x v="2"/>
    <d v="2022-11-19T00:00:00"/>
    <x v="0"/>
    <n v="14219"/>
    <x v="483"/>
    <n v="2.7"/>
    <n v="98"/>
  </r>
  <r>
    <s v="S1493"/>
    <x v="493"/>
    <x v="4"/>
    <x v="3"/>
    <d v="2022-10-29T00:00:00"/>
    <x v="2"/>
    <n v="3235"/>
    <x v="484"/>
    <n v="2.4300000000000002"/>
    <n v="119"/>
  </r>
  <r>
    <s v="S1494"/>
    <x v="494"/>
    <x v="5"/>
    <x v="2"/>
    <d v="2022-09-13T00:00:00"/>
    <x v="0"/>
    <n v="12764"/>
    <x v="485"/>
    <n v="2.37"/>
    <n v="108"/>
  </r>
  <r>
    <s v="S1495"/>
    <x v="495"/>
    <x v="4"/>
    <x v="0"/>
    <d v="2023-11-26T00:00:00"/>
    <x v="1"/>
    <n v="7033"/>
    <x v="486"/>
    <n v="3.51"/>
    <n v="7"/>
  </r>
  <r>
    <s v="S1496"/>
    <x v="496"/>
    <x v="3"/>
    <x v="2"/>
    <d v="2022-03-29T00:00:00"/>
    <x v="2"/>
    <n v="13290"/>
    <x v="487"/>
    <n v="2.39"/>
    <n v="75"/>
  </r>
  <r>
    <s v="S1497"/>
    <x v="497"/>
    <x v="0"/>
    <x v="0"/>
    <d v="2022-07-15T00:00:00"/>
    <x v="0"/>
    <n v="12663"/>
    <x v="488"/>
    <n v="3.59"/>
    <n v="110"/>
  </r>
  <r>
    <s v="S1498"/>
    <x v="498"/>
    <x v="7"/>
    <x v="3"/>
    <d v="2023-08-11T00:00:00"/>
    <x v="1"/>
    <n v="3630"/>
    <x v="489"/>
    <n v="2.73"/>
    <n v="67"/>
  </r>
  <r>
    <s v="S1499"/>
    <x v="499"/>
    <x v="7"/>
    <x v="3"/>
    <d v="2023-03-06T00:00:00"/>
    <x v="0"/>
    <n v="14263"/>
    <x v="490"/>
    <n v="3.8"/>
    <n v="53"/>
  </r>
  <r>
    <s v="S1500"/>
    <x v="500"/>
    <x v="2"/>
    <x v="2"/>
    <d v="2023-06-20T00:00:00"/>
    <x v="1"/>
    <n v="12155"/>
    <x v="491"/>
    <n v="3.28"/>
    <n v="21"/>
  </r>
  <r>
    <s v="S1501"/>
    <x v="501"/>
    <x v="4"/>
    <x v="1"/>
    <d v="2024-02-06T00:00:00"/>
    <x v="1"/>
    <n v="4867"/>
    <x v="492"/>
    <n v="3.52"/>
    <n v="1"/>
  </r>
  <r>
    <s v="S1502"/>
    <x v="502"/>
    <x v="5"/>
    <x v="1"/>
    <d v="2022-01-17T00:00:00"/>
    <x v="1"/>
    <n v="13284"/>
    <x v="493"/>
    <n v="2.25"/>
    <n v="48"/>
  </r>
  <r>
    <s v="S1503"/>
    <x v="503"/>
    <x v="1"/>
    <x v="3"/>
    <d v="2022-05-10T00:00:00"/>
    <x v="0"/>
    <n v="10971"/>
    <x v="494"/>
    <n v="3.43"/>
    <n v="67"/>
  </r>
  <r>
    <s v="S1504"/>
    <x v="504"/>
    <x v="5"/>
    <x v="2"/>
    <d v="2023-06-14T00:00:00"/>
    <x v="0"/>
    <n v="10845"/>
    <x v="495"/>
    <n v="3.24"/>
    <n v="73"/>
  </r>
  <r>
    <s v="S1505"/>
    <x v="505"/>
    <x v="4"/>
    <x v="2"/>
    <d v="2022-05-18T00:00:00"/>
    <x v="2"/>
    <n v="3925"/>
    <x v="496"/>
    <n v="2.62"/>
    <n v="73"/>
  </r>
  <r>
    <s v="S1506"/>
    <x v="506"/>
    <x v="2"/>
    <x v="1"/>
    <d v="2023-12-14T00:00:00"/>
    <x v="1"/>
    <n v="9717"/>
    <x v="497"/>
    <n v="3.9"/>
    <n v="15"/>
  </r>
  <r>
    <s v="S1507"/>
    <x v="507"/>
    <x v="1"/>
    <x v="1"/>
    <d v="2023-10-12T00:00:00"/>
    <x v="1"/>
    <n v="9611"/>
    <x v="498"/>
    <n v="3.3"/>
    <n v="94"/>
  </r>
  <r>
    <s v="S1508"/>
    <x v="508"/>
    <x v="6"/>
    <x v="1"/>
    <d v="2023-12-29T00:00:00"/>
    <x v="1"/>
    <n v="7850"/>
    <x v="499"/>
    <n v="2.58"/>
    <n v="14"/>
  </r>
  <r>
    <s v="S1509"/>
    <x v="509"/>
    <x v="0"/>
    <x v="0"/>
    <d v="2023-02-24T00:00:00"/>
    <x v="0"/>
    <n v="13973"/>
    <x v="500"/>
    <n v="2.1"/>
    <n v="10"/>
  </r>
  <r>
    <s v="S1510"/>
    <x v="510"/>
    <x v="6"/>
    <x v="2"/>
    <d v="2024-01-27T00:00:00"/>
    <x v="0"/>
    <n v="9294"/>
    <x v="501"/>
    <n v="3.38"/>
    <n v="57"/>
  </r>
  <r>
    <s v="S1511"/>
    <x v="511"/>
    <x v="4"/>
    <x v="0"/>
    <d v="2022-07-29T00:00:00"/>
    <x v="1"/>
    <n v="9133"/>
    <x v="502"/>
    <n v="2.85"/>
    <n v="42"/>
  </r>
  <r>
    <s v="S1512"/>
    <x v="512"/>
    <x v="4"/>
    <x v="0"/>
    <d v="2024-04-18T00:00:00"/>
    <x v="2"/>
    <n v="9782"/>
    <x v="503"/>
    <n v="2.36"/>
    <n v="66"/>
  </r>
  <r>
    <s v="S1513"/>
    <x v="513"/>
    <x v="0"/>
    <x v="0"/>
    <d v="2024-06-13T00:00:00"/>
    <x v="1"/>
    <n v="5574"/>
    <x v="504"/>
    <n v="2.82"/>
    <n v="1"/>
  </r>
  <r>
    <s v="S1514"/>
    <x v="514"/>
    <x v="1"/>
    <x v="3"/>
    <d v="2022-01-17T00:00:00"/>
    <x v="0"/>
    <n v="6629"/>
    <x v="505"/>
    <n v="3.83"/>
    <n v="31"/>
  </r>
  <r>
    <s v="S1515"/>
    <x v="515"/>
    <x v="4"/>
    <x v="1"/>
    <d v="2022-11-24T00:00:00"/>
    <x v="0"/>
    <n v="10972"/>
    <x v="506"/>
    <n v="2.56"/>
    <n v="15"/>
  </r>
  <r>
    <s v="S1516"/>
    <x v="516"/>
    <x v="2"/>
    <x v="1"/>
    <d v="2022-01-31T00:00:00"/>
    <x v="1"/>
    <n v="14926"/>
    <x v="507"/>
    <n v="4"/>
    <n v="97"/>
  </r>
  <r>
    <s v="S1517"/>
    <x v="517"/>
    <x v="5"/>
    <x v="2"/>
    <d v="2024-03-25T00:00:00"/>
    <x v="0"/>
    <n v="4128"/>
    <x v="508"/>
    <n v="3.48"/>
    <n v="32"/>
  </r>
  <r>
    <s v="S1518"/>
    <x v="518"/>
    <x v="6"/>
    <x v="3"/>
    <d v="2024-03-23T00:00:00"/>
    <x v="0"/>
    <n v="3774"/>
    <x v="509"/>
    <n v="3.35"/>
    <n v="63"/>
  </r>
  <r>
    <s v="S1519"/>
    <x v="519"/>
    <x v="6"/>
    <x v="3"/>
    <d v="2022-10-24T00:00:00"/>
    <x v="0"/>
    <n v="9643"/>
    <x v="510"/>
    <n v="3.6"/>
    <n v="26"/>
  </r>
  <r>
    <s v="S1520"/>
    <x v="520"/>
    <x v="3"/>
    <x v="3"/>
    <d v="2022-06-20T00:00:00"/>
    <x v="1"/>
    <n v="9016"/>
    <x v="511"/>
    <n v="3.24"/>
    <n v="62"/>
  </r>
  <r>
    <s v="S1521"/>
    <x v="521"/>
    <x v="7"/>
    <x v="1"/>
    <d v="2024-06-15T00:00:00"/>
    <x v="0"/>
    <n v="6221"/>
    <x v="512"/>
    <n v="3.38"/>
    <n v="103"/>
  </r>
  <r>
    <s v="S1522"/>
    <x v="522"/>
    <x v="3"/>
    <x v="3"/>
    <d v="2022-04-10T00:00:00"/>
    <x v="0"/>
    <n v="3532"/>
    <x v="513"/>
    <n v="3.48"/>
    <n v="115"/>
  </r>
  <r>
    <s v="S1523"/>
    <x v="523"/>
    <x v="5"/>
    <x v="2"/>
    <d v="2024-06-05T00:00:00"/>
    <x v="0"/>
    <n v="9455"/>
    <x v="514"/>
    <n v="2.98"/>
    <n v="15"/>
  </r>
  <r>
    <s v="S1524"/>
    <x v="524"/>
    <x v="0"/>
    <x v="2"/>
    <d v="2024-06-09T00:00:00"/>
    <x v="1"/>
    <n v="4219"/>
    <x v="515"/>
    <n v="2.4300000000000002"/>
    <n v="79"/>
  </r>
  <r>
    <s v="S1525"/>
    <x v="525"/>
    <x v="5"/>
    <x v="1"/>
    <d v="2022-06-01T00:00:00"/>
    <x v="0"/>
    <n v="2395"/>
    <x v="516"/>
    <n v="2.34"/>
    <n v="53"/>
  </r>
  <r>
    <s v="S1526"/>
    <x v="526"/>
    <x v="4"/>
    <x v="2"/>
    <d v="2023-11-19T00:00:00"/>
    <x v="2"/>
    <n v="9775"/>
    <x v="517"/>
    <n v="3.2"/>
    <n v="32"/>
  </r>
  <r>
    <s v="S1527"/>
    <x v="527"/>
    <x v="1"/>
    <x v="3"/>
    <d v="2022-01-21T00:00:00"/>
    <x v="0"/>
    <n v="4629"/>
    <x v="518"/>
    <n v="3.38"/>
    <n v="34"/>
  </r>
  <r>
    <s v="S1528"/>
    <x v="528"/>
    <x v="2"/>
    <x v="2"/>
    <d v="2022-01-09T00:00:00"/>
    <x v="0"/>
    <n v="7248"/>
    <x v="519"/>
    <n v="2.7"/>
    <n v="49"/>
  </r>
  <r>
    <s v="S1529"/>
    <x v="529"/>
    <x v="0"/>
    <x v="3"/>
    <d v="2023-09-25T00:00:00"/>
    <x v="1"/>
    <n v="4602"/>
    <x v="520"/>
    <n v="3.6"/>
    <n v="67"/>
  </r>
  <r>
    <s v="S1530"/>
    <x v="530"/>
    <x v="6"/>
    <x v="2"/>
    <d v="2024-03-03T00:00:00"/>
    <x v="0"/>
    <n v="10379"/>
    <x v="521"/>
    <n v="3.5"/>
    <n v="76"/>
  </r>
  <r>
    <s v="S1531"/>
    <x v="531"/>
    <x v="5"/>
    <x v="0"/>
    <d v="2022-09-20T00:00:00"/>
    <x v="1"/>
    <n v="11404"/>
    <x v="522"/>
    <n v="2.9"/>
    <n v="81"/>
  </r>
  <r>
    <s v="S1532"/>
    <x v="532"/>
    <x v="2"/>
    <x v="3"/>
    <d v="2022-09-17T00:00:00"/>
    <x v="0"/>
    <n v="2748"/>
    <x v="523"/>
    <n v="3.73"/>
    <n v="89"/>
  </r>
  <r>
    <s v="S1533"/>
    <x v="533"/>
    <x v="5"/>
    <x v="2"/>
    <d v="2023-08-20T00:00:00"/>
    <x v="0"/>
    <n v="14781"/>
    <x v="524"/>
    <n v="3.22"/>
    <n v="79"/>
  </r>
  <r>
    <s v="S1534"/>
    <x v="534"/>
    <x v="6"/>
    <x v="3"/>
    <d v="2023-10-16T00:00:00"/>
    <x v="0"/>
    <n v="8468"/>
    <x v="525"/>
    <n v="2.74"/>
    <n v="117"/>
  </r>
  <r>
    <s v="S1535"/>
    <x v="535"/>
    <x v="2"/>
    <x v="3"/>
    <d v="2022-10-30T00:00:00"/>
    <x v="2"/>
    <n v="3482"/>
    <x v="526"/>
    <n v="3.67"/>
    <n v="62"/>
  </r>
  <r>
    <s v="S1536"/>
    <x v="536"/>
    <x v="0"/>
    <x v="1"/>
    <d v="2022-09-12T00:00:00"/>
    <x v="1"/>
    <n v="10273"/>
    <x v="527"/>
    <n v="2.9"/>
    <n v="59"/>
  </r>
  <r>
    <s v="S1537"/>
    <x v="537"/>
    <x v="6"/>
    <x v="0"/>
    <d v="2022-11-13T00:00:00"/>
    <x v="0"/>
    <n v="3359"/>
    <x v="528"/>
    <n v="2.0499999999999998"/>
    <n v="73"/>
  </r>
  <r>
    <s v="S1538"/>
    <x v="538"/>
    <x v="2"/>
    <x v="2"/>
    <d v="2024-03-21T00:00:00"/>
    <x v="0"/>
    <n v="12403"/>
    <x v="529"/>
    <n v="2.15"/>
    <n v="48"/>
  </r>
  <r>
    <s v="S1539"/>
    <x v="539"/>
    <x v="6"/>
    <x v="1"/>
    <d v="2023-08-18T00:00:00"/>
    <x v="2"/>
    <n v="14781"/>
    <x v="530"/>
    <n v="2.42"/>
    <n v="16"/>
  </r>
  <r>
    <s v="S1540"/>
    <x v="540"/>
    <x v="3"/>
    <x v="1"/>
    <d v="2022-01-15T00:00:00"/>
    <x v="2"/>
    <n v="11844"/>
    <x v="531"/>
    <n v="2.65"/>
    <n v="115"/>
  </r>
  <r>
    <s v="S1541"/>
    <x v="541"/>
    <x v="3"/>
    <x v="3"/>
    <d v="2022-07-11T00:00:00"/>
    <x v="0"/>
    <n v="13562"/>
    <x v="532"/>
    <n v="2.88"/>
    <n v="83"/>
  </r>
  <r>
    <s v="S1542"/>
    <x v="542"/>
    <x v="4"/>
    <x v="1"/>
    <d v="2022-01-24T00:00:00"/>
    <x v="0"/>
    <n v="6188"/>
    <x v="6"/>
    <n v="3.67"/>
    <n v="45"/>
  </r>
  <r>
    <s v="S1543"/>
    <x v="543"/>
    <x v="6"/>
    <x v="3"/>
    <d v="2023-12-16T00:00:00"/>
    <x v="0"/>
    <n v="9594"/>
    <x v="533"/>
    <n v="2.1"/>
    <n v="96"/>
  </r>
  <r>
    <s v="S1544"/>
    <x v="544"/>
    <x v="6"/>
    <x v="0"/>
    <d v="2023-06-05T00:00:00"/>
    <x v="2"/>
    <n v="11109"/>
    <x v="534"/>
    <n v="3.47"/>
    <n v="109"/>
  </r>
  <r>
    <s v="S1545"/>
    <x v="545"/>
    <x v="4"/>
    <x v="1"/>
    <d v="2023-05-31T00:00:00"/>
    <x v="0"/>
    <n v="13950"/>
    <x v="535"/>
    <n v="2.37"/>
    <n v="103"/>
  </r>
  <r>
    <s v="S1546"/>
    <x v="546"/>
    <x v="3"/>
    <x v="1"/>
    <d v="2023-03-04T00:00:00"/>
    <x v="0"/>
    <n v="13070"/>
    <x v="536"/>
    <n v="2.19"/>
    <n v="94"/>
  </r>
  <r>
    <s v="S1547"/>
    <x v="547"/>
    <x v="7"/>
    <x v="2"/>
    <d v="2022-04-22T00:00:00"/>
    <x v="2"/>
    <n v="6161"/>
    <x v="537"/>
    <n v="2.84"/>
    <n v="50"/>
  </r>
  <r>
    <s v="S1548"/>
    <x v="548"/>
    <x v="4"/>
    <x v="0"/>
    <d v="2023-05-06T00:00:00"/>
    <x v="1"/>
    <n v="14816"/>
    <x v="538"/>
    <n v="3.69"/>
    <n v="31"/>
  </r>
  <r>
    <s v="S1549"/>
    <x v="549"/>
    <x v="1"/>
    <x v="1"/>
    <d v="2024-02-28T00:00:00"/>
    <x v="1"/>
    <n v="4781"/>
    <x v="539"/>
    <n v="3.11"/>
    <n v="32"/>
  </r>
  <r>
    <s v="S1550"/>
    <x v="550"/>
    <x v="0"/>
    <x v="0"/>
    <d v="2024-05-16T00:00:00"/>
    <x v="2"/>
    <n v="9289"/>
    <x v="540"/>
    <n v="2.2599999999999998"/>
    <n v="105"/>
  </r>
  <r>
    <s v="S1551"/>
    <x v="551"/>
    <x v="1"/>
    <x v="2"/>
    <d v="2024-03-19T00:00:00"/>
    <x v="0"/>
    <n v="4151"/>
    <x v="541"/>
    <n v="3.12"/>
    <n v="45"/>
  </r>
  <r>
    <s v="S1552"/>
    <x v="552"/>
    <x v="3"/>
    <x v="1"/>
    <d v="2023-02-09T00:00:00"/>
    <x v="1"/>
    <n v="13343"/>
    <x v="542"/>
    <n v="2.77"/>
    <n v="39"/>
  </r>
  <r>
    <s v="S1553"/>
    <x v="553"/>
    <x v="3"/>
    <x v="2"/>
    <d v="2023-07-08T00:00:00"/>
    <x v="0"/>
    <n v="2460"/>
    <x v="543"/>
    <n v="3.8"/>
    <n v="62"/>
  </r>
  <r>
    <s v="S1554"/>
    <x v="554"/>
    <x v="4"/>
    <x v="0"/>
    <d v="2023-10-05T00:00:00"/>
    <x v="1"/>
    <n v="10553"/>
    <x v="544"/>
    <n v="2.37"/>
    <n v="3"/>
  </r>
  <r>
    <s v="S1555"/>
    <x v="555"/>
    <x v="4"/>
    <x v="2"/>
    <d v="2023-05-14T00:00:00"/>
    <x v="1"/>
    <n v="5975"/>
    <x v="545"/>
    <n v="2.06"/>
    <n v="96"/>
  </r>
  <r>
    <s v="S1556"/>
    <x v="556"/>
    <x v="4"/>
    <x v="0"/>
    <d v="2024-05-10T00:00:00"/>
    <x v="0"/>
    <n v="9200"/>
    <x v="546"/>
    <n v="2.95"/>
    <n v="97"/>
  </r>
  <r>
    <s v="S1557"/>
    <x v="557"/>
    <x v="0"/>
    <x v="0"/>
    <d v="2023-05-19T00:00:00"/>
    <x v="1"/>
    <n v="7875"/>
    <x v="547"/>
    <n v="2.09"/>
    <n v="90"/>
  </r>
  <r>
    <s v="S1558"/>
    <x v="558"/>
    <x v="6"/>
    <x v="3"/>
    <d v="2022-06-13T00:00:00"/>
    <x v="0"/>
    <n v="9704"/>
    <x v="548"/>
    <n v="2.33"/>
    <n v="101"/>
  </r>
  <r>
    <s v="S1559"/>
    <x v="559"/>
    <x v="7"/>
    <x v="2"/>
    <d v="2022-10-24T00:00:00"/>
    <x v="0"/>
    <n v="13578"/>
    <x v="549"/>
    <n v="3.16"/>
    <n v="33"/>
  </r>
  <r>
    <s v="S1560"/>
    <x v="560"/>
    <x v="6"/>
    <x v="0"/>
    <d v="2022-07-10T00:00:00"/>
    <x v="2"/>
    <n v="3192"/>
    <x v="550"/>
    <n v="2.71"/>
    <n v="86"/>
  </r>
  <r>
    <s v="S1561"/>
    <x v="561"/>
    <x v="1"/>
    <x v="1"/>
    <d v="2023-08-22T00:00:00"/>
    <x v="0"/>
    <n v="7449"/>
    <x v="551"/>
    <n v="2.88"/>
    <n v="77"/>
  </r>
  <r>
    <s v="S1562"/>
    <x v="562"/>
    <x v="5"/>
    <x v="2"/>
    <d v="2023-12-06T00:00:00"/>
    <x v="0"/>
    <n v="2638"/>
    <x v="552"/>
    <n v="3"/>
    <n v="20"/>
  </r>
  <r>
    <s v="S1563"/>
    <x v="563"/>
    <x v="3"/>
    <x v="3"/>
    <d v="2022-07-10T00:00:00"/>
    <x v="1"/>
    <n v="4665"/>
    <x v="553"/>
    <n v="3.43"/>
    <n v="81"/>
  </r>
  <r>
    <s v="S1564"/>
    <x v="564"/>
    <x v="0"/>
    <x v="2"/>
    <d v="2024-01-25T00:00:00"/>
    <x v="2"/>
    <n v="6305"/>
    <x v="554"/>
    <n v="3.16"/>
    <n v="104"/>
  </r>
  <r>
    <s v="S1565"/>
    <x v="565"/>
    <x v="0"/>
    <x v="0"/>
    <d v="2022-12-24T00:00:00"/>
    <x v="0"/>
    <n v="5186"/>
    <x v="555"/>
    <n v="2.34"/>
    <n v="3"/>
  </r>
  <r>
    <s v="S1566"/>
    <x v="566"/>
    <x v="3"/>
    <x v="3"/>
    <d v="2022-07-30T00:00:00"/>
    <x v="2"/>
    <n v="11323"/>
    <x v="556"/>
    <n v="3.11"/>
    <n v="89"/>
  </r>
  <r>
    <s v="S1567"/>
    <x v="567"/>
    <x v="6"/>
    <x v="3"/>
    <d v="2022-07-13T00:00:00"/>
    <x v="0"/>
    <n v="6456"/>
    <x v="557"/>
    <n v="3.71"/>
    <n v="15"/>
  </r>
  <r>
    <s v="S1568"/>
    <x v="568"/>
    <x v="3"/>
    <x v="3"/>
    <d v="2022-09-20T00:00:00"/>
    <x v="1"/>
    <n v="3925"/>
    <x v="558"/>
    <n v="2.15"/>
    <n v="95"/>
  </r>
  <r>
    <s v="S1569"/>
    <x v="569"/>
    <x v="2"/>
    <x v="2"/>
    <d v="2023-10-04T00:00:00"/>
    <x v="0"/>
    <n v="11329"/>
    <x v="559"/>
    <n v="2.35"/>
    <n v="35"/>
  </r>
  <r>
    <s v="S1570"/>
    <x v="570"/>
    <x v="6"/>
    <x v="3"/>
    <d v="2024-03-17T00:00:00"/>
    <x v="0"/>
    <n v="5357"/>
    <x v="560"/>
    <n v="3.96"/>
    <n v="23"/>
  </r>
  <r>
    <s v="S1571"/>
    <x v="571"/>
    <x v="2"/>
    <x v="0"/>
    <d v="2023-06-11T00:00:00"/>
    <x v="1"/>
    <n v="10853"/>
    <x v="561"/>
    <n v="3.52"/>
    <n v="12"/>
  </r>
  <r>
    <s v="S1572"/>
    <x v="572"/>
    <x v="1"/>
    <x v="0"/>
    <d v="2024-03-11T00:00:00"/>
    <x v="1"/>
    <n v="3136"/>
    <x v="562"/>
    <n v="3.99"/>
    <n v="94"/>
  </r>
  <r>
    <s v="S1573"/>
    <x v="573"/>
    <x v="2"/>
    <x v="0"/>
    <d v="2024-02-01T00:00:00"/>
    <x v="0"/>
    <n v="12521"/>
    <x v="563"/>
    <n v="2.34"/>
    <n v="105"/>
  </r>
  <r>
    <s v="S1574"/>
    <x v="574"/>
    <x v="2"/>
    <x v="1"/>
    <d v="2023-06-01T00:00:00"/>
    <x v="0"/>
    <n v="8123"/>
    <x v="564"/>
    <n v="2.29"/>
    <n v="5"/>
  </r>
  <r>
    <s v="S1575"/>
    <x v="575"/>
    <x v="4"/>
    <x v="3"/>
    <d v="2023-03-22T00:00:00"/>
    <x v="0"/>
    <n v="11134"/>
    <x v="565"/>
    <n v="2.4500000000000002"/>
    <n v="67"/>
  </r>
  <r>
    <s v="S1576"/>
    <x v="576"/>
    <x v="5"/>
    <x v="3"/>
    <d v="2024-02-06T00:00:00"/>
    <x v="1"/>
    <n v="5281"/>
    <x v="566"/>
    <n v="2.7"/>
    <n v="20"/>
  </r>
  <r>
    <s v="S1577"/>
    <x v="577"/>
    <x v="3"/>
    <x v="1"/>
    <d v="2023-05-05T00:00:00"/>
    <x v="0"/>
    <n v="6006"/>
    <x v="567"/>
    <n v="3.61"/>
    <n v="28"/>
  </r>
  <r>
    <s v="S1578"/>
    <x v="578"/>
    <x v="4"/>
    <x v="3"/>
    <d v="2024-02-11T00:00:00"/>
    <x v="0"/>
    <n v="12212"/>
    <x v="568"/>
    <n v="2.0499999999999998"/>
    <n v="69"/>
  </r>
  <r>
    <s v="S1579"/>
    <x v="579"/>
    <x v="4"/>
    <x v="3"/>
    <d v="2024-03-29T00:00:00"/>
    <x v="0"/>
    <n v="6847"/>
    <x v="569"/>
    <n v="3.94"/>
    <n v="49"/>
  </r>
  <r>
    <s v="S1580"/>
    <x v="580"/>
    <x v="0"/>
    <x v="0"/>
    <d v="2023-12-08T00:00:00"/>
    <x v="0"/>
    <n v="6408"/>
    <x v="570"/>
    <n v="2.67"/>
    <n v="110"/>
  </r>
  <r>
    <s v="S1581"/>
    <x v="581"/>
    <x v="0"/>
    <x v="2"/>
    <d v="2022-10-12T00:00:00"/>
    <x v="1"/>
    <n v="6458"/>
    <x v="571"/>
    <n v="3.39"/>
    <n v="52"/>
  </r>
  <r>
    <s v="S1582"/>
    <x v="582"/>
    <x v="4"/>
    <x v="1"/>
    <d v="2023-07-21T00:00:00"/>
    <x v="0"/>
    <n v="4352"/>
    <x v="572"/>
    <n v="3.26"/>
    <n v="87"/>
  </r>
  <r>
    <s v="S1583"/>
    <x v="583"/>
    <x v="0"/>
    <x v="0"/>
    <d v="2024-03-10T00:00:00"/>
    <x v="1"/>
    <n v="4096"/>
    <x v="573"/>
    <n v="2.02"/>
    <n v="49"/>
  </r>
  <r>
    <s v="S1584"/>
    <x v="584"/>
    <x v="3"/>
    <x v="2"/>
    <d v="2022-10-23T00:00:00"/>
    <x v="0"/>
    <n v="3042"/>
    <x v="335"/>
    <n v="2.2599999999999998"/>
    <n v="31"/>
  </r>
  <r>
    <s v="S1585"/>
    <x v="585"/>
    <x v="6"/>
    <x v="2"/>
    <d v="2024-01-16T00:00:00"/>
    <x v="1"/>
    <n v="8295"/>
    <x v="574"/>
    <n v="2.56"/>
    <n v="1"/>
  </r>
  <r>
    <s v="S1586"/>
    <x v="586"/>
    <x v="3"/>
    <x v="3"/>
    <d v="2023-08-19T00:00:00"/>
    <x v="1"/>
    <n v="2625"/>
    <x v="575"/>
    <n v="3.82"/>
    <n v="95"/>
  </r>
  <r>
    <s v="S1587"/>
    <x v="587"/>
    <x v="2"/>
    <x v="2"/>
    <d v="2023-04-05T00:00:00"/>
    <x v="0"/>
    <n v="14579"/>
    <x v="576"/>
    <n v="2.8"/>
    <n v="89"/>
  </r>
  <r>
    <s v="S1588"/>
    <x v="588"/>
    <x v="1"/>
    <x v="3"/>
    <d v="2022-05-31T00:00:00"/>
    <x v="1"/>
    <n v="3331"/>
    <x v="577"/>
    <n v="3.12"/>
    <n v="57"/>
  </r>
  <r>
    <s v="S1589"/>
    <x v="589"/>
    <x v="2"/>
    <x v="2"/>
    <d v="2024-04-10T00:00:00"/>
    <x v="1"/>
    <n v="13756"/>
    <x v="578"/>
    <n v="3.84"/>
    <n v="0"/>
  </r>
  <r>
    <s v="S1590"/>
    <x v="590"/>
    <x v="6"/>
    <x v="2"/>
    <d v="2023-01-14T00:00:00"/>
    <x v="0"/>
    <n v="2069"/>
    <x v="579"/>
    <n v="2.4"/>
    <n v="60"/>
  </r>
  <r>
    <s v="S1591"/>
    <x v="591"/>
    <x v="3"/>
    <x v="0"/>
    <d v="2024-05-29T00:00:00"/>
    <x v="0"/>
    <n v="12736"/>
    <x v="580"/>
    <n v="3.52"/>
    <n v="30"/>
  </r>
  <r>
    <s v="S1592"/>
    <x v="592"/>
    <x v="3"/>
    <x v="3"/>
    <d v="2023-12-16T00:00:00"/>
    <x v="0"/>
    <n v="9002"/>
    <x v="581"/>
    <n v="3.31"/>
    <n v="25"/>
  </r>
  <r>
    <s v="S1593"/>
    <x v="593"/>
    <x v="5"/>
    <x v="1"/>
    <d v="2023-09-14T00:00:00"/>
    <x v="2"/>
    <n v="10702"/>
    <x v="582"/>
    <n v="3.39"/>
    <n v="6"/>
  </r>
  <r>
    <s v="S1594"/>
    <x v="594"/>
    <x v="1"/>
    <x v="3"/>
    <d v="2022-09-18T00:00:00"/>
    <x v="1"/>
    <n v="13535"/>
    <x v="163"/>
    <n v="3.17"/>
    <n v="73"/>
  </r>
  <r>
    <s v="S1595"/>
    <x v="595"/>
    <x v="0"/>
    <x v="1"/>
    <d v="2022-06-28T00:00:00"/>
    <x v="0"/>
    <n v="11144"/>
    <x v="583"/>
    <n v="2.89"/>
    <n v="98"/>
  </r>
  <r>
    <s v="S1596"/>
    <x v="596"/>
    <x v="5"/>
    <x v="1"/>
    <d v="2023-04-03T00:00:00"/>
    <x v="1"/>
    <n v="9401"/>
    <x v="584"/>
    <n v="2.8"/>
    <n v="78"/>
  </r>
  <r>
    <s v="S1597"/>
    <x v="597"/>
    <x v="5"/>
    <x v="3"/>
    <d v="2023-10-28T00:00:00"/>
    <x v="2"/>
    <n v="6027"/>
    <x v="585"/>
    <n v="2.76"/>
    <n v="50"/>
  </r>
  <r>
    <s v="S1598"/>
    <x v="598"/>
    <x v="5"/>
    <x v="1"/>
    <d v="2022-06-22T00:00:00"/>
    <x v="2"/>
    <n v="14933"/>
    <x v="586"/>
    <n v="3.8"/>
    <n v="71"/>
  </r>
  <r>
    <s v="S1599"/>
    <x v="599"/>
    <x v="5"/>
    <x v="0"/>
    <d v="2022-10-14T00:00:00"/>
    <x v="0"/>
    <n v="4556"/>
    <x v="587"/>
    <n v="3.47"/>
    <n v="13"/>
  </r>
  <r>
    <s v="S1600"/>
    <x v="600"/>
    <x v="5"/>
    <x v="3"/>
    <d v="2023-12-01T00:00:00"/>
    <x v="0"/>
    <n v="6572"/>
    <x v="588"/>
    <n v="3.43"/>
    <n v="9"/>
  </r>
  <r>
    <s v="S1601"/>
    <x v="601"/>
    <x v="0"/>
    <x v="3"/>
    <d v="2023-09-15T00:00:00"/>
    <x v="0"/>
    <n v="2372"/>
    <x v="589"/>
    <n v="2.8"/>
    <n v="51"/>
  </r>
  <r>
    <s v="S1602"/>
    <x v="602"/>
    <x v="5"/>
    <x v="2"/>
    <d v="2023-07-18T00:00:00"/>
    <x v="0"/>
    <n v="10692"/>
    <x v="590"/>
    <n v="3.85"/>
    <n v="90"/>
  </r>
  <r>
    <s v="S1603"/>
    <x v="603"/>
    <x v="6"/>
    <x v="2"/>
    <d v="2024-05-20T00:00:00"/>
    <x v="0"/>
    <n v="13268"/>
    <x v="0"/>
    <n v="3.63"/>
    <n v="105"/>
  </r>
  <r>
    <s v="S1604"/>
    <x v="604"/>
    <x v="5"/>
    <x v="1"/>
    <d v="2023-12-10T00:00:00"/>
    <x v="1"/>
    <n v="13205"/>
    <x v="591"/>
    <n v="3.87"/>
    <n v="55"/>
  </r>
  <r>
    <s v="S1605"/>
    <x v="605"/>
    <x v="7"/>
    <x v="0"/>
    <d v="2022-12-10T00:00:00"/>
    <x v="1"/>
    <n v="14226"/>
    <x v="592"/>
    <n v="2.8"/>
    <n v="77"/>
  </r>
  <r>
    <s v="S1606"/>
    <x v="606"/>
    <x v="2"/>
    <x v="1"/>
    <d v="2023-03-08T00:00:00"/>
    <x v="0"/>
    <n v="8513"/>
    <x v="593"/>
    <n v="2.38"/>
    <n v="32"/>
  </r>
  <r>
    <s v="S1607"/>
    <x v="607"/>
    <x v="6"/>
    <x v="0"/>
    <d v="2023-03-28T00:00:00"/>
    <x v="0"/>
    <n v="11839"/>
    <x v="587"/>
    <n v="2.94"/>
    <n v="9"/>
  </r>
  <r>
    <s v="S1608"/>
    <x v="608"/>
    <x v="2"/>
    <x v="3"/>
    <d v="2023-06-28T00:00:00"/>
    <x v="0"/>
    <n v="11789"/>
    <x v="594"/>
    <n v="2.0499999999999998"/>
    <n v="103"/>
  </r>
  <r>
    <s v="S1609"/>
    <x v="609"/>
    <x v="6"/>
    <x v="1"/>
    <d v="2024-05-23T00:00:00"/>
    <x v="0"/>
    <n v="8777"/>
    <x v="595"/>
    <n v="3.92"/>
    <n v="44"/>
  </r>
  <r>
    <s v="S1610"/>
    <x v="610"/>
    <x v="6"/>
    <x v="3"/>
    <d v="2023-04-08T00:00:00"/>
    <x v="2"/>
    <n v="14001"/>
    <x v="596"/>
    <n v="2.66"/>
    <n v="83"/>
  </r>
  <r>
    <s v="S1611"/>
    <x v="611"/>
    <x v="5"/>
    <x v="0"/>
    <d v="2022-11-30T00:00:00"/>
    <x v="2"/>
    <n v="10096"/>
    <x v="597"/>
    <n v="2.58"/>
    <n v="99"/>
  </r>
  <r>
    <s v="S1612"/>
    <x v="612"/>
    <x v="2"/>
    <x v="0"/>
    <d v="2023-11-07T00:00:00"/>
    <x v="0"/>
    <n v="12350"/>
    <x v="598"/>
    <n v="2.86"/>
    <n v="31"/>
  </r>
  <r>
    <s v="S1613"/>
    <x v="613"/>
    <x v="6"/>
    <x v="1"/>
    <d v="2024-03-11T00:00:00"/>
    <x v="0"/>
    <n v="7322"/>
    <x v="599"/>
    <n v="2.16"/>
    <n v="38"/>
  </r>
  <r>
    <s v="S1614"/>
    <x v="614"/>
    <x v="4"/>
    <x v="2"/>
    <d v="2024-04-12T00:00:00"/>
    <x v="0"/>
    <n v="5312"/>
    <x v="600"/>
    <n v="2.78"/>
    <n v="25"/>
  </r>
  <r>
    <s v="S1615"/>
    <x v="615"/>
    <x v="2"/>
    <x v="3"/>
    <d v="2024-01-02T00:00:00"/>
    <x v="0"/>
    <n v="6373"/>
    <x v="601"/>
    <n v="3.33"/>
    <n v="54"/>
  </r>
  <r>
    <s v="S1616"/>
    <x v="616"/>
    <x v="7"/>
    <x v="2"/>
    <d v="2023-09-15T00:00:00"/>
    <x v="0"/>
    <n v="4233"/>
    <x v="179"/>
    <n v="2.95"/>
    <n v="25"/>
  </r>
  <r>
    <s v="S1617"/>
    <x v="617"/>
    <x v="0"/>
    <x v="3"/>
    <d v="2023-05-26T00:00:00"/>
    <x v="1"/>
    <n v="13229"/>
    <x v="602"/>
    <n v="3.6"/>
    <n v="93"/>
  </r>
  <r>
    <s v="S1618"/>
    <x v="618"/>
    <x v="7"/>
    <x v="1"/>
    <d v="2024-02-23T00:00:00"/>
    <x v="0"/>
    <n v="3758"/>
    <x v="603"/>
    <n v="2.16"/>
    <n v="57"/>
  </r>
  <r>
    <s v="S1619"/>
    <x v="619"/>
    <x v="2"/>
    <x v="0"/>
    <d v="2022-04-18T00:00:00"/>
    <x v="1"/>
    <n v="12721"/>
    <x v="604"/>
    <n v="3.64"/>
    <n v="7"/>
  </r>
  <r>
    <s v="S1620"/>
    <x v="620"/>
    <x v="7"/>
    <x v="1"/>
    <d v="2023-07-15T00:00:00"/>
    <x v="0"/>
    <n v="4337"/>
    <x v="605"/>
    <n v="3.46"/>
    <n v="45"/>
  </r>
  <r>
    <s v="S1621"/>
    <x v="621"/>
    <x v="3"/>
    <x v="0"/>
    <d v="2023-03-21T00:00:00"/>
    <x v="0"/>
    <n v="10462"/>
    <x v="606"/>
    <n v="3.84"/>
    <n v="100"/>
  </r>
  <r>
    <s v="S1622"/>
    <x v="622"/>
    <x v="7"/>
    <x v="0"/>
    <d v="2022-04-06T00:00:00"/>
    <x v="0"/>
    <n v="3395"/>
    <x v="607"/>
    <n v="3.15"/>
    <n v="111"/>
  </r>
  <r>
    <s v="S1623"/>
    <x v="623"/>
    <x v="2"/>
    <x v="0"/>
    <d v="2023-11-23T00:00:00"/>
    <x v="1"/>
    <n v="4517"/>
    <x v="608"/>
    <n v="2.2999999999999998"/>
    <n v="10"/>
  </r>
  <r>
    <s v="S1624"/>
    <x v="624"/>
    <x v="5"/>
    <x v="1"/>
    <d v="2024-06-15T00:00:00"/>
    <x v="0"/>
    <n v="13029"/>
    <x v="609"/>
    <n v="3.5"/>
    <n v="38"/>
  </r>
  <r>
    <s v="S1625"/>
    <x v="625"/>
    <x v="4"/>
    <x v="3"/>
    <d v="2023-05-06T00:00:00"/>
    <x v="1"/>
    <n v="10361"/>
    <x v="610"/>
    <n v="2.52"/>
    <n v="19"/>
  </r>
  <r>
    <s v="S1626"/>
    <x v="626"/>
    <x v="6"/>
    <x v="2"/>
    <d v="2023-06-24T00:00:00"/>
    <x v="0"/>
    <n v="9360"/>
    <x v="611"/>
    <n v="2.3199999999999998"/>
    <n v="114"/>
  </r>
  <r>
    <s v="S1627"/>
    <x v="627"/>
    <x v="4"/>
    <x v="2"/>
    <d v="2023-08-24T00:00:00"/>
    <x v="1"/>
    <n v="8250"/>
    <x v="612"/>
    <n v="3.47"/>
    <n v="98"/>
  </r>
  <r>
    <s v="S1628"/>
    <x v="628"/>
    <x v="4"/>
    <x v="1"/>
    <d v="2023-04-30T00:00:00"/>
    <x v="0"/>
    <n v="6986"/>
    <x v="613"/>
    <n v="3.12"/>
    <n v="106"/>
  </r>
  <r>
    <s v="S1629"/>
    <x v="629"/>
    <x v="5"/>
    <x v="1"/>
    <d v="2023-01-01T00:00:00"/>
    <x v="1"/>
    <n v="14012"/>
    <x v="614"/>
    <n v="2.29"/>
    <n v="86"/>
  </r>
  <r>
    <s v="S1630"/>
    <x v="630"/>
    <x v="5"/>
    <x v="0"/>
    <d v="2023-02-22T00:00:00"/>
    <x v="0"/>
    <n v="6769"/>
    <x v="615"/>
    <n v="2.2999999999999998"/>
    <n v="57"/>
  </r>
  <r>
    <s v="S1631"/>
    <x v="631"/>
    <x v="1"/>
    <x v="0"/>
    <d v="2024-06-10T00:00:00"/>
    <x v="0"/>
    <n v="3621"/>
    <x v="616"/>
    <n v="3.45"/>
    <n v="16"/>
  </r>
  <r>
    <s v="S1632"/>
    <x v="632"/>
    <x v="6"/>
    <x v="2"/>
    <d v="2022-05-20T00:00:00"/>
    <x v="2"/>
    <n v="14499"/>
    <x v="617"/>
    <n v="2.4"/>
    <n v="21"/>
  </r>
  <r>
    <s v="S1633"/>
    <x v="633"/>
    <x v="1"/>
    <x v="3"/>
    <d v="2023-06-19T00:00:00"/>
    <x v="0"/>
    <n v="4859"/>
    <x v="618"/>
    <n v="3.26"/>
    <n v="99"/>
  </r>
  <r>
    <s v="S1634"/>
    <x v="634"/>
    <x v="4"/>
    <x v="0"/>
    <d v="2022-09-23T00:00:00"/>
    <x v="1"/>
    <n v="3080"/>
    <x v="619"/>
    <n v="2.33"/>
    <n v="94"/>
  </r>
  <r>
    <s v="S1635"/>
    <x v="635"/>
    <x v="6"/>
    <x v="2"/>
    <d v="2023-01-07T00:00:00"/>
    <x v="1"/>
    <n v="10910"/>
    <x v="620"/>
    <n v="3.02"/>
    <n v="70"/>
  </r>
  <r>
    <s v="S1636"/>
    <x v="636"/>
    <x v="4"/>
    <x v="0"/>
    <d v="2022-11-29T00:00:00"/>
    <x v="0"/>
    <n v="12516"/>
    <x v="621"/>
    <n v="3.86"/>
    <n v="98"/>
  </r>
  <r>
    <s v="S1637"/>
    <x v="637"/>
    <x v="4"/>
    <x v="2"/>
    <d v="2023-10-25T00:00:00"/>
    <x v="0"/>
    <n v="3587"/>
    <x v="622"/>
    <n v="2.34"/>
    <n v="57"/>
  </r>
  <r>
    <s v="S1638"/>
    <x v="638"/>
    <x v="6"/>
    <x v="3"/>
    <d v="2024-02-20T00:00:00"/>
    <x v="1"/>
    <n v="13307"/>
    <x v="623"/>
    <n v="2.4900000000000002"/>
    <n v="99"/>
  </r>
  <r>
    <s v="S1639"/>
    <x v="639"/>
    <x v="5"/>
    <x v="1"/>
    <d v="2022-12-25T00:00:00"/>
    <x v="1"/>
    <n v="4132"/>
    <x v="624"/>
    <n v="2.63"/>
    <n v="114"/>
  </r>
  <r>
    <s v="S1640"/>
    <x v="640"/>
    <x v="6"/>
    <x v="1"/>
    <d v="2022-05-12T00:00:00"/>
    <x v="0"/>
    <n v="5391"/>
    <x v="625"/>
    <n v="3.61"/>
    <n v="37"/>
  </r>
  <r>
    <s v="S1641"/>
    <x v="641"/>
    <x v="7"/>
    <x v="1"/>
    <d v="2022-10-01T00:00:00"/>
    <x v="1"/>
    <n v="4790"/>
    <x v="169"/>
    <n v="2.11"/>
    <n v="52"/>
  </r>
  <r>
    <s v="S1642"/>
    <x v="642"/>
    <x v="5"/>
    <x v="3"/>
    <d v="2022-12-09T00:00:00"/>
    <x v="0"/>
    <n v="13302"/>
    <x v="626"/>
    <n v="2.5"/>
    <n v="98"/>
  </r>
  <r>
    <s v="S1643"/>
    <x v="643"/>
    <x v="6"/>
    <x v="0"/>
    <d v="2024-05-23T00:00:00"/>
    <x v="0"/>
    <n v="9424"/>
    <x v="627"/>
    <n v="2.5"/>
    <n v="86"/>
  </r>
  <r>
    <s v="S1644"/>
    <x v="644"/>
    <x v="0"/>
    <x v="2"/>
    <d v="2023-03-07T00:00:00"/>
    <x v="0"/>
    <n v="13660"/>
    <x v="628"/>
    <n v="3.06"/>
    <n v="98"/>
  </r>
  <r>
    <s v="S1645"/>
    <x v="645"/>
    <x v="1"/>
    <x v="1"/>
    <d v="2023-04-22T00:00:00"/>
    <x v="0"/>
    <n v="2789"/>
    <x v="629"/>
    <n v="3.93"/>
    <n v="22"/>
  </r>
  <r>
    <s v="S1646"/>
    <x v="646"/>
    <x v="6"/>
    <x v="3"/>
    <d v="2022-06-06T00:00:00"/>
    <x v="1"/>
    <n v="14573"/>
    <x v="630"/>
    <n v="2.67"/>
    <n v="115"/>
  </r>
  <r>
    <s v="S1647"/>
    <x v="647"/>
    <x v="2"/>
    <x v="2"/>
    <d v="2022-03-05T00:00:00"/>
    <x v="0"/>
    <n v="4580"/>
    <x v="631"/>
    <n v="2.02"/>
    <n v="100"/>
  </r>
  <r>
    <s v="S1648"/>
    <x v="648"/>
    <x v="6"/>
    <x v="0"/>
    <d v="2022-06-28T00:00:00"/>
    <x v="0"/>
    <n v="8254"/>
    <x v="632"/>
    <n v="2.2599999999999998"/>
    <n v="5"/>
  </r>
  <r>
    <s v="S1649"/>
    <x v="649"/>
    <x v="4"/>
    <x v="1"/>
    <d v="2023-01-12T00:00:00"/>
    <x v="2"/>
    <n v="5234"/>
    <x v="633"/>
    <n v="3.59"/>
    <n v="100"/>
  </r>
  <r>
    <s v="S1650"/>
    <x v="650"/>
    <x v="3"/>
    <x v="2"/>
    <d v="2022-12-21T00:00:00"/>
    <x v="0"/>
    <n v="5237"/>
    <x v="634"/>
    <n v="3.07"/>
    <n v="65"/>
  </r>
  <r>
    <s v="S1651"/>
    <x v="651"/>
    <x v="6"/>
    <x v="3"/>
    <d v="2022-09-14T00:00:00"/>
    <x v="1"/>
    <n v="6803"/>
    <x v="635"/>
    <n v="2.89"/>
    <n v="35"/>
  </r>
  <r>
    <s v="S1652"/>
    <x v="652"/>
    <x v="1"/>
    <x v="1"/>
    <d v="2022-01-02T00:00:00"/>
    <x v="0"/>
    <n v="3355"/>
    <x v="636"/>
    <n v="3.49"/>
    <n v="102"/>
  </r>
  <r>
    <s v="S1653"/>
    <x v="653"/>
    <x v="6"/>
    <x v="1"/>
    <d v="2022-12-28T00:00:00"/>
    <x v="1"/>
    <n v="13586"/>
    <x v="637"/>
    <n v="2.67"/>
    <n v="118"/>
  </r>
  <r>
    <s v="S1654"/>
    <x v="654"/>
    <x v="7"/>
    <x v="2"/>
    <d v="2023-07-27T00:00:00"/>
    <x v="0"/>
    <n v="7191"/>
    <x v="638"/>
    <n v="2.06"/>
    <n v="10"/>
  </r>
  <r>
    <s v="S1655"/>
    <x v="655"/>
    <x v="5"/>
    <x v="3"/>
    <d v="2023-01-10T00:00:00"/>
    <x v="1"/>
    <n v="2088"/>
    <x v="639"/>
    <n v="2.82"/>
    <n v="48"/>
  </r>
  <r>
    <s v="S1656"/>
    <x v="656"/>
    <x v="1"/>
    <x v="2"/>
    <d v="2024-05-19T00:00:00"/>
    <x v="0"/>
    <n v="8068"/>
    <x v="640"/>
    <n v="3.01"/>
    <n v="13"/>
  </r>
  <r>
    <s v="S1657"/>
    <x v="657"/>
    <x v="1"/>
    <x v="0"/>
    <d v="2023-10-06T00:00:00"/>
    <x v="0"/>
    <n v="9351"/>
    <x v="641"/>
    <n v="2.15"/>
    <n v="0"/>
  </r>
  <r>
    <s v="S1658"/>
    <x v="658"/>
    <x v="1"/>
    <x v="1"/>
    <d v="2022-02-15T00:00:00"/>
    <x v="0"/>
    <n v="13082"/>
    <x v="642"/>
    <n v="2.12"/>
    <n v="80"/>
  </r>
  <r>
    <s v="S1659"/>
    <x v="659"/>
    <x v="7"/>
    <x v="3"/>
    <d v="2022-03-30T00:00:00"/>
    <x v="2"/>
    <n v="7721"/>
    <x v="643"/>
    <n v="2.89"/>
    <n v="18"/>
  </r>
  <r>
    <s v="S1660"/>
    <x v="660"/>
    <x v="7"/>
    <x v="3"/>
    <d v="2023-05-27T00:00:00"/>
    <x v="1"/>
    <n v="10644"/>
    <x v="644"/>
    <n v="3.04"/>
    <n v="34"/>
  </r>
  <r>
    <s v="S1661"/>
    <x v="661"/>
    <x v="2"/>
    <x v="1"/>
    <d v="2023-09-30T00:00:00"/>
    <x v="0"/>
    <n v="10752"/>
    <x v="645"/>
    <n v="2.9"/>
    <n v="67"/>
  </r>
  <r>
    <s v="S1662"/>
    <x v="662"/>
    <x v="1"/>
    <x v="0"/>
    <d v="2023-09-21T00:00:00"/>
    <x v="1"/>
    <n v="3252"/>
    <x v="646"/>
    <n v="2.66"/>
    <n v="80"/>
  </r>
  <r>
    <s v="S1663"/>
    <x v="663"/>
    <x v="1"/>
    <x v="3"/>
    <d v="2022-05-31T00:00:00"/>
    <x v="0"/>
    <n v="11497"/>
    <x v="647"/>
    <n v="2.9"/>
    <n v="47"/>
  </r>
  <r>
    <s v="S1664"/>
    <x v="664"/>
    <x v="7"/>
    <x v="0"/>
    <d v="2023-07-31T00:00:00"/>
    <x v="0"/>
    <n v="7089"/>
    <x v="648"/>
    <n v="3.75"/>
    <n v="113"/>
  </r>
  <r>
    <s v="S1665"/>
    <x v="665"/>
    <x v="1"/>
    <x v="1"/>
    <d v="2023-02-02T00:00:00"/>
    <x v="1"/>
    <n v="5893"/>
    <x v="649"/>
    <n v="3.15"/>
    <n v="8"/>
  </r>
  <r>
    <s v="S1666"/>
    <x v="666"/>
    <x v="4"/>
    <x v="0"/>
    <d v="2022-07-11T00:00:00"/>
    <x v="0"/>
    <n v="4330"/>
    <x v="650"/>
    <n v="3.95"/>
    <n v="81"/>
  </r>
  <r>
    <s v="S1667"/>
    <x v="667"/>
    <x v="3"/>
    <x v="2"/>
    <d v="2023-09-26T00:00:00"/>
    <x v="0"/>
    <n v="3810"/>
    <x v="651"/>
    <n v="3.16"/>
    <n v="66"/>
  </r>
  <r>
    <s v="S1668"/>
    <x v="668"/>
    <x v="3"/>
    <x v="1"/>
    <d v="2022-10-22T00:00:00"/>
    <x v="1"/>
    <n v="3315"/>
    <x v="652"/>
    <n v="3.26"/>
    <n v="117"/>
  </r>
  <r>
    <s v="S1669"/>
    <x v="669"/>
    <x v="0"/>
    <x v="2"/>
    <d v="2022-02-08T00:00:00"/>
    <x v="1"/>
    <n v="9949"/>
    <x v="653"/>
    <n v="3.17"/>
    <n v="54"/>
  </r>
  <r>
    <s v="S1670"/>
    <x v="670"/>
    <x v="3"/>
    <x v="0"/>
    <d v="2023-10-13T00:00:00"/>
    <x v="0"/>
    <n v="2894"/>
    <x v="55"/>
    <n v="3.96"/>
    <n v="30"/>
  </r>
  <r>
    <s v="S1671"/>
    <x v="671"/>
    <x v="2"/>
    <x v="1"/>
    <d v="2023-05-25T00:00:00"/>
    <x v="2"/>
    <n v="4013"/>
    <x v="654"/>
    <n v="3.59"/>
    <n v="6"/>
  </r>
  <r>
    <s v="S1672"/>
    <x v="672"/>
    <x v="2"/>
    <x v="2"/>
    <d v="2022-03-20T00:00:00"/>
    <x v="1"/>
    <n v="5273"/>
    <x v="655"/>
    <n v="2.59"/>
    <n v="95"/>
  </r>
  <r>
    <s v="S1673"/>
    <x v="673"/>
    <x v="6"/>
    <x v="1"/>
    <d v="2023-09-21T00:00:00"/>
    <x v="0"/>
    <n v="10298"/>
    <x v="656"/>
    <n v="2.67"/>
    <n v="88"/>
  </r>
  <r>
    <s v="S1674"/>
    <x v="674"/>
    <x v="5"/>
    <x v="0"/>
    <d v="2022-02-07T00:00:00"/>
    <x v="0"/>
    <n v="9592"/>
    <x v="657"/>
    <n v="2.1"/>
    <n v="71"/>
  </r>
  <r>
    <s v="S1675"/>
    <x v="675"/>
    <x v="5"/>
    <x v="0"/>
    <d v="2022-09-13T00:00:00"/>
    <x v="0"/>
    <n v="12383"/>
    <x v="658"/>
    <n v="2.78"/>
    <n v="38"/>
  </r>
  <r>
    <s v="S1676"/>
    <x v="676"/>
    <x v="3"/>
    <x v="3"/>
    <d v="2022-08-10T00:00:00"/>
    <x v="0"/>
    <n v="10703"/>
    <x v="659"/>
    <n v="3.49"/>
    <n v="107"/>
  </r>
  <r>
    <s v="S1677"/>
    <x v="677"/>
    <x v="5"/>
    <x v="0"/>
    <d v="2023-03-05T00:00:00"/>
    <x v="0"/>
    <n v="12060"/>
    <x v="660"/>
    <n v="3.77"/>
    <n v="48"/>
  </r>
  <r>
    <s v="S1678"/>
    <x v="678"/>
    <x v="7"/>
    <x v="3"/>
    <d v="2024-06-17T00:00:00"/>
    <x v="0"/>
    <n v="5192"/>
    <x v="661"/>
    <n v="2.4700000000000002"/>
    <n v="88"/>
  </r>
  <r>
    <s v="S1679"/>
    <x v="679"/>
    <x v="4"/>
    <x v="2"/>
    <d v="2022-03-16T00:00:00"/>
    <x v="0"/>
    <n v="3356"/>
    <x v="662"/>
    <n v="2.74"/>
    <n v="98"/>
  </r>
  <r>
    <s v="S1680"/>
    <x v="680"/>
    <x v="1"/>
    <x v="2"/>
    <d v="2023-03-17T00:00:00"/>
    <x v="1"/>
    <n v="6141"/>
    <x v="663"/>
    <n v="2.58"/>
    <n v="100"/>
  </r>
  <r>
    <s v="S1681"/>
    <x v="681"/>
    <x v="0"/>
    <x v="1"/>
    <d v="2024-04-07T00:00:00"/>
    <x v="0"/>
    <n v="5110"/>
    <x v="664"/>
    <n v="3.06"/>
    <n v="77"/>
  </r>
  <r>
    <s v="S1682"/>
    <x v="682"/>
    <x v="4"/>
    <x v="1"/>
    <d v="2024-02-18T00:00:00"/>
    <x v="0"/>
    <n v="10080"/>
    <x v="665"/>
    <n v="3.17"/>
    <n v="73"/>
  </r>
  <r>
    <s v="S1683"/>
    <x v="683"/>
    <x v="1"/>
    <x v="1"/>
    <d v="2022-02-04T00:00:00"/>
    <x v="0"/>
    <n v="7513"/>
    <x v="666"/>
    <n v="3.05"/>
    <n v="73"/>
  </r>
  <r>
    <s v="S1684"/>
    <x v="684"/>
    <x v="4"/>
    <x v="1"/>
    <d v="2023-12-25T00:00:00"/>
    <x v="0"/>
    <n v="8227"/>
    <x v="667"/>
    <n v="3.1"/>
    <n v="50"/>
  </r>
  <r>
    <s v="S1685"/>
    <x v="685"/>
    <x v="6"/>
    <x v="0"/>
    <d v="2023-12-25T00:00:00"/>
    <x v="0"/>
    <n v="13129"/>
    <x v="668"/>
    <n v="3.5"/>
    <n v="116"/>
  </r>
  <r>
    <s v="S1686"/>
    <x v="686"/>
    <x v="4"/>
    <x v="1"/>
    <d v="2022-12-10T00:00:00"/>
    <x v="2"/>
    <n v="10408"/>
    <x v="669"/>
    <n v="2.78"/>
    <n v="72"/>
  </r>
  <r>
    <s v="S1687"/>
    <x v="687"/>
    <x v="4"/>
    <x v="0"/>
    <d v="2023-10-17T00:00:00"/>
    <x v="1"/>
    <n v="7270"/>
    <x v="670"/>
    <n v="2.2000000000000002"/>
    <n v="10"/>
  </r>
  <r>
    <s v="S1688"/>
    <x v="688"/>
    <x v="5"/>
    <x v="1"/>
    <d v="2022-03-28T00:00:00"/>
    <x v="0"/>
    <n v="2730"/>
    <x v="671"/>
    <n v="2.09"/>
    <n v="70"/>
  </r>
  <r>
    <s v="S1689"/>
    <x v="689"/>
    <x v="4"/>
    <x v="1"/>
    <d v="2022-06-03T00:00:00"/>
    <x v="1"/>
    <n v="11096"/>
    <x v="672"/>
    <n v="3.9"/>
    <n v="48"/>
  </r>
  <r>
    <s v="S1690"/>
    <x v="690"/>
    <x v="5"/>
    <x v="1"/>
    <d v="2024-03-11T00:00:00"/>
    <x v="1"/>
    <n v="14406"/>
    <x v="673"/>
    <n v="3.04"/>
    <n v="109"/>
  </r>
  <r>
    <s v="S1691"/>
    <x v="691"/>
    <x v="1"/>
    <x v="2"/>
    <d v="2023-11-21T00:00:00"/>
    <x v="1"/>
    <n v="11296"/>
    <x v="674"/>
    <n v="2.86"/>
    <n v="112"/>
  </r>
  <r>
    <s v="S1692"/>
    <x v="692"/>
    <x v="3"/>
    <x v="1"/>
    <d v="2023-10-21T00:00:00"/>
    <x v="2"/>
    <n v="12851"/>
    <x v="675"/>
    <n v="3.36"/>
    <n v="15"/>
  </r>
  <r>
    <s v="S1693"/>
    <x v="693"/>
    <x v="5"/>
    <x v="2"/>
    <d v="2023-07-27T00:00:00"/>
    <x v="1"/>
    <n v="6804"/>
    <x v="676"/>
    <n v="3.77"/>
    <n v="2"/>
  </r>
  <r>
    <s v="S1694"/>
    <x v="694"/>
    <x v="3"/>
    <x v="3"/>
    <d v="2022-03-17T00:00:00"/>
    <x v="0"/>
    <n v="3504"/>
    <x v="677"/>
    <n v="2.31"/>
    <n v="101"/>
  </r>
  <r>
    <s v="S1695"/>
    <x v="695"/>
    <x v="6"/>
    <x v="2"/>
    <d v="2022-11-09T00:00:00"/>
    <x v="1"/>
    <n v="13244"/>
    <x v="678"/>
    <n v="2.0299999999999998"/>
    <n v="44"/>
  </r>
  <r>
    <s v="S1696"/>
    <x v="696"/>
    <x v="0"/>
    <x v="1"/>
    <d v="2022-12-02T00:00:00"/>
    <x v="1"/>
    <n v="14717"/>
    <x v="679"/>
    <n v="3.78"/>
    <n v="97"/>
  </r>
  <r>
    <s v="S1697"/>
    <x v="697"/>
    <x v="7"/>
    <x v="1"/>
    <d v="2023-11-14T00:00:00"/>
    <x v="0"/>
    <n v="9722"/>
    <x v="680"/>
    <n v="2.5"/>
    <n v="53"/>
  </r>
  <r>
    <s v="S1698"/>
    <x v="698"/>
    <x v="4"/>
    <x v="0"/>
    <d v="2024-02-08T00:00:00"/>
    <x v="0"/>
    <n v="12801"/>
    <x v="681"/>
    <n v="2.58"/>
    <n v="57"/>
  </r>
  <r>
    <s v="S1699"/>
    <x v="699"/>
    <x v="0"/>
    <x v="1"/>
    <d v="2022-07-03T00:00:00"/>
    <x v="0"/>
    <n v="3650"/>
    <x v="682"/>
    <n v="2.64"/>
    <n v="4"/>
  </r>
  <r>
    <s v="S1700"/>
    <x v="700"/>
    <x v="7"/>
    <x v="2"/>
    <d v="2023-06-01T00:00:00"/>
    <x v="2"/>
    <n v="8042"/>
    <x v="683"/>
    <n v="3.91"/>
    <n v="37"/>
  </r>
  <r>
    <s v="S1701"/>
    <x v="701"/>
    <x v="3"/>
    <x v="0"/>
    <d v="2022-03-16T00:00:00"/>
    <x v="1"/>
    <n v="4253"/>
    <x v="684"/>
    <n v="3.66"/>
    <n v="113"/>
  </r>
  <r>
    <s v="S1702"/>
    <x v="702"/>
    <x v="5"/>
    <x v="0"/>
    <d v="2023-10-13T00:00:00"/>
    <x v="0"/>
    <n v="7568"/>
    <x v="685"/>
    <n v="3.11"/>
    <n v="25"/>
  </r>
  <r>
    <s v="S1703"/>
    <x v="703"/>
    <x v="5"/>
    <x v="1"/>
    <d v="2023-01-18T00:00:00"/>
    <x v="0"/>
    <n v="12595"/>
    <x v="686"/>
    <n v="2.6"/>
    <n v="66"/>
  </r>
  <r>
    <s v="S1704"/>
    <x v="704"/>
    <x v="5"/>
    <x v="3"/>
    <d v="2023-08-28T00:00:00"/>
    <x v="0"/>
    <n v="13552"/>
    <x v="687"/>
    <n v="2.4300000000000002"/>
    <n v="10"/>
  </r>
  <r>
    <s v="S1705"/>
    <x v="705"/>
    <x v="3"/>
    <x v="3"/>
    <d v="2023-09-15T00:00:00"/>
    <x v="0"/>
    <n v="12316"/>
    <x v="688"/>
    <n v="2.77"/>
    <n v="23"/>
  </r>
  <r>
    <s v="S1706"/>
    <x v="706"/>
    <x v="4"/>
    <x v="2"/>
    <d v="2023-05-04T00:00:00"/>
    <x v="0"/>
    <n v="13723"/>
    <x v="689"/>
    <n v="2.46"/>
    <n v="58"/>
  </r>
  <r>
    <s v="S1707"/>
    <x v="707"/>
    <x v="0"/>
    <x v="0"/>
    <d v="2022-12-26T00:00:00"/>
    <x v="0"/>
    <n v="7398"/>
    <x v="690"/>
    <n v="3.81"/>
    <n v="90"/>
  </r>
  <r>
    <s v="S1708"/>
    <x v="708"/>
    <x v="6"/>
    <x v="2"/>
    <d v="2023-12-01T00:00:00"/>
    <x v="1"/>
    <n v="11190"/>
    <x v="691"/>
    <n v="2.81"/>
    <n v="79"/>
  </r>
  <r>
    <s v="S1709"/>
    <x v="709"/>
    <x v="7"/>
    <x v="1"/>
    <d v="2022-03-12T00:00:00"/>
    <x v="1"/>
    <n v="11686"/>
    <x v="692"/>
    <n v="3.04"/>
    <n v="25"/>
  </r>
  <r>
    <s v="S1710"/>
    <x v="710"/>
    <x v="4"/>
    <x v="2"/>
    <d v="2023-12-13T00:00:00"/>
    <x v="0"/>
    <n v="10158"/>
    <x v="693"/>
    <n v="3"/>
    <n v="19"/>
  </r>
  <r>
    <s v="S1711"/>
    <x v="711"/>
    <x v="3"/>
    <x v="0"/>
    <d v="2022-03-13T00:00:00"/>
    <x v="2"/>
    <n v="3088"/>
    <x v="694"/>
    <n v="2.4700000000000002"/>
    <n v="113"/>
  </r>
  <r>
    <s v="S1712"/>
    <x v="712"/>
    <x v="0"/>
    <x v="1"/>
    <d v="2023-08-15T00:00:00"/>
    <x v="0"/>
    <n v="2510"/>
    <x v="695"/>
    <n v="3.72"/>
    <n v="98"/>
  </r>
  <r>
    <s v="S1713"/>
    <x v="713"/>
    <x v="6"/>
    <x v="2"/>
    <d v="2022-12-26T00:00:00"/>
    <x v="2"/>
    <n v="2925"/>
    <x v="696"/>
    <n v="2.88"/>
    <n v="59"/>
  </r>
  <r>
    <s v="S1714"/>
    <x v="714"/>
    <x v="4"/>
    <x v="0"/>
    <d v="2022-02-07T00:00:00"/>
    <x v="0"/>
    <n v="10388"/>
    <x v="697"/>
    <n v="3.62"/>
    <n v="35"/>
  </r>
  <r>
    <s v="S1715"/>
    <x v="715"/>
    <x v="1"/>
    <x v="3"/>
    <d v="2022-11-15T00:00:00"/>
    <x v="1"/>
    <n v="7318"/>
    <x v="698"/>
    <n v="2.86"/>
    <n v="88"/>
  </r>
  <r>
    <s v="S1716"/>
    <x v="716"/>
    <x v="5"/>
    <x v="2"/>
    <d v="2023-09-26T00:00:00"/>
    <x v="1"/>
    <n v="9113"/>
    <x v="699"/>
    <n v="3.84"/>
    <n v="86"/>
  </r>
  <r>
    <s v="S1717"/>
    <x v="717"/>
    <x v="5"/>
    <x v="3"/>
    <d v="2022-04-01T00:00:00"/>
    <x v="0"/>
    <n v="6712"/>
    <x v="700"/>
    <n v="2.1800000000000002"/>
    <n v="10"/>
  </r>
  <r>
    <s v="S1718"/>
    <x v="718"/>
    <x v="7"/>
    <x v="3"/>
    <d v="2023-09-11T00:00:00"/>
    <x v="0"/>
    <n v="3350"/>
    <x v="701"/>
    <n v="2.92"/>
    <n v="109"/>
  </r>
  <r>
    <s v="S1719"/>
    <x v="719"/>
    <x v="5"/>
    <x v="2"/>
    <d v="2022-12-11T00:00:00"/>
    <x v="1"/>
    <n v="2209"/>
    <x v="702"/>
    <n v="3.49"/>
    <n v="66"/>
  </r>
  <r>
    <s v="S1720"/>
    <x v="720"/>
    <x v="4"/>
    <x v="2"/>
    <d v="2022-09-24T00:00:00"/>
    <x v="0"/>
    <n v="13928"/>
    <x v="703"/>
    <n v="3.37"/>
    <n v="64"/>
  </r>
  <r>
    <s v="S1721"/>
    <x v="721"/>
    <x v="0"/>
    <x v="2"/>
    <d v="2023-10-28T00:00:00"/>
    <x v="0"/>
    <n v="9516"/>
    <x v="704"/>
    <n v="3.16"/>
    <n v="96"/>
  </r>
  <r>
    <s v="S1722"/>
    <x v="722"/>
    <x v="5"/>
    <x v="3"/>
    <d v="2022-01-30T00:00:00"/>
    <x v="0"/>
    <n v="5145"/>
    <x v="705"/>
    <n v="2.98"/>
    <n v="32"/>
  </r>
  <r>
    <s v="S1723"/>
    <x v="723"/>
    <x v="4"/>
    <x v="0"/>
    <d v="2022-07-13T00:00:00"/>
    <x v="1"/>
    <n v="6799"/>
    <x v="706"/>
    <n v="3.07"/>
    <n v="45"/>
  </r>
  <r>
    <s v="S1724"/>
    <x v="724"/>
    <x v="6"/>
    <x v="1"/>
    <d v="2023-01-30T00:00:00"/>
    <x v="0"/>
    <n v="7388"/>
    <x v="707"/>
    <n v="3.7"/>
    <n v="118"/>
  </r>
  <r>
    <s v="S1725"/>
    <x v="725"/>
    <x v="0"/>
    <x v="2"/>
    <d v="2023-12-29T00:00:00"/>
    <x v="0"/>
    <n v="2383"/>
    <x v="708"/>
    <n v="2.82"/>
    <n v="8"/>
  </r>
  <r>
    <s v="S1726"/>
    <x v="726"/>
    <x v="6"/>
    <x v="1"/>
    <d v="2022-02-13T00:00:00"/>
    <x v="1"/>
    <n v="7853"/>
    <x v="709"/>
    <n v="2.4300000000000002"/>
    <n v="4"/>
  </r>
  <r>
    <s v="S1727"/>
    <x v="727"/>
    <x v="5"/>
    <x v="0"/>
    <d v="2024-04-01T00:00:00"/>
    <x v="0"/>
    <n v="12713"/>
    <x v="710"/>
    <n v="3.92"/>
    <n v="95"/>
  </r>
  <r>
    <s v="S1728"/>
    <x v="728"/>
    <x v="7"/>
    <x v="3"/>
    <d v="2022-09-17T00:00:00"/>
    <x v="1"/>
    <n v="4256"/>
    <x v="711"/>
    <n v="2.89"/>
    <n v="32"/>
  </r>
  <r>
    <s v="S1729"/>
    <x v="729"/>
    <x v="5"/>
    <x v="2"/>
    <d v="2022-09-27T00:00:00"/>
    <x v="0"/>
    <n v="9110"/>
    <x v="712"/>
    <n v="3.07"/>
    <n v="103"/>
  </r>
  <r>
    <s v="S1730"/>
    <x v="730"/>
    <x v="4"/>
    <x v="1"/>
    <d v="2023-01-23T00:00:00"/>
    <x v="2"/>
    <n v="3316"/>
    <x v="713"/>
    <n v="2.2799999999999998"/>
    <n v="110"/>
  </r>
  <r>
    <s v="S1731"/>
    <x v="731"/>
    <x v="1"/>
    <x v="3"/>
    <d v="2024-01-09T00:00:00"/>
    <x v="0"/>
    <n v="5395"/>
    <x v="714"/>
    <n v="3.29"/>
    <n v="50"/>
  </r>
  <r>
    <s v="S1732"/>
    <x v="732"/>
    <x v="0"/>
    <x v="3"/>
    <d v="2024-02-01T00:00:00"/>
    <x v="0"/>
    <n v="13318"/>
    <x v="715"/>
    <n v="3.79"/>
    <n v="45"/>
  </r>
  <r>
    <s v="S1733"/>
    <x v="733"/>
    <x v="4"/>
    <x v="0"/>
    <d v="2022-08-27T00:00:00"/>
    <x v="1"/>
    <n v="6241"/>
    <x v="716"/>
    <n v="3.92"/>
    <n v="111"/>
  </r>
  <r>
    <s v="S1734"/>
    <x v="734"/>
    <x v="7"/>
    <x v="1"/>
    <d v="2022-01-17T00:00:00"/>
    <x v="0"/>
    <n v="8037"/>
    <x v="717"/>
    <n v="2.75"/>
    <n v="28"/>
  </r>
  <r>
    <s v="S1735"/>
    <x v="735"/>
    <x v="6"/>
    <x v="1"/>
    <d v="2022-06-19T00:00:00"/>
    <x v="0"/>
    <n v="10127"/>
    <x v="718"/>
    <n v="3.84"/>
    <n v="89"/>
  </r>
  <r>
    <s v="S1736"/>
    <x v="736"/>
    <x v="0"/>
    <x v="3"/>
    <d v="2023-02-18T00:00:00"/>
    <x v="0"/>
    <n v="12789"/>
    <x v="719"/>
    <n v="2.92"/>
    <n v="90"/>
  </r>
  <r>
    <s v="S1737"/>
    <x v="737"/>
    <x v="7"/>
    <x v="0"/>
    <d v="2022-06-07T00:00:00"/>
    <x v="0"/>
    <n v="10155"/>
    <x v="720"/>
    <n v="3.99"/>
    <n v="38"/>
  </r>
  <r>
    <s v="S1738"/>
    <x v="738"/>
    <x v="7"/>
    <x v="2"/>
    <d v="2023-02-18T00:00:00"/>
    <x v="0"/>
    <n v="6971"/>
    <x v="721"/>
    <n v="2.6"/>
    <n v="54"/>
  </r>
  <r>
    <s v="S1739"/>
    <x v="739"/>
    <x v="7"/>
    <x v="0"/>
    <d v="2022-02-04T00:00:00"/>
    <x v="0"/>
    <n v="9877"/>
    <x v="722"/>
    <n v="3.69"/>
    <n v="25"/>
  </r>
  <r>
    <s v="S1740"/>
    <x v="740"/>
    <x v="1"/>
    <x v="1"/>
    <d v="2023-07-09T00:00:00"/>
    <x v="0"/>
    <n v="9561"/>
    <x v="723"/>
    <n v="3.79"/>
    <n v="68"/>
  </r>
  <r>
    <s v="S1741"/>
    <x v="741"/>
    <x v="7"/>
    <x v="0"/>
    <d v="2022-05-16T00:00:00"/>
    <x v="0"/>
    <n v="6012"/>
    <x v="137"/>
    <n v="2.27"/>
    <n v="50"/>
  </r>
  <r>
    <s v="S1742"/>
    <x v="742"/>
    <x v="3"/>
    <x v="0"/>
    <d v="2023-08-10T00:00:00"/>
    <x v="0"/>
    <n v="12717"/>
    <x v="724"/>
    <n v="3.55"/>
    <n v="61"/>
  </r>
  <r>
    <s v="S1743"/>
    <x v="743"/>
    <x v="4"/>
    <x v="1"/>
    <d v="2023-05-16T00:00:00"/>
    <x v="0"/>
    <n v="5344"/>
    <x v="725"/>
    <n v="2.97"/>
    <n v="108"/>
  </r>
  <r>
    <s v="S1744"/>
    <x v="744"/>
    <x v="6"/>
    <x v="3"/>
    <d v="2022-08-31T00:00:00"/>
    <x v="0"/>
    <n v="2025"/>
    <x v="726"/>
    <n v="3.27"/>
    <n v="23"/>
  </r>
  <r>
    <s v="S1745"/>
    <x v="745"/>
    <x v="1"/>
    <x v="2"/>
    <d v="2022-10-17T00:00:00"/>
    <x v="0"/>
    <n v="13185"/>
    <x v="727"/>
    <n v="3.51"/>
    <n v="55"/>
  </r>
  <r>
    <s v="S1746"/>
    <x v="746"/>
    <x v="7"/>
    <x v="0"/>
    <d v="2024-03-18T00:00:00"/>
    <x v="0"/>
    <n v="3683"/>
    <x v="728"/>
    <n v="2.8"/>
    <n v="9"/>
  </r>
  <r>
    <s v="S1747"/>
    <x v="747"/>
    <x v="1"/>
    <x v="3"/>
    <d v="2023-06-10T00:00:00"/>
    <x v="0"/>
    <n v="6337"/>
    <x v="729"/>
    <n v="2.79"/>
    <n v="38"/>
  </r>
  <r>
    <s v="S1748"/>
    <x v="748"/>
    <x v="4"/>
    <x v="0"/>
    <d v="2022-09-20T00:00:00"/>
    <x v="0"/>
    <n v="10576"/>
    <x v="730"/>
    <n v="3.87"/>
    <n v="12"/>
  </r>
  <r>
    <s v="S1749"/>
    <x v="749"/>
    <x v="7"/>
    <x v="2"/>
    <d v="2023-06-05T00:00:00"/>
    <x v="1"/>
    <n v="13691"/>
    <x v="62"/>
    <n v="2.06"/>
    <n v="76"/>
  </r>
  <r>
    <s v="S1750"/>
    <x v="750"/>
    <x v="7"/>
    <x v="1"/>
    <d v="2024-03-28T00:00:00"/>
    <x v="0"/>
    <n v="10341"/>
    <x v="731"/>
    <n v="2.59"/>
    <n v="55"/>
  </r>
  <r>
    <s v="S1751"/>
    <x v="751"/>
    <x v="7"/>
    <x v="1"/>
    <d v="2022-01-12T00:00:00"/>
    <x v="0"/>
    <n v="6833"/>
    <x v="732"/>
    <n v="3.59"/>
    <n v="100"/>
  </r>
  <r>
    <s v="S1752"/>
    <x v="752"/>
    <x v="2"/>
    <x v="3"/>
    <d v="2024-01-09T00:00:00"/>
    <x v="0"/>
    <n v="11055"/>
    <x v="733"/>
    <n v="3.57"/>
    <n v="60"/>
  </r>
  <r>
    <s v="S1753"/>
    <x v="753"/>
    <x v="7"/>
    <x v="3"/>
    <d v="2022-11-30T00:00:00"/>
    <x v="0"/>
    <n v="4932"/>
    <x v="734"/>
    <n v="2.15"/>
    <n v="16"/>
  </r>
  <r>
    <s v="S1754"/>
    <x v="754"/>
    <x v="2"/>
    <x v="3"/>
    <d v="2024-06-01T00:00:00"/>
    <x v="0"/>
    <n v="11129"/>
    <x v="735"/>
    <n v="2.5499999999999998"/>
    <n v="103"/>
  </r>
  <r>
    <s v="S1755"/>
    <x v="755"/>
    <x v="4"/>
    <x v="0"/>
    <d v="2022-10-28T00:00:00"/>
    <x v="2"/>
    <n v="6819"/>
    <x v="736"/>
    <n v="3.5"/>
    <n v="106"/>
  </r>
  <r>
    <s v="S1756"/>
    <x v="756"/>
    <x v="4"/>
    <x v="0"/>
    <d v="2022-10-09T00:00:00"/>
    <x v="1"/>
    <n v="2016"/>
    <x v="737"/>
    <n v="2.34"/>
    <n v="68"/>
  </r>
  <r>
    <s v="S1757"/>
    <x v="757"/>
    <x v="7"/>
    <x v="2"/>
    <d v="2022-05-05T00:00:00"/>
    <x v="1"/>
    <n v="4792"/>
    <x v="159"/>
    <n v="2.34"/>
    <n v="62"/>
  </r>
  <r>
    <s v="S1758"/>
    <x v="758"/>
    <x v="7"/>
    <x v="2"/>
    <d v="2022-06-01T00:00:00"/>
    <x v="1"/>
    <n v="11623"/>
    <x v="738"/>
    <n v="2.66"/>
    <n v="104"/>
  </r>
  <r>
    <s v="S1759"/>
    <x v="759"/>
    <x v="3"/>
    <x v="2"/>
    <d v="2022-12-17T00:00:00"/>
    <x v="0"/>
    <n v="8319"/>
    <x v="739"/>
    <n v="2.27"/>
    <n v="50"/>
  </r>
  <r>
    <s v="S1760"/>
    <x v="760"/>
    <x v="0"/>
    <x v="0"/>
    <d v="2023-04-29T00:00:00"/>
    <x v="0"/>
    <n v="8191"/>
    <x v="740"/>
    <n v="2.2400000000000002"/>
    <n v="73"/>
  </r>
  <r>
    <s v="S1761"/>
    <x v="761"/>
    <x v="2"/>
    <x v="0"/>
    <d v="2022-08-29T00:00:00"/>
    <x v="0"/>
    <n v="7244"/>
    <x v="741"/>
    <n v="3.52"/>
    <n v="57"/>
  </r>
  <r>
    <s v="S1762"/>
    <x v="762"/>
    <x v="3"/>
    <x v="0"/>
    <d v="2022-08-14T00:00:00"/>
    <x v="0"/>
    <n v="9367"/>
    <x v="742"/>
    <n v="3.44"/>
    <n v="74"/>
  </r>
  <r>
    <s v="S1763"/>
    <x v="763"/>
    <x v="3"/>
    <x v="0"/>
    <d v="2024-01-20T00:00:00"/>
    <x v="0"/>
    <n v="10808"/>
    <x v="743"/>
    <n v="3.05"/>
    <n v="0"/>
  </r>
  <r>
    <s v="S1764"/>
    <x v="764"/>
    <x v="4"/>
    <x v="0"/>
    <d v="2023-03-18T00:00:00"/>
    <x v="0"/>
    <n v="8446"/>
    <x v="744"/>
    <n v="2.1"/>
    <n v="112"/>
  </r>
  <r>
    <s v="S1765"/>
    <x v="765"/>
    <x v="4"/>
    <x v="0"/>
    <d v="2023-12-25T00:00:00"/>
    <x v="0"/>
    <n v="2490"/>
    <x v="745"/>
    <n v="2.14"/>
    <n v="12"/>
  </r>
  <r>
    <s v="S1766"/>
    <x v="766"/>
    <x v="2"/>
    <x v="2"/>
    <d v="2022-06-16T00:00:00"/>
    <x v="1"/>
    <n v="11291"/>
    <x v="746"/>
    <n v="2.1"/>
    <n v="74"/>
  </r>
  <r>
    <s v="S1767"/>
    <x v="767"/>
    <x v="4"/>
    <x v="1"/>
    <d v="2022-09-20T00:00:00"/>
    <x v="0"/>
    <n v="4470"/>
    <x v="747"/>
    <n v="2.62"/>
    <n v="24"/>
  </r>
  <r>
    <s v="S1768"/>
    <x v="768"/>
    <x v="2"/>
    <x v="3"/>
    <d v="2023-04-20T00:00:00"/>
    <x v="2"/>
    <n v="8068"/>
    <x v="748"/>
    <n v="3.28"/>
    <n v="39"/>
  </r>
  <r>
    <s v="S1769"/>
    <x v="769"/>
    <x v="6"/>
    <x v="1"/>
    <d v="2022-07-23T00:00:00"/>
    <x v="1"/>
    <n v="2556"/>
    <x v="106"/>
    <n v="3.23"/>
    <n v="66"/>
  </r>
  <r>
    <s v="S1770"/>
    <x v="770"/>
    <x v="1"/>
    <x v="2"/>
    <d v="2023-10-06T00:00:00"/>
    <x v="1"/>
    <n v="13388"/>
    <x v="749"/>
    <n v="2.65"/>
    <n v="114"/>
  </r>
  <r>
    <s v="S1771"/>
    <x v="771"/>
    <x v="2"/>
    <x v="0"/>
    <d v="2024-02-28T00:00:00"/>
    <x v="0"/>
    <n v="8490"/>
    <x v="750"/>
    <n v="3.29"/>
    <n v="51"/>
  </r>
  <r>
    <s v="S1772"/>
    <x v="772"/>
    <x v="1"/>
    <x v="2"/>
    <d v="2024-03-04T00:00:00"/>
    <x v="0"/>
    <n v="5597"/>
    <x v="751"/>
    <n v="3.8"/>
    <n v="106"/>
  </r>
  <r>
    <s v="S1773"/>
    <x v="773"/>
    <x v="5"/>
    <x v="1"/>
    <d v="2022-06-23T00:00:00"/>
    <x v="1"/>
    <n v="3334"/>
    <x v="427"/>
    <n v="2.79"/>
    <n v="49"/>
  </r>
  <r>
    <s v="S1774"/>
    <x v="774"/>
    <x v="3"/>
    <x v="3"/>
    <d v="2023-02-25T00:00:00"/>
    <x v="0"/>
    <n v="5127"/>
    <x v="659"/>
    <n v="2.08"/>
    <n v="109"/>
  </r>
  <r>
    <s v="S1775"/>
    <x v="775"/>
    <x v="1"/>
    <x v="1"/>
    <d v="2023-10-31T00:00:00"/>
    <x v="1"/>
    <n v="5285"/>
    <x v="752"/>
    <n v="2.82"/>
    <n v="96"/>
  </r>
  <r>
    <s v="S1776"/>
    <x v="776"/>
    <x v="5"/>
    <x v="0"/>
    <d v="2022-03-02T00:00:00"/>
    <x v="1"/>
    <n v="13700"/>
    <x v="753"/>
    <n v="3.99"/>
    <n v="32"/>
  </r>
  <r>
    <s v="S1777"/>
    <x v="777"/>
    <x v="5"/>
    <x v="2"/>
    <d v="2023-11-18T00:00:00"/>
    <x v="1"/>
    <n v="5236"/>
    <x v="754"/>
    <n v="2.0299999999999998"/>
    <n v="28"/>
  </r>
  <r>
    <s v="S1778"/>
    <x v="778"/>
    <x v="4"/>
    <x v="3"/>
    <d v="2022-09-14T00:00:00"/>
    <x v="0"/>
    <n v="14446"/>
    <x v="755"/>
    <n v="3.67"/>
    <n v="20"/>
  </r>
  <r>
    <s v="S1779"/>
    <x v="779"/>
    <x v="0"/>
    <x v="2"/>
    <d v="2024-01-02T00:00:00"/>
    <x v="0"/>
    <n v="9347"/>
    <x v="756"/>
    <n v="2.48"/>
    <n v="77"/>
  </r>
  <r>
    <s v="S1780"/>
    <x v="780"/>
    <x v="3"/>
    <x v="2"/>
    <d v="2022-10-10T00:00:00"/>
    <x v="0"/>
    <n v="7036"/>
    <x v="757"/>
    <n v="2.81"/>
    <n v="92"/>
  </r>
  <r>
    <s v="S1781"/>
    <x v="781"/>
    <x v="1"/>
    <x v="0"/>
    <d v="2023-09-27T00:00:00"/>
    <x v="2"/>
    <n v="2807"/>
    <x v="758"/>
    <n v="2.1"/>
    <n v="17"/>
  </r>
  <r>
    <s v="S1782"/>
    <x v="782"/>
    <x v="6"/>
    <x v="3"/>
    <d v="2022-01-11T00:00:00"/>
    <x v="1"/>
    <n v="4713"/>
    <x v="759"/>
    <n v="2.68"/>
    <n v="83"/>
  </r>
  <r>
    <s v="S1783"/>
    <x v="783"/>
    <x v="2"/>
    <x v="3"/>
    <d v="2023-06-23T00:00:00"/>
    <x v="0"/>
    <n v="8738"/>
    <x v="760"/>
    <n v="3.88"/>
    <n v="29"/>
  </r>
  <r>
    <s v="S1784"/>
    <x v="784"/>
    <x v="3"/>
    <x v="2"/>
    <d v="2023-10-19T00:00:00"/>
    <x v="0"/>
    <n v="5873"/>
    <x v="263"/>
    <n v="2.68"/>
    <n v="60"/>
  </r>
  <r>
    <s v="S1785"/>
    <x v="785"/>
    <x v="2"/>
    <x v="3"/>
    <d v="2023-08-14T00:00:00"/>
    <x v="0"/>
    <n v="2955"/>
    <x v="761"/>
    <n v="3.87"/>
    <n v="92"/>
  </r>
  <r>
    <s v="S1786"/>
    <x v="786"/>
    <x v="0"/>
    <x v="0"/>
    <d v="2023-09-20T00:00:00"/>
    <x v="1"/>
    <n v="14511"/>
    <x v="762"/>
    <n v="3.28"/>
    <n v="66"/>
  </r>
  <r>
    <s v="S1787"/>
    <x v="787"/>
    <x v="4"/>
    <x v="0"/>
    <d v="2024-03-28T00:00:00"/>
    <x v="0"/>
    <n v="5957"/>
    <x v="763"/>
    <n v="2.11"/>
    <n v="76"/>
  </r>
  <r>
    <s v="S1788"/>
    <x v="788"/>
    <x v="5"/>
    <x v="1"/>
    <d v="2023-10-06T00:00:00"/>
    <x v="0"/>
    <n v="12871"/>
    <x v="764"/>
    <n v="2.78"/>
    <n v="55"/>
  </r>
  <r>
    <s v="S1789"/>
    <x v="789"/>
    <x v="3"/>
    <x v="0"/>
    <d v="2023-12-05T00:00:00"/>
    <x v="0"/>
    <n v="10218"/>
    <x v="765"/>
    <n v="2.38"/>
    <n v="103"/>
  </r>
  <r>
    <s v="S1790"/>
    <x v="790"/>
    <x v="1"/>
    <x v="0"/>
    <d v="2023-11-03T00:00:00"/>
    <x v="1"/>
    <n v="6960"/>
    <x v="766"/>
    <n v="3.64"/>
    <n v="23"/>
  </r>
  <r>
    <s v="S1791"/>
    <x v="791"/>
    <x v="4"/>
    <x v="2"/>
    <d v="2022-09-04T00:00:00"/>
    <x v="0"/>
    <n v="6829"/>
    <x v="767"/>
    <n v="3.45"/>
    <n v="39"/>
  </r>
  <r>
    <s v="S1792"/>
    <x v="792"/>
    <x v="6"/>
    <x v="1"/>
    <d v="2024-06-01T00:00:00"/>
    <x v="0"/>
    <n v="9470"/>
    <x v="364"/>
    <n v="2.23"/>
    <n v="17"/>
  </r>
  <r>
    <s v="S1793"/>
    <x v="793"/>
    <x v="7"/>
    <x v="1"/>
    <d v="2022-10-11T00:00:00"/>
    <x v="1"/>
    <n v="11385"/>
    <x v="768"/>
    <n v="3.13"/>
    <n v="103"/>
  </r>
  <r>
    <s v="S1794"/>
    <x v="794"/>
    <x v="7"/>
    <x v="3"/>
    <d v="2024-02-03T00:00:00"/>
    <x v="2"/>
    <n v="6371"/>
    <x v="769"/>
    <n v="2.0299999999999998"/>
    <n v="9"/>
  </r>
  <r>
    <s v="S1795"/>
    <x v="795"/>
    <x v="7"/>
    <x v="0"/>
    <d v="2023-09-19T00:00:00"/>
    <x v="0"/>
    <n v="12348"/>
    <x v="770"/>
    <n v="3.99"/>
    <n v="86"/>
  </r>
  <r>
    <s v="S1796"/>
    <x v="796"/>
    <x v="3"/>
    <x v="0"/>
    <d v="2023-05-22T00:00:00"/>
    <x v="1"/>
    <n v="11630"/>
    <x v="771"/>
    <n v="2.97"/>
    <n v="1"/>
  </r>
  <r>
    <s v="S1797"/>
    <x v="797"/>
    <x v="3"/>
    <x v="0"/>
    <d v="2024-05-21T00:00:00"/>
    <x v="0"/>
    <n v="8458"/>
    <x v="772"/>
    <n v="3.13"/>
    <n v="103"/>
  </r>
  <r>
    <s v="S1798"/>
    <x v="798"/>
    <x v="4"/>
    <x v="3"/>
    <d v="2023-11-28T00:00:00"/>
    <x v="0"/>
    <n v="5481"/>
    <x v="773"/>
    <n v="2.04"/>
    <n v="99"/>
  </r>
  <r>
    <s v="S1799"/>
    <x v="799"/>
    <x v="7"/>
    <x v="1"/>
    <d v="2023-01-30T00:00:00"/>
    <x v="0"/>
    <n v="9827"/>
    <x v="774"/>
    <n v="3.6"/>
    <n v="9"/>
  </r>
  <r>
    <s v="S1800"/>
    <x v="800"/>
    <x v="3"/>
    <x v="0"/>
    <d v="2023-10-14T00:00:00"/>
    <x v="0"/>
    <n v="9017"/>
    <x v="775"/>
    <n v="2.5"/>
    <n v="104"/>
  </r>
  <r>
    <s v="S1801"/>
    <x v="801"/>
    <x v="0"/>
    <x v="2"/>
    <d v="2023-02-22T00:00:00"/>
    <x v="0"/>
    <n v="7088"/>
    <x v="776"/>
    <n v="3.1"/>
    <n v="13"/>
  </r>
  <r>
    <s v="S1802"/>
    <x v="802"/>
    <x v="7"/>
    <x v="1"/>
    <d v="2023-10-20T00:00:00"/>
    <x v="0"/>
    <n v="6708"/>
    <x v="777"/>
    <n v="2.4500000000000002"/>
    <n v="116"/>
  </r>
  <r>
    <s v="S1803"/>
    <x v="803"/>
    <x v="7"/>
    <x v="3"/>
    <d v="2022-10-20T00:00:00"/>
    <x v="0"/>
    <n v="8649"/>
    <x v="778"/>
    <n v="3.8"/>
    <n v="104"/>
  </r>
  <r>
    <s v="S1804"/>
    <x v="804"/>
    <x v="4"/>
    <x v="0"/>
    <d v="2023-04-18T00:00:00"/>
    <x v="0"/>
    <n v="14403"/>
    <x v="779"/>
    <n v="3.08"/>
    <n v="12"/>
  </r>
  <r>
    <s v="S1805"/>
    <x v="805"/>
    <x v="3"/>
    <x v="2"/>
    <d v="2024-01-23T00:00:00"/>
    <x v="0"/>
    <n v="6558"/>
    <x v="780"/>
    <n v="3.07"/>
    <n v="41"/>
  </r>
  <r>
    <s v="S1806"/>
    <x v="806"/>
    <x v="7"/>
    <x v="2"/>
    <d v="2022-11-06T00:00:00"/>
    <x v="0"/>
    <n v="9997"/>
    <x v="781"/>
    <n v="3.18"/>
    <n v="31"/>
  </r>
  <r>
    <s v="S1807"/>
    <x v="807"/>
    <x v="4"/>
    <x v="3"/>
    <d v="2024-03-30T00:00:00"/>
    <x v="0"/>
    <n v="2195"/>
    <x v="782"/>
    <n v="3.09"/>
    <n v="29"/>
  </r>
  <r>
    <s v="S1808"/>
    <x v="808"/>
    <x v="2"/>
    <x v="0"/>
    <d v="2022-01-18T00:00:00"/>
    <x v="0"/>
    <n v="5342"/>
    <x v="783"/>
    <n v="2.34"/>
    <n v="28"/>
  </r>
  <r>
    <s v="S1809"/>
    <x v="809"/>
    <x v="7"/>
    <x v="0"/>
    <d v="2022-03-11T00:00:00"/>
    <x v="1"/>
    <n v="8312"/>
    <x v="784"/>
    <n v="2.66"/>
    <n v="60"/>
  </r>
  <r>
    <s v="S1810"/>
    <x v="810"/>
    <x v="3"/>
    <x v="0"/>
    <d v="2022-08-08T00:00:00"/>
    <x v="0"/>
    <n v="11533"/>
    <x v="785"/>
    <n v="3.99"/>
    <n v="102"/>
  </r>
  <r>
    <s v="S1811"/>
    <x v="811"/>
    <x v="0"/>
    <x v="1"/>
    <d v="2022-12-27T00:00:00"/>
    <x v="0"/>
    <n v="13511"/>
    <x v="786"/>
    <n v="3.98"/>
    <n v="28"/>
  </r>
  <r>
    <s v="S1812"/>
    <x v="812"/>
    <x v="2"/>
    <x v="1"/>
    <d v="2022-12-03T00:00:00"/>
    <x v="0"/>
    <n v="14695"/>
    <x v="787"/>
    <n v="3.67"/>
    <n v="22"/>
  </r>
  <r>
    <s v="S1813"/>
    <x v="813"/>
    <x v="5"/>
    <x v="2"/>
    <d v="2022-09-06T00:00:00"/>
    <x v="0"/>
    <n v="4571"/>
    <x v="788"/>
    <n v="2.04"/>
    <n v="94"/>
  </r>
  <r>
    <s v="S1814"/>
    <x v="814"/>
    <x v="0"/>
    <x v="2"/>
    <d v="2022-03-24T00:00:00"/>
    <x v="1"/>
    <n v="12837"/>
    <x v="789"/>
    <n v="3.1"/>
    <n v="37"/>
  </r>
  <r>
    <s v="S1815"/>
    <x v="815"/>
    <x v="4"/>
    <x v="0"/>
    <d v="2024-05-22T00:00:00"/>
    <x v="1"/>
    <n v="3199"/>
    <x v="447"/>
    <n v="2.14"/>
    <n v="5"/>
  </r>
  <r>
    <s v="S1816"/>
    <x v="816"/>
    <x v="0"/>
    <x v="2"/>
    <d v="2024-05-02T00:00:00"/>
    <x v="1"/>
    <n v="2199"/>
    <x v="790"/>
    <n v="3.13"/>
    <n v="33"/>
  </r>
  <r>
    <s v="S1817"/>
    <x v="817"/>
    <x v="4"/>
    <x v="2"/>
    <d v="2024-04-02T00:00:00"/>
    <x v="1"/>
    <n v="2150"/>
    <x v="791"/>
    <n v="2.11"/>
    <n v="23"/>
  </r>
  <r>
    <s v="S1818"/>
    <x v="818"/>
    <x v="1"/>
    <x v="3"/>
    <d v="2024-06-18T00:00:00"/>
    <x v="2"/>
    <n v="9905"/>
    <x v="792"/>
    <n v="2.12"/>
    <n v="101"/>
  </r>
  <r>
    <s v="S1819"/>
    <x v="819"/>
    <x v="0"/>
    <x v="3"/>
    <d v="2022-10-07T00:00:00"/>
    <x v="0"/>
    <n v="2124"/>
    <x v="793"/>
    <n v="3.19"/>
    <n v="39"/>
  </r>
  <r>
    <s v="S1820"/>
    <x v="820"/>
    <x v="7"/>
    <x v="0"/>
    <d v="2024-05-20T00:00:00"/>
    <x v="0"/>
    <n v="2690"/>
    <x v="251"/>
    <n v="2.06"/>
    <n v="15"/>
  </r>
  <r>
    <s v="S1821"/>
    <x v="821"/>
    <x v="7"/>
    <x v="3"/>
    <d v="2022-07-28T00:00:00"/>
    <x v="0"/>
    <n v="13523"/>
    <x v="794"/>
    <n v="2.35"/>
    <n v="2"/>
  </r>
  <r>
    <s v="S1822"/>
    <x v="822"/>
    <x v="2"/>
    <x v="2"/>
    <d v="2022-03-11T00:00:00"/>
    <x v="0"/>
    <n v="13442"/>
    <x v="795"/>
    <n v="3.66"/>
    <n v="72"/>
  </r>
  <r>
    <s v="S1823"/>
    <x v="823"/>
    <x v="3"/>
    <x v="1"/>
    <d v="2024-02-05T00:00:00"/>
    <x v="1"/>
    <n v="6885"/>
    <x v="796"/>
    <n v="2.57"/>
    <n v="111"/>
  </r>
  <r>
    <s v="S1824"/>
    <x v="824"/>
    <x v="5"/>
    <x v="3"/>
    <d v="2022-02-26T00:00:00"/>
    <x v="1"/>
    <n v="5021"/>
    <x v="797"/>
    <n v="3.65"/>
    <n v="97"/>
  </r>
  <r>
    <s v="S1825"/>
    <x v="825"/>
    <x v="1"/>
    <x v="2"/>
    <d v="2022-02-21T00:00:00"/>
    <x v="0"/>
    <n v="7061"/>
    <x v="798"/>
    <n v="3.69"/>
    <n v="26"/>
  </r>
  <r>
    <s v="S1826"/>
    <x v="826"/>
    <x v="0"/>
    <x v="3"/>
    <d v="2024-04-27T00:00:00"/>
    <x v="1"/>
    <n v="7729"/>
    <x v="799"/>
    <n v="2.08"/>
    <n v="59"/>
  </r>
  <r>
    <s v="S1827"/>
    <x v="827"/>
    <x v="6"/>
    <x v="1"/>
    <d v="2022-03-18T00:00:00"/>
    <x v="1"/>
    <n v="12330"/>
    <x v="800"/>
    <n v="3.85"/>
    <n v="59"/>
  </r>
  <r>
    <s v="S1828"/>
    <x v="828"/>
    <x v="2"/>
    <x v="2"/>
    <d v="2022-03-29T00:00:00"/>
    <x v="1"/>
    <n v="11714"/>
    <x v="801"/>
    <n v="2.66"/>
    <n v="87"/>
  </r>
  <r>
    <s v="S1829"/>
    <x v="829"/>
    <x v="0"/>
    <x v="1"/>
    <d v="2022-03-21T00:00:00"/>
    <x v="1"/>
    <n v="11559"/>
    <x v="802"/>
    <n v="3.35"/>
    <n v="13"/>
  </r>
  <r>
    <s v="S1830"/>
    <x v="830"/>
    <x v="7"/>
    <x v="3"/>
    <d v="2024-02-23T00:00:00"/>
    <x v="0"/>
    <n v="14978"/>
    <x v="803"/>
    <n v="2.2400000000000002"/>
    <n v="12"/>
  </r>
  <r>
    <s v="S1831"/>
    <x v="831"/>
    <x v="6"/>
    <x v="0"/>
    <d v="2022-02-23T00:00:00"/>
    <x v="0"/>
    <n v="11976"/>
    <x v="181"/>
    <n v="2.2200000000000002"/>
    <n v="10"/>
  </r>
  <r>
    <s v="S1832"/>
    <x v="832"/>
    <x v="2"/>
    <x v="1"/>
    <d v="2023-01-04T00:00:00"/>
    <x v="0"/>
    <n v="14178"/>
    <x v="804"/>
    <n v="3.45"/>
    <n v="91"/>
  </r>
  <r>
    <s v="S1833"/>
    <x v="833"/>
    <x v="1"/>
    <x v="0"/>
    <d v="2022-02-19T00:00:00"/>
    <x v="0"/>
    <n v="12592"/>
    <x v="805"/>
    <n v="2.27"/>
    <n v="68"/>
  </r>
  <r>
    <s v="S1834"/>
    <x v="834"/>
    <x v="2"/>
    <x v="1"/>
    <d v="2023-02-07T00:00:00"/>
    <x v="1"/>
    <n v="2380"/>
    <x v="806"/>
    <n v="2.41"/>
    <n v="3"/>
  </r>
  <r>
    <s v="S1835"/>
    <x v="835"/>
    <x v="0"/>
    <x v="2"/>
    <d v="2023-03-02T00:00:00"/>
    <x v="0"/>
    <n v="3078"/>
    <x v="407"/>
    <n v="3.39"/>
    <n v="72"/>
  </r>
  <r>
    <s v="S1836"/>
    <x v="836"/>
    <x v="5"/>
    <x v="2"/>
    <d v="2024-01-30T00:00:00"/>
    <x v="2"/>
    <n v="6374"/>
    <x v="807"/>
    <n v="2.91"/>
    <n v="52"/>
  </r>
  <r>
    <s v="S1837"/>
    <x v="837"/>
    <x v="5"/>
    <x v="1"/>
    <d v="2023-10-03T00:00:00"/>
    <x v="1"/>
    <n v="3040"/>
    <x v="808"/>
    <n v="3.86"/>
    <n v="92"/>
  </r>
  <r>
    <s v="S1838"/>
    <x v="838"/>
    <x v="0"/>
    <x v="2"/>
    <d v="2022-06-13T00:00:00"/>
    <x v="1"/>
    <n v="13689"/>
    <x v="266"/>
    <n v="3.95"/>
    <n v="78"/>
  </r>
  <r>
    <s v="S1839"/>
    <x v="839"/>
    <x v="0"/>
    <x v="1"/>
    <d v="2023-02-01T00:00:00"/>
    <x v="0"/>
    <n v="6036"/>
    <x v="809"/>
    <n v="2.17"/>
    <n v="39"/>
  </r>
  <r>
    <s v="S1840"/>
    <x v="840"/>
    <x v="4"/>
    <x v="1"/>
    <d v="2024-02-18T00:00:00"/>
    <x v="1"/>
    <n v="9926"/>
    <x v="810"/>
    <n v="3.31"/>
    <n v="7"/>
  </r>
  <r>
    <s v="S1841"/>
    <x v="841"/>
    <x v="3"/>
    <x v="0"/>
    <d v="2022-08-03T00:00:00"/>
    <x v="1"/>
    <n v="9699"/>
    <x v="811"/>
    <n v="3.97"/>
    <n v="25"/>
  </r>
  <r>
    <s v="S1842"/>
    <x v="842"/>
    <x v="3"/>
    <x v="0"/>
    <d v="2022-06-15T00:00:00"/>
    <x v="0"/>
    <n v="7281"/>
    <x v="812"/>
    <n v="3.26"/>
    <n v="89"/>
  </r>
  <r>
    <s v="S1843"/>
    <x v="843"/>
    <x v="0"/>
    <x v="1"/>
    <d v="2022-10-19T00:00:00"/>
    <x v="2"/>
    <n v="7435"/>
    <x v="813"/>
    <n v="3.57"/>
    <n v="17"/>
  </r>
  <r>
    <s v="S1844"/>
    <x v="844"/>
    <x v="5"/>
    <x v="0"/>
    <d v="2024-04-12T00:00:00"/>
    <x v="0"/>
    <n v="14977"/>
    <x v="814"/>
    <n v="2.36"/>
    <n v="60"/>
  </r>
  <r>
    <s v="S1845"/>
    <x v="845"/>
    <x v="1"/>
    <x v="3"/>
    <d v="2023-06-15T00:00:00"/>
    <x v="0"/>
    <n v="14578"/>
    <x v="815"/>
    <n v="3.36"/>
    <n v="34"/>
  </r>
  <r>
    <s v="S1846"/>
    <x v="846"/>
    <x v="6"/>
    <x v="2"/>
    <d v="2022-02-20T00:00:00"/>
    <x v="1"/>
    <n v="2664"/>
    <x v="816"/>
    <n v="2.5099999999999998"/>
    <n v="77"/>
  </r>
  <r>
    <s v="S1847"/>
    <x v="847"/>
    <x v="2"/>
    <x v="1"/>
    <d v="2022-08-19T00:00:00"/>
    <x v="0"/>
    <n v="11301"/>
    <x v="817"/>
    <n v="3.56"/>
    <n v="96"/>
  </r>
  <r>
    <s v="S1848"/>
    <x v="848"/>
    <x v="2"/>
    <x v="2"/>
    <d v="2023-09-04T00:00:00"/>
    <x v="1"/>
    <n v="4379"/>
    <x v="818"/>
    <n v="2.65"/>
    <n v="39"/>
  </r>
  <r>
    <s v="S1849"/>
    <x v="849"/>
    <x v="4"/>
    <x v="3"/>
    <d v="2022-07-25T00:00:00"/>
    <x v="0"/>
    <n v="13197"/>
    <x v="819"/>
    <n v="2.7"/>
    <n v="26"/>
  </r>
  <r>
    <s v="S1850"/>
    <x v="850"/>
    <x v="7"/>
    <x v="1"/>
    <d v="2023-10-09T00:00:00"/>
    <x v="1"/>
    <n v="14472"/>
    <x v="609"/>
    <n v="3.43"/>
    <n v="18"/>
  </r>
  <r>
    <s v="S1851"/>
    <x v="851"/>
    <x v="2"/>
    <x v="3"/>
    <d v="2024-04-26T00:00:00"/>
    <x v="1"/>
    <n v="6807"/>
    <x v="820"/>
    <n v="2.98"/>
    <n v="47"/>
  </r>
  <r>
    <s v="S1852"/>
    <x v="852"/>
    <x v="3"/>
    <x v="1"/>
    <d v="2022-03-20T00:00:00"/>
    <x v="0"/>
    <n v="5918"/>
    <x v="821"/>
    <n v="2.04"/>
    <n v="105"/>
  </r>
  <r>
    <s v="S1853"/>
    <x v="853"/>
    <x v="1"/>
    <x v="2"/>
    <d v="2023-10-11T00:00:00"/>
    <x v="1"/>
    <n v="6149"/>
    <x v="742"/>
    <n v="2.63"/>
    <n v="118"/>
  </r>
  <r>
    <s v="S1854"/>
    <x v="854"/>
    <x v="6"/>
    <x v="3"/>
    <d v="2024-03-01T00:00:00"/>
    <x v="0"/>
    <n v="8365"/>
    <x v="822"/>
    <n v="3.17"/>
    <n v="15"/>
  </r>
  <r>
    <s v="S1855"/>
    <x v="855"/>
    <x v="0"/>
    <x v="1"/>
    <d v="2023-07-27T00:00:00"/>
    <x v="0"/>
    <n v="9612"/>
    <x v="823"/>
    <n v="3.25"/>
    <n v="88"/>
  </r>
  <r>
    <s v="S1856"/>
    <x v="856"/>
    <x v="2"/>
    <x v="1"/>
    <d v="2023-04-29T00:00:00"/>
    <x v="0"/>
    <n v="10449"/>
    <x v="824"/>
    <n v="2.98"/>
    <n v="54"/>
  </r>
  <r>
    <s v="S1857"/>
    <x v="857"/>
    <x v="0"/>
    <x v="0"/>
    <d v="2022-07-22T00:00:00"/>
    <x v="1"/>
    <n v="7352"/>
    <x v="825"/>
    <n v="3.34"/>
    <n v="100"/>
  </r>
  <r>
    <s v="S1858"/>
    <x v="858"/>
    <x v="4"/>
    <x v="0"/>
    <d v="2023-11-20T00:00:00"/>
    <x v="0"/>
    <n v="2312"/>
    <x v="826"/>
    <n v="2.66"/>
    <n v="54"/>
  </r>
  <r>
    <s v="S1859"/>
    <x v="859"/>
    <x v="7"/>
    <x v="3"/>
    <d v="2022-08-01T00:00:00"/>
    <x v="0"/>
    <n v="12046"/>
    <x v="827"/>
    <n v="2.35"/>
    <n v="31"/>
  </r>
  <r>
    <s v="S1860"/>
    <x v="860"/>
    <x v="1"/>
    <x v="2"/>
    <d v="2023-06-20T00:00:00"/>
    <x v="0"/>
    <n v="6750"/>
    <x v="828"/>
    <n v="2.2799999999999998"/>
    <n v="114"/>
  </r>
  <r>
    <s v="S1861"/>
    <x v="861"/>
    <x v="5"/>
    <x v="3"/>
    <d v="2023-08-28T00:00:00"/>
    <x v="0"/>
    <n v="4842"/>
    <x v="829"/>
    <n v="2.0299999999999998"/>
    <n v="46"/>
  </r>
  <r>
    <s v="S1862"/>
    <x v="862"/>
    <x v="7"/>
    <x v="1"/>
    <d v="2022-03-27T00:00:00"/>
    <x v="0"/>
    <n v="7267"/>
    <x v="830"/>
    <n v="3.25"/>
    <n v="115"/>
  </r>
  <r>
    <s v="S1863"/>
    <x v="863"/>
    <x v="2"/>
    <x v="1"/>
    <d v="2022-12-26T00:00:00"/>
    <x v="0"/>
    <n v="8934"/>
    <x v="831"/>
    <n v="2.29"/>
    <n v="39"/>
  </r>
  <r>
    <s v="S1864"/>
    <x v="864"/>
    <x v="6"/>
    <x v="3"/>
    <d v="2022-02-19T00:00:00"/>
    <x v="2"/>
    <n v="10532"/>
    <x v="832"/>
    <n v="2.93"/>
    <n v="109"/>
  </r>
  <r>
    <s v="S1865"/>
    <x v="865"/>
    <x v="4"/>
    <x v="1"/>
    <d v="2023-10-16T00:00:00"/>
    <x v="1"/>
    <n v="2177"/>
    <x v="833"/>
    <n v="2.5099999999999998"/>
    <n v="50"/>
  </r>
  <r>
    <s v="S1866"/>
    <x v="866"/>
    <x v="7"/>
    <x v="2"/>
    <d v="2023-03-14T00:00:00"/>
    <x v="0"/>
    <n v="8971"/>
    <x v="834"/>
    <n v="3.05"/>
    <n v="106"/>
  </r>
  <r>
    <s v="S1867"/>
    <x v="867"/>
    <x v="2"/>
    <x v="2"/>
    <d v="2022-07-03T00:00:00"/>
    <x v="2"/>
    <n v="13897"/>
    <x v="835"/>
    <n v="3.25"/>
    <n v="63"/>
  </r>
  <r>
    <s v="S1868"/>
    <x v="868"/>
    <x v="4"/>
    <x v="0"/>
    <d v="2022-08-03T00:00:00"/>
    <x v="0"/>
    <n v="5508"/>
    <x v="836"/>
    <n v="2.0099999999999998"/>
    <n v="17"/>
  </r>
  <r>
    <s v="S1869"/>
    <x v="869"/>
    <x v="3"/>
    <x v="0"/>
    <d v="2023-11-21T00:00:00"/>
    <x v="0"/>
    <n v="12065"/>
    <x v="837"/>
    <n v="2.35"/>
    <n v="93"/>
  </r>
  <r>
    <s v="S1870"/>
    <x v="870"/>
    <x v="7"/>
    <x v="0"/>
    <d v="2023-09-04T00:00:00"/>
    <x v="0"/>
    <n v="4499"/>
    <x v="838"/>
    <n v="2.71"/>
    <n v="2"/>
  </r>
  <r>
    <s v="S1871"/>
    <x v="871"/>
    <x v="4"/>
    <x v="3"/>
    <d v="2022-11-23T00:00:00"/>
    <x v="0"/>
    <n v="12459"/>
    <x v="839"/>
    <n v="3.43"/>
    <n v="57"/>
  </r>
  <r>
    <s v="S1872"/>
    <x v="872"/>
    <x v="7"/>
    <x v="0"/>
    <d v="2023-04-02T00:00:00"/>
    <x v="0"/>
    <n v="4107"/>
    <x v="840"/>
    <n v="3.32"/>
    <n v="8"/>
  </r>
  <r>
    <s v="S1873"/>
    <x v="873"/>
    <x v="5"/>
    <x v="1"/>
    <d v="2022-05-09T00:00:00"/>
    <x v="0"/>
    <n v="3251"/>
    <x v="379"/>
    <n v="2.73"/>
    <n v="60"/>
  </r>
  <r>
    <s v="S1874"/>
    <x v="874"/>
    <x v="6"/>
    <x v="1"/>
    <d v="2022-01-17T00:00:00"/>
    <x v="2"/>
    <n v="8000"/>
    <x v="841"/>
    <n v="2.27"/>
    <n v="92"/>
  </r>
  <r>
    <s v="S1875"/>
    <x v="875"/>
    <x v="7"/>
    <x v="3"/>
    <d v="2024-04-23T00:00:00"/>
    <x v="0"/>
    <n v="4905"/>
    <x v="842"/>
    <n v="3.24"/>
    <n v="13"/>
  </r>
  <r>
    <s v="S1876"/>
    <x v="876"/>
    <x v="5"/>
    <x v="3"/>
    <d v="2023-05-25T00:00:00"/>
    <x v="0"/>
    <n v="12331"/>
    <x v="843"/>
    <n v="2.46"/>
    <n v="29"/>
  </r>
  <r>
    <s v="S1877"/>
    <x v="877"/>
    <x v="7"/>
    <x v="3"/>
    <d v="2023-04-25T00:00:00"/>
    <x v="2"/>
    <n v="13471"/>
    <x v="844"/>
    <n v="3.26"/>
    <n v="94"/>
  </r>
  <r>
    <s v="S1878"/>
    <x v="878"/>
    <x v="2"/>
    <x v="2"/>
    <d v="2022-11-29T00:00:00"/>
    <x v="0"/>
    <n v="9678"/>
    <x v="845"/>
    <n v="3.56"/>
    <n v="81"/>
  </r>
  <r>
    <s v="S1879"/>
    <x v="879"/>
    <x v="1"/>
    <x v="0"/>
    <d v="2022-08-23T00:00:00"/>
    <x v="0"/>
    <n v="9888"/>
    <x v="846"/>
    <n v="3.71"/>
    <n v="15"/>
  </r>
  <r>
    <s v="S1880"/>
    <x v="880"/>
    <x v="3"/>
    <x v="1"/>
    <d v="2023-01-29T00:00:00"/>
    <x v="0"/>
    <n v="11687"/>
    <x v="847"/>
    <n v="3.45"/>
    <n v="89"/>
  </r>
  <r>
    <s v="S1881"/>
    <x v="881"/>
    <x v="5"/>
    <x v="0"/>
    <d v="2023-05-11T00:00:00"/>
    <x v="0"/>
    <n v="7453"/>
    <x v="848"/>
    <n v="2.73"/>
    <n v="64"/>
  </r>
  <r>
    <s v="S1882"/>
    <x v="882"/>
    <x v="4"/>
    <x v="3"/>
    <d v="2023-01-06T00:00:00"/>
    <x v="0"/>
    <n v="8695"/>
    <x v="849"/>
    <n v="3.03"/>
    <n v="71"/>
  </r>
  <r>
    <s v="S1883"/>
    <x v="883"/>
    <x v="7"/>
    <x v="2"/>
    <d v="2023-03-16T00:00:00"/>
    <x v="1"/>
    <n v="4856"/>
    <x v="850"/>
    <n v="2.65"/>
    <n v="29"/>
  </r>
  <r>
    <s v="S1884"/>
    <x v="884"/>
    <x v="0"/>
    <x v="3"/>
    <d v="2023-11-01T00:00:00"/>
    <x v="2"/>
    <n v="6249"/>
    <x v="386"/>
    <n v="3.99"/>
    <n v="59"/>
  </r>
  <r>
    <s v="S1885"/>
    <x v="885"/>
    <x v="7"/>
    <x v="2"/>
    <d v="2024-01-03T00:00:00"/>
    <x v="0"/>
    <n v="14319"/>
    <x v="851"/>
    <n v="3.31"/>
    <n v="36"/>
  </r>
  <r>
    <s v="S1886"/>
    <x v="886"/>
    <x v="5"/>
    <x v="2"/>
    <d v="2023-10-28T00:00:00"/>
    <x v="0"/>
    <n v="2324"/>
    <x v="852"/>
    <n v="3.91"/>
    <n v="18"/>
  </r>
  <r>
    <s v="S1887"/>
    <x v="887"/>
    <x v="2"/>
    <x v="0"/>
    <d v="2022-04-12T00:00:00"/>
    <x v="0"/>
    <n v="6137"/>
    <x v="853"/>
    <n v="2.93"/>
    <n v="86"/>
  </r>
  <r>
    <s v="S1888"/>
    <x v="888"/>
    <x v="0"/>
    <x v="2"/>
    <d v="2023-08-19T00:00:00"/>
    <x v="0"/>
    <n v="3993"/>
    <x v="854"/>
    <n v="3.87"/>
    <n v="30"/>
  </r>
  <r>
    <s v="S1889"/>
    <x v="889"/>
    <x v="6"/>
    <x v="0"/>
    <d v="2024-01-05T00:00:00"/>
    <x v="0"/>
    <n v="3592"/>
    <x v="855"/>
    <n v="2.31"/>
    <n v="57"/>
  </r>
  <r>
    <s v="S1890"/>
    <x v="890"/>
    <x v="5"/>
    <x v="3"/>
    <d v="2024-01-31T00:00:00"/>
    <x v="0"/>
    <n v="6150"/>
    <x v="856"/>
    <n v="2.79"/>
    <n v="15"/>
  </r>
  <r>
    <s v="S1891"/>
    <x v="891"/>
    <x v="3"/>
    <x v="2"/>
    <d v="2022-04-13T00:00:00"/>
    <x v="2"/>
    <n v="6690"/>
    <x v="857"/>
    <n v="3.4"/>
    <n v="56"/>
  </r>
  <r>
    <s v="S1892"/>
    <x v="892"/>
    <x v="5"/>
    <x v="2"/>
    <d v="2022-02-22T00:00:00"/>
    <x v="1"/>
    <n v="11719"/>
    <x v="858"/>
    <n v="2.93"/>
    <n v="107"/>
  </r>
  <r>
    <s v="S1893"/>
    <x v="893"/>
    <x v="1"/>
    <x v="1"/>
    <d v="2024-06-04T00:00:00"/>
    <x v="0"/>
    <n v="2659"/>
    <x v="859"/>
    <n v="3.8"/>
    <n v="101"/>
  </r>
  <r>
    <s v="S1894"/>
    <x v="894"/>
    <x v="0"/>
    <x v="3"/>
    <d v="2022-12-27T00:00:00"/>
    <x v="0"/>
    <n v="9484"/>
    <x v="860"/>
    <n v="2.25"/>
    <n v="114"/>
  </r>
  <r>
    <s v="S1895"/>
    <x v="895"/>
    <x v="7"/>
    <x v="1"/>
    <d v="2022-11-27T00:00:00"/>
    <x v="0"/>
    <n v="2133"/>
    <x v="861"/>
    <n v="3.72"/>
    <n v="17"/>
  </r>
  <r>
    <s v="S1896"/>
    <x v="896"/>
    <x v="0"/>
    <x v="0"/>
    <d v="2022-06-22T00:00:00"/>
    <x v="0"/>
    <n v="6910"/>
    <x v="862"/>
    <n v="2.23"/>
    <n v="19"/>
  </r>
  <r>
    <s v="S1897"/>
    <x v="897"/>
    <x v="3"/>
    <x v="1"/>
    <d v="2022-07-26T00:00:00"/>
    <x v="0"/>
    <n v="13914"/>
    <x v="863"/>
    <n v="3.94"/>
    <n v="57"/>
  </r>
  <r>
    <s v="S1898"/>
    <x v="898"/>
    <x v="3"/>
    <x v="0"/>
    <d v="2023-03-31T00:00:00"/>
    <x v="1"/>
    <n v="11039"/>
    <x v="864"/>
    <n v="3.98"/>
    <n v="52"/>
  </r>
  <r>
    <s v="S1899"/>
    <x v="899"/>
    <x v="3"/>
    <x v="0"/>
    <d v="2022-07-31T00:00:00"/>
    <x v="0"/>
    <n v="8134"/>
    <x v="865"/>
    <n v="2.73"/>
    <n v="68"/>
  </r>
  <r>
    <s v="S1900"/>
    <x v="900"/>
    <x v="6"/>
    <x v="2"/>
    <d v="2023-09-06T00:00:00"/>
    <x v="1"/>
    <n v="5424"/>
    <x v="866"/>
    <n v="3.18"/>
    <n v="32"/>
  </r>
  <r>
    <s v="S1901"/>
    <x v="901"/>
    <x v="2"/>
    <x v="3"/>
    <d v="2023-01-22T00:00:00"/>
    <x v="0"/>
    <n v="14379"/>
    <x v="867"/>
    <n v="3.15"/>
    <n v="80"/>
  </r>
  <r>
    <s v="S1902"/>
    <x v="902"/>
    <x v="7"/>
    <x v="1"/>
    <d v="2023-07-08T00:00:00"/>
    <x v="0"/>
    <n v="5400"/>
    <x v="658"/>
    <n v="3.76"/>
    <n v="88"/>
  </r>
  <r>
    <s v="S1903"/>
    <x v="903"/>
    <x v="3"/>
    <x v="3"/>
    <d v="2022-08-17T00:00:00"/>
    <x v="1"/>
    <n v="9862"/>
    <x v="868"/>
    <n v="3.23"/>
    <n v="103"/>
  </r>
  <r>
    <s v="S1904"/>
    <x v="904"/>
    <x v="0"/>
    <x v="3"/>
    <d v="2024-03-06T00:00:00"/>
    <x v="0"/>
    <n v="8496"/>
    <x v="869"/>
    <n v="2.1800000000000002"/>
    <n v="44"/>
  </r>
  <r>
    <s v="S1905"/>
    <x v="905"/>
    <x v="7"/>
    <x v="3"/>
    <d v="2022-08-28T00:00:00"/>
    <x v="0"/>
    <n v="7820"/>
    <x v="870"/>
    <n v="2.75"/>
    <n v="64"/>
  </r>
  <r>
    <s v="S1906"/>
    <x v="906"/>
    <x v="5"/>
    <x v="2"/>
    <d v="2024-04-20T00:00:00"/>
    <x v="0"/>
    <n v="14630"/>
    <x v="871"/>
    <n v="2.0099999999999998"/>
    <n v="31"/>
  </r>
  <r>
    <s v="S1907"/>
    <x v="907"/>
    <x v="2"/>
    <x v="1"/>
    <d v="2022-10-14T00:00:00"/>
    <x v="0"/>
    <n v="7470"/>
    <x v="872"/>
    <n v="3.06"/>
    <n v="86"/>
  </r>
  <r>
    <s v="S1908"/>
    <x v="908"/>
    <x v="1"/>
    <x v="1"/>
    <d v="2022-04-03T00:00:00"/>
    <x v="0"/>
    <n v="6296"/>
    <x v="873"/>
    <n v="3.45"/>
    <n v="62"/>
  </r>
  <r>
    <s v="S1909"/>
    <x v="909"/>
    <x v="7"/>
    <x v="3"/>
    <d v="2022-07-28T00:00:00"/>
    <x v="1"/>
    <n v="2346"/>
    <x v="874"/>
    <n v="2.74"/>
    <n v="105"/>
  </r>
  <r>
    <s v="S1910"/>
    <x v="910"/>
    <x v="1"/>
    <x v="0"/>
    <d v="2024-03-26T00:00:00"/>
    <x v="0"/>
    <n v="5749"/>
    <x v="875"/>
    <n v="3.05"/>
    <n v="26"/>
  </r>
  <r>
    <s v="S1911"/>
    <x v="911"/>
    <x v="4"/>
    <x v="0"/>
    <d v="2024-06-14T00:00:00"/>
    <x v="0"/>
    <n v="10732"/>
    <x v="876"/>
    <n v="3.03"/>
    <n v="44"/>
  </r>
  <r>
    <s v="S1912"/>
    <x v="912"/>
    <x v="5"/>
    <x v="0"/>
    <d v="2022-07-11T00:00:00"/>
    <x v="2"/>
    <n v="5938"/>
    <x v="877"/>
    <n v="2.99"/>
    <n v="101"/>
  </r>
  <r>
    <s v="S1913"/>
    <x v="913"/>
    <x v="4"/>
    <x v="2"/>
    <d v="2024-01-11T00:00:00"/>
    <x v="0"/>
    <n v="3278"/>
    <x v="878"/>
    <n v="3.37"/>
    <n v="85"/>
  </r>
  <r>
    <s v="S1914"/>
    <x v="914"/>
    <x v="7"/>
    <x v="0"/>
    <d v="2023-06-06T00:00:00"/>
    <x v="0"/>
    <n v="14845"/>
    <x v="879"/>
    <n v="3.11"/>
    <n v="27"/>
  </r>
  <r>
    <s v="S1915"/>
    <x v="915"/>
    <x v="6"/>
    <x v="2"/>
    <d v="2022-03-26T00:00:00"/>
    <x v="1"/>
    <n v="11658"/>
    <x v="27"/>
    <n v="3.52"/>
    <n v="95"/>
  </r>
  <r>
    <s v="S1916"/>
    <x v="916"/>
    <x v="0"/>
    <x v="1"/>
    <d v="2024-04-28T00:00:00"/>
    <x v="1"/>
    <n v="11979"/>
    <x v="880"/>
    <n v="2.75"/>
    <n v="22"/>
  </r>
  <r>
    <s v="S1917"/>
    <x v="917"/>
    <x v="2"/>
    <x v="2"/>
    <d v="2022-08-29T00:00:00"/>
    <x v="0"/>
    <n v="5650"/>
    <x v="21"/>
    <n v="3.13"/>
    <n v="18"/>
  </r>
  <r>
    <s v="S1918"/>
    <x v="918"/>
    <x v="3"/>
    <x v="0"/>
    <d v="2023-04-02T00:00:00"/>
    <x v="2"/>
    <n v="9224"/>
    <x v="881"/>
    <n v="2.75"/>
    <n v="79"/>
  </r>
  <r>
    <s v="S1919"/>
    <x v="919"/>
    <x v="1"/>
    <x v="2"/>
    <d v="2023-07-08T00:00:00"/>
    <x v="1"/>
    <n v="12893"/>
    <x v="882"/>
    <n v="3.9"/>
    <n v="62"/>
  </r>
  <r>
    <s v="S1920"/>
    <x v="920"/>
    <x v="5"/>
    <x v="0"/>
    <d v="2023-11-16T00:00:00"/>
    <x v="0"/>
    <n v="10635"/>
    <x v="883"/>
    <n v="2.12"/>
    <n v="87"/>
  </r>
  <r>
    <s v="S1921"/>
    <x v="921"/>
    <x v="0"/>
    <x v="3"/>
    <d v="2022-05-06T00:00:00"/>
    <x v="1"/>
    <n v="5161"/>
    <x v="884"/>
    <n v="3.4"/>
    <n v="18"/>
  </r>
  <r>
    <s v="S1922"/>
    <x v="922"/>
    <x v="2"/>
    <x v="3"/>
    <d v="2024-01-17T00:00:00"/>
    <x v="1"/>
    <n v="2310"/>
    <x v="885"/>
    <n v="3.78"/>
    <n v="84"/>
  </r>
  <r>
    <s v="S1923"/>
    <x v="923"/>
    <x v="5"/>
    <x v="1"/>
    <d v="2022-12-07T00:00:00"/>
    <x v="1"/>
    <n v="14238"/>
    <x v="886"/>
    <n v="2.0499999999999998"/>
    <n v="111"/>
  </r>
  <r>
    <s v="S1924"/>
    <x v="924"/>
    <x v="2"/>
    <x v="1"/>
    <d v="2022-07-20T00:00:00"/>
    <x v="0"/>
    <n v="6256"/>
    <x v="887"/>
    <n v="3.04"/>
    <n v="92"/>
  </r>
  <r>
    <s v="S1925"/>
    <x v="925"/>
    <x v="5"/>
    <x v="1"/>
    <d v="2022-09-05T00:00:00"/>
    <x v="2"/>
    <n v="12707"/>
    <x v="888"/>
    <n v="3.19"/>
    <n v="46"/>
  </r>
  <r>
    <s v="S1926"/>
    <x v="926"/>
    <x v="4"/>
    <x v="1"/>
    <d v="2022-05-27T00:00:00"/>
    <x v="0"/>
    <n v="14485"/>
    <x v="889"/>
    <n v="2.13"/>
    <n v="15"/>
  </r>
  <r>
    <s v="S1927"/>
    <x v="927"/>
    <x v="0"/>
    <x v="0"/>
    <d v="2023-09-14T00:00:00"/>
    <x v="0"/>
    <n v="6109"/>
    <x v="890"/>
    <n v="3.41"/>
    <n v="97"/>
  </r>
  <r>
    <s v="S1928"/>
    <x v="928"/>
    <x v="5"/>
    <x v="1"/>
    <d v="2024-02-23T00:00:00"/>
    <x v="2"/>
    <n v="12380"/>
    <x v="891"/>
    <n v="2.54"/>
    <n v="72"/>
  </r>
  <r>
    <s v="S1929"/>
    <x v="929"/>
    <x v="5"/>
    <x v="1"/>
    <d v="2022-04-24T00:00:00"/>
    <x v="1"/>
    <n v="7050"/>
    <x v="892"/>
    <n v="2.84"/>
    <n v="68"/>
  </r>
  <r>
    <s v="S1930"/>
    <x v="930"/>
    <x v="2"/>
    <x v="3"/>
    <d v="2022-06-26T00:00:00"/>
    <x v="1"/>
    <n v="13686"/>
    <x v="893"/>
    <n v="3.59"/>
    <n v="75"/>
  </r>
  <r>
    <s v="S1931"/>
    <x v="931"/>
    <x v="5"/>
    <x v="0"/>
    <d v="2024-04-18T00:00:00"/>
    <x v="0"/>
    <n v="3224"/>
    <x v="894"/>
    <n v="3.96"/>
    <n v="103"/>
  </r>
  <r>
    <s v="S1932"/>
    <x v="932"/>
    <x v="5"/>
    <x v="2"/>
    <d v="2022-06-14T00:00:00"/>
    <x v="0"/>
    <n v="8505"/>
    <x v="895"/>
    <n v="2.61"/>
    <n v="10"/>
  </r>
  <r>
    <s v="S1933"/>
    <x v="933"/>
    <x v="0"/>
    <x v="0"/>
    <d v="2023-02-08T00:00:00"/>
    <x v="1"/>
    <n v="8846"/>
    <x v="896"/>
    <n v="3.59"/>
    <n v="36"/>
  </r>
  <r>
    <s v="S1934"/>
    <x v="934"/>
    <x v="3"/>
    <x v="1"/>
    <d v="2023-06-26T00:00:00"/>
    <x v="0"/>
    <n v="12177"/>
    <x v="897"/>
    <n v="2.98"/>
    <n v="55"/>
  </r>
  <r>
    <s v="S1935"/>
    <x v="935"/>
    <x v="5"/>
    <x v="1"/>
    <d v="2022-09-10T00:00:00"/>
    <x v="0"/>
    <n v="2016"/>
    <x v="898"/>
    <n v="3.56"/>
    <n v="41"/>
  </r>
  <r>
    <s v="S1936"/>
    <x v="936"/>
    <x v="0"/>
    <x v="3"/>
    <d v="2023-04-10T00:00:00"/>
    <x v="1"/>
    <n v="11375"/>
    <x v="899"/>
    <n v="3.52"/>
    <n v="72"/>
  </r>
  <r>
    <s v="S1937"/>
    <x v="937"/>
    <x v="3"/>
    <x v="0"/>
    <d v="2023-11-22T00:00:00"/>
    <x v="0"/>
    <n v="2240"/>
    <x v="900"/>
    <n v="3.9"/>
    <n v="48"/>
  </r>
  <r>
    <s v="S1938"/>
    <x v="938"/>
    <x v="0"/>
    <x v="2"/>
    <d v="2022-06-26T00:00:00"/>
    <x v="1"/>
    <n v="6615"/>
    <x v="901"/>
    <n v="3.2"/>
    <n v="40"/>
  </r>
  <r>
    <s v="S1939"/>
    <x v="939"/>
    <x v="1"/>
    <x v="3"/>
    <d v="2022-11-22T00:00:00"/>
    <x v="0"/>
    <n v="10054"/>
    <x v="902"/>
    <n v="3.66"/>
    <n v="61"/>
  </r>
  <r>
    <s v="S1940"/>
    <x v="940"/>
    <x v="6"/>
    <x v="1"/>
    <d v="2023-11-10T00:00:00"/>
    <x v="0"/>
    <n v="10579"/>
    <x v="903"/>
    <n v="3.15"/>
    <n v="43"/>
  </r>
  <r>
    <s v="S1941"/>
    <x v="941"/>
    <x v="6"/>
    <x v="0"/>
    <d v="2023-03-11T00:00:00"/>
    <x v="0"/>
    <n v="2260"/>
    <x v="904"/>
    <n v="2.94"/>
    <n v="35"/>
  </r>
  <r>
    <s v="S1942"/>
    <x v="942"/>
    <x v="6"/>
    <x v="1"/>
    <d v="2024-03-22T00:00:00"/>
    <x v="1"/>
    <n v="7638"/>
    <x v="905"/>
    <n v="3.8"/>
    <n v="21"/>
  </r>
  <r>
    <s v="S1943"/>
    <x v="943"/>
    <x v="2"/>
    <x v="3"/>
    <d v="2023-11-28T00:00:00"/>
    <x v="0"/>
    <n v="3557"/>
    <x v="906"/>
    <n v="2.95"/>
    <n v="116"/>
  </r>
  <r>
    <s v="S1944"/>
    <x v="944"/>
    <x v="4"/>
    <x v="0"/>
    <d v="2022-07-27T00:00:00"/>
    <x v="0"/>
    <n v="4417"/>
    <x v="907"/>
    <n v="3.32"/>
    <n v="92"/>
  </r>
  <r>
    <s v="S1945"/>
    <x v="945"/>
    <x v="1"/>
    <x v="1"/>
    <d v="2022-07-18T00:00:00"/>
    <x v="0"/>
    <n v="12066"/>
    <x v="908"/>
    <n v="3.63"/>
    <n v="103"/>
  </r>
  <r>
    <s v="S1946"/>
    <x v="946"/>
    <x v="7"/>
    <x v="2"/>
    <d v="2024-01-24T00:00:00"/>
    <x v="0"/>
    <n v="2266"/>
    <x v="909"/>
    <n v="3.84"/>
    <n v="3"/>
  </r>
  <r>
    <s v="S1947"/>
    <x v="947"/>
    <x v="5"/>
    <x v="2"/>
    <d v="2024-04-07T00:00:00"/>
    <x v="0"/>
    <n v="2363"/>
    <x v="910"/>
    <n v="2.56"/>
    <n v="119"/>
  </r>
  <r>
    <s v="S1948"/>
    <x v="948"/>
    <x v="0"/>
    <x v="1"/>
    <d v="2022-04-27T00:00:00"/>
    <x v="2"/>
    <n v="2336"/>
    <x v="911"/>
    <n v="3.58"/>
    <n v="94"/>
  </r>
  <r>
    <s v="S1949"/>
    <x v="949"/>
    <x v="7"/>
    <x v="2"/>
    <d v="2023-03-21T00:00:00"/>
    <x v="1"/>
    <n v="14712"/>
    <x v="912"/>
    <n v="2.92"/>
    <n v="18"/>
  </r>
  <r>
    <s v="S1950"/>
    <x v="950"/>
    <x v="0"/>
    <x v="1"/>
    <d v="2022-04-06T00:00:00"/>
    <x v="1"/>
    <n v="5822"/>
    <x v="424"/>
    <n v="2.89"/>
    <n v="53"/>
  </r>
  <r>
    <s v="S1951"/>
    <x v="951"/>
    <x v="2"/>
    <x v="2"/>
    <d v="2024-04-25T00:00:00"/>
    <x v="1"/>
    <n v="13010"/>
    <x v="913"/>
    <n v="2.0299999999999998"/>
    <n v="72"/>
  </r>
  <r>
    <s v="S1952"/>
    <x v="952"/>
    <x v="1"/>
    <x v="0"/>
    <d v="2024-05-02T00:00:00"/>
    <x v="1"/>
    <n v="6167"/>
    <x v="914"/>
    <n v="2.99"/>
    <n v="94"/>
  </r>
  <r>
    <s v="S1953"/>
    <x v="953"/>
    <x v="7"/>
    <x v="2"/>
    <d v="2022-05-07T00:00:00"/>
    <x v="1"/>
    <n v="3815"/>
    <x v="630"/>
    <n v="3.66"/>
    <n v="92"/>
  </r>
  <r>
    <s v="S1954"/>
    <x v="954"/>
    <x v="0"/>
    <x v="3"/>
    <d v="2022-06-18T00:00:00"/>
    <x v="1"/>
    <n v="6719"/>
    <x v="915"/>
    <n v="3.91"/>
    <n v="116"/>
  </r>
  <r>
    <s v="S1955"/>
    <x v="955"/>
    <x v="3"/>
    <x v="1"/>
    <d v="2023-11-22T00:00:00"/>
    <x v="0"/>
    <n v="4490"/>
    <x v="916"/>
    <n v="2.7"/>
    <n v="94"/>
  </r>
  <r>
    <s v="S1956"/>
    <x v="956"/>
    <x v="1"/>
    <x v="1"/>
    <d v="2023-07-03T00:00:00"/>
    <x v="1"/>
    <n v="9668"/>
    <x v="917"/>
    <n v="2.5099999999999998"/>
    <n v="85"/>
  </r>
  <r>
    <s v="S1957"/>
    <x v="957"/>
    <x v="4"/>
    <x v="0"/>
    <d v="2023-10-17T00:00:00"/>
    <x v="0"/>
    <n v="2432"/>
    <x v="584"/>
    <n v="3.8"/>
    <n v="49"/>
  </r>
  <r>
    <s v="S1958"/>
    <x v="958"/>
    <x v="3"/>
    <x v="0"/>
    <d v="2023-01-30T00:00:00"/>
    <x v="0"/>
    <n v="3242"/>
    <x v="918"/>
    <n v="3.85"/>
    <n v="83"/>
  </r>
  <r>
    <s v="S1959"/>
    <x v="959"/>
    <x v="2"/>
    <x v="3"/>
    <d v="2022-09-14T00:00:00"/>
    <x v="1"/>
    <n v="14853"/>
    <x v="919"/>
    <n v="3.3"/>
    <n v="2"/>
  </r>
  <r>
    <s v="S1960"/>
    <x v="960"/>
    <x v="2"/>
    <x v="0"/>
    <d v="2024-04-18T00:00:00"/>
    <x v="0"/>
    <n v="11497"/>
    <x v="920"/>
    <n v="2.23"/>
    <n v="50"/>
  </r>
  <r>
    <s v="S1961"/>
    <x v="961"/>
    <x v="5"/>
    <x v="1"/>
    <d v="2023-11-07T00:00:00"/>
    <x v="1"/>
    <n v="2983"/>
    <x v="921"/>
    <n v="2.6"/>
    <n v="2"/>
  </r>
  <r>
    <s v="S1962"/>
    <x v="962"/>
    <x v="6"/>
    <x v="1"/>
    <d v="2022-08-10T00:00:00"/>
    <x v="1"/>
    <n v="2880"/>
    <x v="922"/>
    <n v="2.57"/>
    <n v="32"/>
  </r>
  <r>
    <s v="S1963"/>
    <x v="963"/>
    <x v="6"/>
    <x v="1"/>
    <d v="2022-04-08T00:00:00"/>
    <x v="0"/>
    <n v="6951"/>
    <x v="923"/>
    <n v="2.7"/>
    <n v="61"/>
  </r>
  <r>
    <s v="S1964"/>
    <x v="964"/>
    <x v="1"/>
    <x v="1"/>
    <d v="2023-07-02T00:00:00"/>
    <x v="1"/>
    <n v="8612"/>
    <x v="924"/>
    <n v="3.76"/>
    <n v="71"/>
  </r>
  <r>
    <s v="S1965"/>
    <x v="965"/>
    <x v="1"/>
    <x v="3"/>
    <d v="2024-01-18T00:00:00"/>
    <x v="0"/>
    <n v="8900"/>
    <x v="925"/>
    <n v="3.25"/>
    <n v="35"/>
  </r>
  <r>
    <s v="S1966"/>
    <x v="966"/>
    <x v="2"/>
    <x v="2"/>
    <d v="2024-03-28T00:00:00"/>
    <x v="1"/>
    <n v="10147"/>
    <x v="926"/>
    <n v="3.12"/>
    <n v="72"/>
  </r>
  <r>
    <s v="S1967"/>
    <x v="967"/>
    <x v="7"/>
    <x v="2"/>
    <d v="2022-06-01T00:00:00"/>
    <x v="0"/>
    <n v="11524"/>
    <x v="927"/>
    <n v="3.48"/>
    <n v="39"/>
  </r>
  <r>
    <s v="S1968"/>
    <x v="968"/>
    <x v="7"/>
    <x v="2"/>
    <d v="2022-01-22T00:00:00"/>
    <x v="0"/>
    <n v="9115"/>
    <x v="928"/>
    <n v="3.15"/>
    <n v="57"/>
  </r>
  <r>
    <s v="S1969"/>
    <x v="969"/>
    <x v="6"/>
    <x v="3"/>
    <d v="2022-07-29T00:00:00"/>
    <x v="0"/>
    <n v="14396"/>
    <x v="669"/>
    <n v="2.91"/>
    <n v="89"/>
  </r>
  <r>
    <s v="S1970"/>
    <x v="970"/>
    <x v="6"/>
    <x v="2"/>
    <d v="2023-05-31T00:00:00"/>
    <x v="1"/>
    <n v="8599"/>
    <x v="929"/>
    <n v="2.88"/>
    <n v="8"/>
  </r>
  <r>
    <s v="S1971"/>
    <x v="971"/>
    <x v="3"/>
    <x v="1"/>
    <d v="2024-03-02T00:00:00"/>
    <x v="0"/>
    <n v="14700"/>
    <x v="930"/>
    <n v="3.69"/>
    <n v="34"/>
  </r>
  <r>
    <s v="S1972"/>
    <x v="972"/>
    <x v="6"/>
    <x v="2"/>
    <d v="2024-04-03T00:00:00"/>
    <x v="0"/>
    <n v="9199"/>
    <x v="931"/>
    <n v="3.04"/>
    <n v="20"/>
  </r>
  <r>
    <s v="S1973"/>
    <x v="973"/>
    <x v="5"/>
    <x v="3"/>
    <d v="2024-01-17T00:00:00"/>
    <x v="2"/>
    <n v="6798"/>
    <x v="932"/>
    <n v="2.97"/>
    <n v="28"/>
  </r>
  <r>
    <s v="S1974"/>
    <x v="974"/>
    <x v="7"/>
    <x v="3"/>
    <d v="2022-06-19T00:00:00"/>
    <x v="0"/>
    <n v="7093"/>
    <x v="933"/>
    <n v="2.2999999999999998"/>
    <n v="75"/>
  </r>
  <r>
    <s v="S1975"/>
    <x v="975"/>
    <x v="6"/>
    <x v="2"/>
    <d v="2024-01-04T00:00:00"/>
    <x v="1"/>
    <n v="10111"/>
    <x v="934"/>
    <n v="3.75"/>
    <n v="97"/>
  </r>
  <r>
    <s v="S1976"/>
    <x v="976"/>
    <x v="6"/>
    <x v="2"/>
    <d v="2023-08-19T00:00:00"/>
    <x v="0"/>
    <n v="14720"/>
    <x v="935"/>
    <n v="3.08"/>
    <n v="2"/>
  </r>
  <r>
    <s v="S1977"/>
    <x v="977"/>
    <x v="3"/>
    <x v="3"/>
    <d v="2023-09-14T00:00:00"/>
    <x v="1"/>
    <n v="3574"/>
    <x v="936"/>
    <n v="2.4700000000000002"/>
    <n v="107"/>
  </r>
  <r>
    <s v="S1978"/>
    <x v="978"/>
    <x v="1"/>
    <x v="1"/>
    <d v="2022-05-31T00:00:00"/>
    <x v="0"/>
    <n v="12664"/>
    <x v="712"/>
    <n v="2.2000000000000002"/>
    <n v="91"/>
  </r>
  <r>
    <s v="S1979"/>
    <x v="979"/>
    <x v="2"/>
    <x v="1"/>
    <d v="2024-04-16T00:00:00"/>
    <x v="0"/>
    <n v="9618"/>
    <x v="872"/>
    <n v="2.25"/>
    <n v="78"/>
  </r>
  <r>
    <s v="S1980"/>
    <x v="980"/>
    <x v="5"/>
    <x v="1"/>
    <d v="2024-06-04T00:00:00"/>
    <x v="1"/>
    <n v="9706"/>
    <x v="855"/>
    <n v="2.27"/>
    <n v="6"/>
  </r>
  <r>
    <s v="S1981"/>
    <x v="981"/>
    <x v="0"/>
    <x v="3"/>
    <d v="2022-01-24T00:00:00"/>
    <x v="0"/>
    <n v="8994"/>
    <x v="937"/>
    <n v="2.46"/>
    <n v="107"/>
  </r>
  <r>
    <s v="S1982"/>
    <x v="982"/>
    <x v="0"/>
    <x v="2"/>
    <d v="2022-11-15T00:00:00"/>
    <x v="1"/>
    <n v="6439"/>
    <x v="938"/>
    <n v="3.1"/>
    <n v="80"/>
  </r>
  <r>
    <s v="S1983"/>
    <x v="983"/>
    <x v="2"/>
    <x v="0"/>
    <d v="2024-02-02T00:00:00"/>
    <x v="0"/>
    <n v="6534"/>
    <x v="939"/>
    <n v="3.61"/>
    <n v="111"/>
  </r>
  <r>
    <s v="S1984"/>
    <x v="984"/>
    <x v="7"/>
    <x v="0"/>
    <d v="2022-09-02T00:00:00"/>
    <x v="0"/>
    <n v="7590"/>
    <x v="940"/>
    <n v="3.97"/>
    <n v="46"/>
  </r>
  <r>
    <s v="S1985"/>
    <x v="985"/>
    <x v="2"/>
    <x v="2"/>
    <d v="2022-11-15T00:00:00"/>
    <x v="2"/>
    <n v="7475"/>
    <x v="625"/>
    <n v="2.4500000000000002"/>
    <n v="62"/>
  </r>
  <r>
    <s v="S1986"/>
    <x v="986"/>
    <x v="0"/>
    <x v="2"/>
    <d v="2023-10-10T00:00:00"/>
    <x v="0"/>
    <n v="3693"/>
    <x v="941"/>
    <n v="3.65"/>
    <n v="28"/>
  </r>
  <r>
    <s v="S1987"/>
    <x v="987"/>
    <x v="6"/>
    <x v="2"/>
    <d v="2024-04-16T00:00:00"/>
    <x v="0"/>
    <n v="11396"/>
    <x v="942"/>
    <n v="2.2200000000000002"/>
    <n v="98"/>
  </r>
  <r>
    <s v="S1988"/>
    <x v="988"/>
    <x v="7"/>
    <x v="0"/>
    <d v="2022-12-26T00:00:00"/>
    <x v="0"/>
    <n v="8610"/>
    <x v="943"/>
    <n v="3.47"/>
    <n v="16"/>
  </r>
  <r>
    <s v="S1989"/>
    <x v="989"/>
    <x v="6"/>
    <x v="0"/>
    <d v="2023-10-10T00:00:00"/>
    <x v="0"/>
    <n v="3027"/>
    <x v="944"/>
    <n v="3.34"/>
    <n v="116"/>
  </r>
  <r>
    <s v="S1990"/>
    <x v="990"/>
    <x v="4"/>
    <x v="0"/>
    <d v="2023-05-31T00:00:00"/>
    <x v="0"/>
    <n v="4944"/>
    <x v="442"/>
    <n v="3.07"/>
    <n v="79"/>
  </r>
  <r>
    <s v="S1991"/>
    <x v="991"/>
    <x v="3"/>
    <x v="1"/>
    <d v="2024-03-07T00:00:00"/>
    <x v="0"/>
    <n v="9032"/>
    <x v="945"/>
    <n v="2.56"/>
    <n v="8"/>
  </r>
  <r>
    <s v="S1992"/>
    <x v="992"/>
    <x v="3"/>
    <x v="3"/>
    <d v="2023-11-26T00:00:00"/>
    <x v="0"/>
    <n v="10427"/>
    <x v="946"/>
    <n v="3.54"/>
    <n v="119"/>
  </r>
  <r>
    <s v="S1993"/>
    <x v="993"/>
    <x v="5"/>
    <x v="2"/>
    <d v="2024-04-09T00:00:00"/>
    <x v="0"/>
    <n v="6051"/>
    <x v="947"/>
    <n v="3.2"/>
    <n v="99"/>
  </r>
  <r>
    <s v="S1994"/>
    <x v="994"/>
    <x v="0"/>
    <x v="3"/>
    <d v="2023-12-02T00:00:00"/>
    <x v="0"/>
    <n v="5499"/>
    <x v="948"/>
    <n v="3.07"/>
    <n v="23"/>
  </r>
  <r>
    <s v="S1995"/>
    <x v="995"/>
    <x v="3"/>
    <x v="0"/>
    <d v="2024-01-10T00:00:00"/>
    <x v="1"/>
    <n v="5005"/>
    <x v="949"/>
    <n v="3.13"/>
    <n v="24"/>
  </r>
  <r>
    <s v="S1996"/>
    <x v="996"/>
    <x v="6"/>
    <x v="3"/>
    <d v="2022-12-22T00:00:00"/>
    <x v="0"/>
    <n v="11045"/>
    <x v="271"/>
    <n v="2.93"/>
    <n v="87"/>
  </r>
  <r>
    <s v="S1997"/>
    <x v="997"/>
    <x v="6"/>
    <x v="1"/>
    <d v="2022-02-09T00:00:00"/>
    <x v="1"/>
    <n v="12297"/>
    <x v="950"/>
    <n v="2.02"/>
    <n v="58"/>
  </r>
  <r>
    <s v="S1998"/>
    <x v="998"/>
    <x v="1"/>
    <x v="1"/>
    <d v="2022-11-06T00:00:00"/>
    <x v="0"/>
    <n v="4317"/>
    <x v="951"/>
    <n v="3.55"/>
    <n v="76"/>
  </r>
  <r>
    <s v="S1999"/>
    <x v="999"/>
    <x v="0"/>
    <x v="3"/>
    <d v="2022-03-07T00:00:00"/>
    <x v="1"/>
    <n v="14569"/>
    <x v="952"/>
    <n v="2.4"/>
    <n v="29"/>
  </r>
  <r>
    <s v="S2000"/>
    <x v="1000"/>
    <x v="2"/>
    <x v="0"/>
    <d v="2022-12-23T00:00:00"/>
    <x v="0"/>
    <n v="12134"/>
    <x v="953"/>
    <n v="2.91"/>
    <n v="4"/>
  </r>
  <r>
    <s v="S2001"/>
    <x v="1001"/>
    <x v="3"/>
    <x v="3"/>
    <d v="2023-01-02T00:00:00"/>
    <x v="2"/>
    <n v="11342"/>
    <x v="954"/>
    <n v="3.13"/>
    <n v="0"/>
  </r>
  <r>
    <s v="S2002"/>
    <x v="1002"/>
    <x v="4"/>
    <x v="0"/>
    <d v="2022-09-12T00:00:00"/>
    <x v="0"/>
    <n v="2607"/>
    <x v="955"/>
    <n v="2.52"/>
    <n v="17"/>
  </r>
  <r>
    <s v="S2003"/>
    <x v="1003"/>
    <x v="1"/>
    <x v="0"/>
    <d v="2024-03-14T00:00:00"/>
    <x v="2"/>
    <n v="5479"/>
    <x v="626"/>
    <n v="2.78"/>
    <n v="8"/>
  </r>
  <r>
    <s v="S2004"/>
    <x v="1004"/>
    <x v="7"/>
    <x v="0"/>
    <d v="2022-06-04T00:00:00"/>
    <x v="1"/>
    <n v="6615"/>
    <x v="956"/>
    <n v="3.92"/>
    <n v="96"/>
  </r>
  <r>
    <s v="S2005"/>
    <x v="1005"/>
    <x v="0"/>
    <x v="1"/>
    <d v="2023-08-26T00:00:00"/>
    <x v="0"/>
    <n v="4176"/>
    <x v="957"/>
    <n v="3.3"/>
    <n v="12"/>
  </r>
  <r>
    <s v="S2006"/>
    <x v="1006"/>
    <x v="5"/>
    <x v="1"/>
    <d v="2024-05-05T00:00:00"/>
    <x v="1"/>
    <n v="3536"/>
    <x v="958"/>
    <n v="2.46"/>
    <n v="108"/>
  </r>
  <r>
    <s v="S2007"/>
    <x v="1007"/>
    <x v="5"/>
    <x v="0"/>
    <d v="2023-12-25T00:00:00"/>
    <x v="0"/>
    <n v="9886"/>
    <x v="959"/>
    <n v="2.63"/>
    <n v="80"/>
  </r>
  <r>
    <s v="S2008"/>
    <x v="1008"/>
    <x v="2"/>
    <x v="3"/>
    <d v="2023-12-21T00:00:00"/>
    <x v="2"/>
    <n v="6048"/>
    <x v="584"/>
    <n v="3.78"/>
    <n v="84"/>
  </r>
  <r>
    <s v="S2009"/>
    <x v="1009"/>
    <x v="0"/>
    <x v="2"/>
    <d v="2022-01-18T00:00:00"/>
    <x v="2"/>
    <n v="4181"/>
    <x v="960"/>
    <n v="3.94"/>
    <n v="91"/>
  </r>
  <r>
    <s v="S2010"/>
    <x v="1010"/>
    <x v="5"/>
    <x v="2"/>
    <d v="2022-05-12T00:00:00"/>
    <x v="0"/>
    <n v="7377"/>
    <x v="961"/>
    <n v="2.25"/>
    <n v="96"/>
  </r>
  <r>
    <s v="S2011"/>
    <x v="1011"/>
    <x v="2"/>
    <x v="1"/>
    <d v="2022-04-22T00:00:00"/>
    <x v="0"/>
    <n v="14234"/>
    <x v="962"/>
    <n v="2.0299999999999998"/>
    <n v="34"/>
  </r>
  <r>
    <s v="S2012"/>
    <x v="1012"/>
    <x v="5"/>
    <x v="0"/>
    <d v="2024-03-09T00:00:00"/>
    <x v="1"/>
    <n v="4357"/>
    <x v="963"/>
    <n v="3.08"/>
    <n v="89"/>
  </r>
  <r>
    <s v="S2013"/>
    <x v="1013"/>
    <x v="2"/>
    <x v="3"/>
    <d v="2023-05-19T00:00:00"/>
    <x v="0"/>
    <n v="6176"/>
    <x v="964"/>
    <n v="2.68"/>
    <n v="68"/>
  </r>
  <r>
    <s v="S2014"/>
    <x v="1014"/>
    <x v="7"/>
    <x v="3"/>
    <d v="2023-03-28T00:00:00"/>
    <x v="0"/>
    <n v="14399"/>
    <x v="965"/>
    <n v="2.95"/>
    <n v="21"/>
  </r>
  <r>
    <s v="S2015"/>
    <x v="1015"/>
    <x v="4"/>
    <x v="0"/>
    <d v="2022-01-03T00:00:00"/>
    <x v="0"/>
    <n v="13434"/>
    <x v="966"/>
    <n v="2.15"/>
    <n v="18"/>
  </r>
  <r>
    <s v="S2016"/>
    <x v="1016"/>
    <x v="6"/>
    <x v="2"/>
    <d v="2023-03-29T00:00:00"/>
    <x v="0"/>
    <n v="3398"/>
    <x v="967"/>
    <n v="3.15"/>
    <n v="58"/>
  </r>
  <r>
    <s v="S2017"/>
    <x v="1017"/>
    <x v="5"/>
    <x v="2"/>
    <d v="2022-09-23T00:00:00"/>
    <x v="0"/>
    <n v="9724"/>
    <x v="968"/>
    <n v="3.57"/>
    <n v="38"/>
  </r>
  <r>
    <s v="S2018"/>
    <x v="1018"/>
    <x v="1"/>
    <x v="3"/>
    <d v="2022-12-21T00:00:00"/>
    <x v="0"/>
    <n v="13375"/>
    <x v="969"/>
    <n v="3.07"/>
    <n v="11"/>
  </r>
  <r>
    <s v="S2019"/>
    <x v="1019"/>
    <x v="6"/>
    <x v="3"/>
    <d v="2024-04-08T00:00:00"/>
    <x v="1"/>
    <n v="2052"/>
    <x v="970"/>
    <n v="2.76"/>
    <n v="117"/>
  </r>
  <r>
    <s v="S2020"/>
    <x v="1020"/>
    <x v="7"/>
    <x v="1"/>
    <d v="2022-10-11T00:00:00"/>
    <x v="0"/>
    <n v="9348"/>
    <x v="971"/>
    <n v="3.92"/>
    <n v="20"/>
  </r>
  <r>
    <s v="S2021"/>
    <x v="1021"/>
    <x v="5"/>
    <x v="1"/>
    <d v="2023-01-18T00:00:00"/>
    <x v="0"/>
    <n v="3683"/>
    <x v="972"/>
    <n v="3.04"/>
    <n v="61"/>
  </r>
  <r>
    <s v="S2022"/>
    <x v="1022"/>
    <x v="0"/>
    <x v="3"/>
    <d v="2022-04-28T00:00:00"/>
    <x v="0"/>
    <n v="6294"/>
    <x v="973"/>
    <n v="2.84"/>
    <n v="107"/>
  </r>
  <r>
    <s v="S2023"/>
    <x v="1023"/>
    <x v="7"/>
    <x v="3"/>
    <d v="2022-09-07T00:00:00"/>
    <x v="1"/>
    <n v="6651"/>
    <x v="974"/>
    <n v="2.4300000000000002"/>
    <n v="85"/>
  </r>
  <r>
    <s v="S2024"/>
    <x v="1024"/>
    <x v="0"/>
    <x v="0"/>
    <d v="2024-05-10T00:00:00"/>
    <x v="1"/>
    <n v="14550"/>
    <x v="975"/>
    <n v="3.25"/>
    <n v="78"/>
  </r>
  <r>
    <s v="S2025"/>
    <x v="1025"/>
    <x v="4"/>
    <x v="2"/>
    <d v="2023-11-14T00:00:00"/>
    <x v="1"/>
    <n v="4049"/>
    <x v="976"/>
    <n v="2.23"/>
    <n v="29"/>
  </r>
  <r>
    <s v="S2026"/>
    <x v="1026"/>
    <x v="6"/>
    <x v="0"/>
    <d v="2023-01-30T00:00:00"/>
    <x v="1"/>
    <n v="2397"/>
    <x v="977"/>
    <n v="2.91"/>
    <n v="117"/>
  </r>
  <r>
    <s v="S2027"/>
    <x v="1027"/>
    <x v="7"/>
    <x v="1"/>
    <d v="2022-05-10T00:00:00"/>
    <x v="1"/>
    <n v="2645"/>
    <x v="978"/>
    <n v="3.57"/>
    <n v="54"/>
  </r>
  <r>
    <s v="S2028"/>
    <x v="1028"/>
    <x v="4"/>
    <x v="3"/>
    <d v="2022-10-30T00:00:00"/>
    <x v="0"/>
    <n v="4105"/>
    <x v="979"/>
    <n v="2.3199999999999998"/>
    <n v="22"/>
  </r>
  <r>
    <s v="S2029"/>
    <x v="1029"/>
    <x v="0"/>
    <x v="2"/>
    <d v="2022-02-11T00:00:00"/>
    <x v="0"/>
    <n v="7185"/>
    <x v="980"/>
    <n v="2.87"/>
    <n v="24"/>
  </r>
  <r>
    <s v="S2030"/>
    <x v="1030"/>
    <x v="6"/>
    <x v="1"/>
    <d v="2024-01-09T00:00:00"/>
    <x v="0"/>
    <n v="6263"/>
    <x v="981"/>
    <n v="3.17"/>
    <n v="49"/>
  </r>
  <r>
    <s v="S2031"/>
    <x v="1031"/>
    <x v="5"/>
    <x v="0"/>
    <d v="2023-07-23T00:00:00"/>
    <x v="0"/>
    <n v="7201"/>
    <x v="982"/>
    <n v="3.49"/>
    <n v="19"/>
  </r>
  <r>
    <s v="S2032"/>
    <x v="1032"/>
    <x v="0"/>
    <x v="3"/>
    <d v="2024-04-18T00:00:00"/>
    <x v="2"/>
    <n v="6043"/>
    <x v="983"/>
    <n v="2.94"/>
    <n v="81"/>
  </r>
  <r>
    <s v="S2033"/>
    <x v="1033"/>
    <x v="6"/>
    <x v="2"/>
    <d v="2024-02-04T00:00:00"/>
    <x v="0"/>
    <n v="4290"/>
    <x v="984"/>
    <n v="3.2"/>
    <n v="100"/>
  </r>
  <r>
    <s v="S2034"/>
    <x v="1034"/>
    <x v="0"/>
    <x v="1"/>
    <d v="2023-10-21T00:00:00"/>
    <x v="0"/>
    <n v="13750"/>
    <x v="199"/>
    <n v="2.5299999999999998"/>
    <n v="20"/>
  </r>
  <r>
    <s v="S2035"/>
    <x v="1035"/>
    <x v="6"/>
    <x v="1"/>
    <d v="2023-01-07T00:00:00"/>
    <x v="0"/>
    <n v="9223"/>
    <x v="985"/>
    <n v="3.49"/>
    <n v="104"/>
  </r>
  <r>
    <s v="S2036"/>
    <x v="1036"/>
    <x v="5"/>
    <x v="2"/>
    <d v="2023-09-17T00:00:00"/>
    <x v="1"/>
    <n v="9699"/>
    <x v="986"/>
    <n v="3.07"/>
    <n v="57"/>
  </r>
  <r>
    <s v="S2037"/>
    <x v="1037"/>
    <x v="0"/>
    <x v="3"/>
    <d v="2022-01-18T00:00:00"/>
    <x v="0"/>
    <n v="9851"/>
    <x v="987"/>
    <n v="3.39"/>
    <n v="78"/>
  </r>
  <r>
    <s v="S2038"/>
    <x v="1038"/>
    <x v="7"/>
    <x v="1"/>
    <d v="2024-05-29T00:00:00"/>
    <x v="0"/>
    <n v="8813"/>
    <x v="988"/>
    <n v="3.25"/>
    <n v="110"/>
  </r>
  <r>
    <s v="S2039"/>
    <x v="1039"/>
    <x v="3"/>
    <x v="1"/>
    <d v="2022-05-13T00:00:00"/>
    <x v="0"/>
    <n v="9828"/>
    <x v="989"/>
    <n v="3.94"/>
    <n v="17"/>
  </r>
  <r>
    <s v="S2040"/>
    <x v="1040"/>
    <x v="3"/>
    <x v="3"/>
    <d v="2022-01-21T00:00:00"/>
    <x v="0"/>
    <n v="14430"/>
    <x v="20"/>
    <n v="2.41"/>
    <n v="73"/>
  </r>
  <r>
    <s v="S2041"/>
    <x v="1041"/>
    <x v="1"/>
    <x v="3"/>
    <d v="2023-03-31T00:00:00"/>
    <x v="0"/>
    <n v="14409"/>
    <x v="990"/>
    <n v="2.61"/>
    <n v="31"/>
  </r>
  <r>
    <s v="S2042"/>
    <x v="1042"/>
    <x v="5"/>
    <x v="2"/>
    <d v="2022-09-12T00:00:00"/>
    <x v="0"/>
    <n v="3726"/>
    <x v="991"/>
    <n v="2.2200000000000002"/>
    <n v="6"/>
  </r>
  <r>
    <s v="S2043"/>
    <x v="1043"/>
    <x v="4"/>
    <x v="1"/>
    <d v="2023-10-28T00:00:00"/>
    <x v="1"/>
    <n v="12371"/>
    <x v="992"/>
    <n v="3.58"/>
    <n v="52"/>
  </r>
  <r>
    <s v="S2044"/>
    <x v="1044"/>
    <x v="3"/>
    <x v="2"/>
    <d v="2023-06-27T00:00:00"/>
    <x v="1"/>
    <n v="3344"/>
    <x v="993"/>
    <n v="3.46"/>
    <n v="75"/>
  </r>
  <r>
    <s v="S2045"/>
    <x v="1045"/>
    <x v="5"/>
    <x v="0"/>
    <d v="2023-03-19T00:00:00"/>
    <x v="0"/>
    <n v="10360"/>
    <x v="994"/>
    <n v="2.79"/>
    <n v="42"/>
  </r>
  <r>
    <s v="S2046"/>
    <x v="1046"/>
    <x v="6"/>
    <x v="0"/>
    <d v="2022-07-22T00:00:00"/>
    <x v="0"/>
    <n v="9592"/>
    <x v="646"/>
    <n v="3.61"/>
    <n v="59"/>
  </r>
  <r>
    <s v="S2047"/>
    <x v="1047"/>
    <x v="5"/>
    <x v="0"/>
    <d v="2022-06-30T00:00:00"/>
    <x v="0"/>
    <n v="9512"/>
    <x v="995"/>
    <n v="2.98"/>
    <n v="56"/>
  </r>
  <r>
    <s v="S2048"/>
    <x v="1048"/>
    <x v="7"/>
    <x v="1"/>
    <d v="2022-07-23T00:00:00"/>
    <x v="1"/>
    <n v="5373"/>
    <x v="996"/>
    <n v="2.29"/>
    <n v="22"/>
  </r>
  <r>
    <s v="S2049"/>
    <x v="1049"/>
    <x v="2"/>
    <x v="1"/>
    <d v="2022-09-10T00:00:00"/>
    <x v="1"/>
    <n v="5354"/>
    <x v="997"/>
    <n v="2.44"/>
    <n v="94"/>
  </r>
  <r>
    <s v="S2050"/>
    <x v="1050"/>
    <x v="5"/>
    <x v="3"/>
    <d v="2022-10-05T00:00:00"/>
    <x v="1"/>
    <n v="2479"/>
    <x v="998"/>
    <n v="3.71"/>
    <n v="100"/>
  </r>
  <r>
    <s v="S2051"/>
    <x v="1051"/>
    <x v="0"/>
    <x v="3"/>
    <d v="2023-03-22T00:00:00"/>
    <x v="2"/>
    <n v="6810"/>
    <x v="999"/>
    <n v="2.94"/>
    <n v="46"/>
  </r>
  <r>
    <s v="S2052"/>
    <x v="1052"/>
    <x v="0"/>
    <x v="1"/>
    <d v="2022-06-06T00:00:00"/>
    <x v="0"/>
    <n v="7686"/>
    <x v="1000"/>
    <n v="2.69"/>
    <n v="4"/>
  </r>
  <r>
    <s v="S2053"/>
    <x v="1053"/>
    <x v="6"/>
    <x v="0"/>
    <d v="2022-11-23T00:00:00"/>
    <x v="0"/>
    <n v="7121"/>
    <x v="1001"/>
    <n v="3.87"/>
    <n v="28"/>
  </r>
  <r>
    <s v="S2054"/>
    <x v="1054"/>
    <x v="1"/>
    <x v="2"/>
    <d v="2024-06-07T00:00:00"/>
    <x v="1"/>
    <n v="3813"/>
    <x v="1002"/>
    <n v="2.78"/>
    <n v="55"/>
  </r>
  <r>
    <s v="S2055"/>
    <x v="1055"/>
    <x v="7"/>
    <x v="3"/>
    <d v="2024-04-28T00:00:00"/>
    <x v="1"/>
    <n v="5115"/>
    <x v="1003"/>
    <n v="3.09"/>
    <n v="35"/>
  </r>
  <r>
    <s v="S2056"/>
    <x v="1056"/>
    <x v="5"/>
    <x v="1"/>
    <d v="2023-02-06T00:00:00"/>
    <x v="0"/>
    <n v="8897"/>
    <x v="1004"/>
    <n v="3.51"/>
    <n v="90"/>
  </r>
  <r>
    <s v="S2057"/>
    <x v="1057"/>
    <x v="4"/>
    <x v="2"/>
    <d v="2024-04-26T00:00:00"/>
    <x v="0"/>
    <n v="10286"/>
    <x v="1005"/>
    <n v="2.17"/>
    <n v="76"/>
  </r>
  <r>
    <s v="S2058"/>
    <x v="1058"/>
    <x v="2"/>
    <x v="2"/>
    <d v="2024-03-30T00:00:00"/>
    <x v="1"/>
    <n v="6792"/>
    <x v="1006"/>
    <n v="2.19"/>
    <n v="6"/>
  </r>
  <r>
    <s v="S2059"/>
    <x v="1059"/>
    <x v="3"/>
    <x v="3"/>
    <d v="2023-02-25T00:00:00"/>
    <x v="0"/>
    <n v="9636"/>
    <x v="522"/>
    <n v="2.4900000000000002"/>
    <n v="46"/>
  </r>
  <r>
    <s v="S2060"/>
    <x v="1060"/>
    <x v="2"/>
    <x v="3"/>
    <d v="2022-01-03T00:00:00"/>
    <x v="0"/>
    <n v="14185"/>
    <x v="1007"/>
    <n v="3.14"/>
    <n v="84"/>
  </r>
  <r>
    <s v="S2061"/>
    <x v="1061"/>
    <x v="7"/>
    <x v="3"/>
    <d v="2023-06-14T00:00:00"/>
    <x v="0"/>
    <n v="13293"/>
    <x v="1008"/>
    <n v="2.66"/>
    <n v="99"/>
  </r>
  <r>
    <s v="S2062"/>
    <x v="1062"/>
    <x v="7"/>
    <x v="1"/>
    <d v="2023-07-17T00:00:00"/>
    <x v="1"/>
    <n v="7446"/>
    <x v="1009"/>
    <n v="3.43"/>
    <n v="101"/>
  </r>
  <r>
    <s v="S2063"/>
    <x v="1063"/>
    <x v="4"/>
    <x v="3"/>
    <d v="2022-10-15T00:00:00"/>
    <x v="0"/>
    <n v="11119"/>
    <x v="1010"/>
    <n v="3.96"/>
    <n v="103"/>
  </r>
  <r>
    <s v="S2064"/>
    <x v="1064"/>
    <x v="5"/>
    <x v="1"/>
    <d v="2022-09-02T00:00:00"/>
    <x v="0"/>
    <n v="13651"/>
    <x v="1011"/>
    <n v="3.84"/>
    <n v="76"/>
  </r>
  <r>
    <s v="S2065"/>
    <x v="1065"/>
    <x v="0"/>
    <x v="3"/>
    <d v="2022-06-02T00:00:00"/>
    <x v="0"/>
    <n v="4701"/>
    <x v="1012"/>
    <n v="2.84"/>
    <n v="44"/>
  </r>
  <r>
    <s v="S2066"/>
    <x v="1066"/>
    <x v="1"/>
    <x v="3"/>
    <d v="2024-04-13T00:00:00"/>
    <x v="2"/>
    <n v="9016"/>
    <x v="1013"/>
    <n v="2.7"/>
    <n v="5"/>
  </r>
  <r>
    <s v="S2067"/>
    <x v="1067"/>
    <x v="6"/>
    <x v="1"/>
    <d v="2023-07-13T00:00:00"/>
    <x v="1"/>
    <n v="6208"/>
    <x v="1014"/>
    <n v="3.75"/>
    <n v="93"/>
  </r>
  <r>
    <s v="S2068"/>
    <x v="1068"/>
    <x v="4"/>
    <x v="0"/>
    <d v="2023-06-13T00:00:00"/>
    <x v="1"/>
    <n v="5697"/>
    <x v="1015"/>
    <n v="3.77"/>
    <n v="79"/>
  </r>
  <r>
    <s v="S2069"/>
    <x v="1069"/>
    <x v="2"/>
    <x v="2"/>
    <d v="2022-01-07T00:00:00"/>
    <x v="0"/>
    <n v="14742"/>
    <x v="1016"/>
    <n v="2.5499999999999998"/>
    <n v="6"/>
  </r>
  <r>
    <s v="S2070"/>
    <x v="1070"/>
    <x v="6"/>
    <x v="3"/>
    <d v="2022-06-28T00:00:00"/>
    <x v="1"/>
    <n v="2296"/>
    <x v="1017"/>
    <n v="2.64"/>
    <n v="71"/>
  </r>
  <r>
    <s v="S2071"/>
    <x v="1071"/>
    <x v="7"/>
    <x v="3"/>
    <d v="2023-11-01T00:00:00"/>
    <x v="0"/>
    <n v="10330"/>
    <x v="1018"/>
    <n v="2.65"/>
    <n v="50"/>
  </r>
  <r>
    <s v="S2072"/>
    <x v="1072"/>
    <x v="4"/>
    <x v="0"/>
    <d v="2023-12-11T00:00:00"/>
    <x v="2"/>
    <n v="2000"/>
    <x v="1019"/>
    <n v="3.95"/>
    <n v="2"/>
  </r>
  <r>
    <s v="S2073"/>
    <x v="1073"/>
    <x v="7"/>
    <x v="1"/>
    <d v="2023-02-25T00:00:00"/>
    <x v="1"/>
    <n v="8970"/>
    <x v="362"/>
    <n v="2.04"/>
    <n v="97"/>
  </r>
  <r>
    <s v="S2074"/>
    <x v="1074"/>
    <x v="7"/>
    <x v="1"/>
    <d v="2023-07-19T00:00:00"/>
    <x v="1"/>
    <n v="5560"/>
    <x v="1020"/>
    <n v="2.4700000000000002"/>
    <n v="66"/>
  </r>
  <r>
    <s v="S2075"/>
    <x v="1075"/>
    <x v="0"/>
    <x v="0"/>
    <d v="2023-09-27T00:00:00"/>
    <x v="0"/>
    <n v="7903"/>
    <x v="1021"/>
    <n v="2.0699999999999998"/>
    <n v="110"/>
  </r>
  <r>
    <s v="S2076"/>
    <x v="1076"/>
    <x v="7"/>
    <x v="2"/>
    <d v="2023-06-27T00:00:00"/>
    <x v="0"/>
    <n v="4119"/>
    <x v="1022"/>
    <n v="3.31"/>
    <n v="74"/>
  </r>
  <r>
    <s v="S2077"/>
    <x v="1077"/>
    <x v="4"/>
    <x v="3"/>
    <d v="2024-03-27T00:00:00"/>
    <x v="2"/>
    <n v="7853"/>
    <x v="1023"/>
    <n v="3.33"/>
    <n v="96"/>
  </r>
  <r>
    <s v="S2078"/>
    <x v="1078"/>
    <x v="0"/>
    <x v="0"/>
    <d v="2022-12-23T00:00:00"/>
    <x v="2"/>
    <n v="7107"/>
    <x v="1024"/>
    <n v="2.87"/>
    <n v="73"/>
  </r>
  <r>
    <s v="S2079"/>
    <x v="1079"/>
    <x v="1"/>
    <x v="1"/>
    <d v="2024-04-03T00:00:00"/>
    <x v="0"/>
    <n v="3245"/>
    <x v="882"/>
    <n v="2.5"/>
    <n v="16"/>
  </r>
  <r>
    <s v="S2080"/>
    <x v="1080"/>
    <x v="1"/>
    <x v="0"/>
    <d v="2024-04-05T00:00:00"/>
    <x v="0"/>
    <n v="4892"/>
    <x v="1025"/>
    <n v="3.83"/>
    <n v="43"/>
  </r>
  <r>
    <s v="S2081"/>
    <x v="1081"/>
    <x v="6"/>
    <x v="3"/>
    <d v="2022-10-12T00:00:00"/>
    <x v="0"/>
    <n v="5130"/>
    <x v="1008"/>
    <n v="2.56"/>
    <n v="113"/>
  </r>
  <r>
    <s v="S2082"/>
    <x v="1082"/>
    <x v="3"/>
    <x v="3"/>
    <d v="2022-09-27T00:00:00"/>
    <x v="0"/>
    <n v="12773"/>
    <x v="538"/>
    <n v="3.89"/>
    <n v="96"/>
  </r>
  <r>
    <s v="S2083"/>
    <x v="1083"/>
    <x v="6"/>
    <x v="1"/>
    <d v="2022-07-16T00:00:00"/>
    <x v="1"/>
    <n v="11415"/>
    <x v="1026"/>
    <n v="3.4"/>
    <n v="5"/>
  </r>
  <r>
    <s v="S2084"/>
    <x v="1084"/>
    <x v="6"/>
    <x v="3"/>
    <d v="2022-07-30T00:00:00"/>
    <x v="0"/>
    <n v="8463"/>
    <x v="1027"/>
    <n v="3.87"/>
    <n v="33"/>
  </r>
  <r>
    <s v="S2085"/>
    <x v="1085"/>
    <x v="5"/>
    <x v="3"/>
    <d v="2022-02-26T00:00:00"/>
    <x v="0"/>
    <n v="13713"/>
    <x v="1028"/>
    <n v="3.81"/>
    <n v="54"/>
  </r>
  <r>
    <s v="S2086"/>
    <x v="1086"/>
    <x v="4"/>
    <x v="3"/>
    <d v="2022-02-02T00:00:00"/>
    <x v="0"/>
    <n v="10725"/>
    <x v="246"/>
    <n v="3.94"/>
    <n v="41"/>
  </r>
  <r>
    <s v="S2087"/>
    <x v="1087"/>
    <x v="1"/>
    <x v="3"/>
    <d v="2023-06-28T00:00:00"/>
    <x v="2"/>
    <n v="11630"/>
    <x v="1029"/>
    <n v="3.65"/>
    <n v="111"/>
  </r>
  <r>
    <s v="S2088"/>
    <x v="1088"/>
    <x v="6"/>
    <x v="2"/>
    <d v="2024-05-01T00:00:00"/>
    <x v="0"/>
    <n v="12478"/>
    <x v="1030"/>
    <n v="3.01"/>
    <n v="22"/>
  </r>
  <r>
    <s v="S2089"/>
    <x v="1089"/>
    <x v="2"/>
    <x v="3"/>
    <d v="2022-06-13T00:00:00"/>
    <x v="2"/>
    <n v="8685"/>
    <x v="1031"/>
    <n v="2.29"/>
    <n v="1"/>
  </r>
  <r>
    <s v="S2090"/>
    <x v="1090"/>
    <x v="5"/>
    <x v="3"/>
    <d v="2023-02-26T00:00:00"/>
    <x v="0"/>
    <n v="6591"/>
    <x v="1032"/>
    <n v="2.29"/>
    <n v="46"/>
  </r>
  <r>
    <s v="S2091"/>
    <x v="1091"/>
    <x v="5"/>
    <x v="3"/>
    <d v="2023-02-26T00:00:00"/>
    <x v="0"/>
    <n v="8141"/>
    <x v="1033"/>
    <n v="2.77"/>
    <n v="46"/>
  </r>
  <r>
    <s v="S2092"/>
    <x v="1092"/>
    <x v="1"/>
    <x v="2"/>
    <d v="2022-03-15T00:00:00"/>
    <x v="0"/>
    <n v="3019"/>
    <x v="1034"/>
    <n v="2.82"/>
    <n v="79"/>
  </r>
  <r>
    <s v="S2093"/>
    <x v="1093"/>
    <x v="7"/>
    <x v="2"/>
    <d v="2023-12-23T00:00:00"/>
    <x v="1"/>
    <n v="8929"/>
    <x v="1035"/>
    <n v="2.68"/>
    <n v="104"/>
  </r>
  <r>
    <s v="S2094"/>
    <x v="1094"/>
    <x v="7"/>
    <x v="3"/>
    <d v="2022-01-15T00:00:00"/>
    <x v="0"/>
    <n v="11878"/>
    <x v="332"/>
    <n v="3.52"/>
    <n v="96"/>
  </r>
  <r>
    <s v="S2095"/>
    <x v="1095"/>
    <x v="5"/>
    <x v="0"/>
    <d v="2023-11-29T00:00:00"/>
    <x v="1"/>
    <n v="11961"/>
    <x v="1036"/>
    <n v="3.72"/>
    <n v="16"/>
  </r>
  <r>
    <s v="S2096"/>
    <x v="1096"/>
    <x v="0"/>
    <x v="0"/>
    <d v="2022-06-09T00:00:00"/>
    <x v="1"/>
    <n v="14062"/>
    <x v="1037"/>
    <n v="3.07"/>
    <n v="103"/>
  </r>
  <r>
    <s v="S2097"/>
    <x v="1097"/>
    <x v="7"/>
    <x v="2"/>
    <d v="2022-08-07T00:00:00"/>
    <x v="1"/>
    <n v="7312"/>
    <x v="1038"/>
    <n v="2.74"/>
    <n v="104"/>
  </r>
  <r>
    <s v="S2098"/>
    <x v="1098"/>
    <x v="7"/>
    <x v="2"/>
    <d v="2023-04-07T00:00:00"/>
    <x v="0"/>
    <n v="5745"/>
    <x v="1039"/>
    <n v="3.1"/>
    <n v="31"/>
  </r>
  <r>
    <s v="S2099"/>
    <x v="1099"/>
    <x v="1"/>
    <x v="3"/>
    <d v="2022-06-14T00:00:00"/>
    <x v="2"/>
    <n v="6844"/>
    <x v="1040"/>
    <n v="3.05"/>
    <n v="44"/>
  </r>
  <r>
    <s v="S2100"/>
    <x v="1100"/>
    <x v="7"/>
    <x v="1"/>
    <d v="2022-07-11T00:00:00"/>
    <x v="0"/>
    <n v="13054"/>
    <x v="1041"/>
    <n v="3.54"/>
    <n v="31"/>
  </r>
  <r>
    <s v="S2101"/>
    <x v="1101"/>
    <x v="5"/>
    <x v="2"/>
    <d v="2023-03-22T00:00:00"/>
    <x v="0"/>
    <n v="10986"/>
    <x v="1042"/>
    <n v="3.16"/>
    <n v="70"/>
  </r>
  <r>
    <s v="S2102"/>
    <x v="1102"/>
    <x v="1"/>
    <x v="1"/>
    <d v="2024-05-09T00:00:00"/>
    <x v="2"/>
    <n v="3798"/>
    <x v="1043"/>
    <n v="2.2999999999999998"/>
    <n v="98"/>
  </r>
  <r>
    <s v="S2103"/>
    <x v="1103"/>
    <x v="6"/>
    <x v="0"/>
    <d v="2024-02-10T00:00:00"/>
    <x v="1"/>
    <n v="8999"/>
    <x v="1044"/>
    <n v="2.0499999999999998"/>
    <n v="115"/>
  </r>
  <r>
    <s v="S2104"/>
    <x v="1104"/>
    <x v="0"/>
    <x v="3"/>
    <d v="2022-03-29T00:00:00"/>
    <x v="0"/>
    <n v="4243"/>
    <x v="1045"/>
    <n v="3.32"/>
    <n v="18"/>
  </r>
  <r>
    <s v="S2105"/>
    <x v="1105"/>
    <x v="0"/>
    <x v="0"/>
    <d v="2023-05-25T00:00:00"/>
    <x v="1"/>
    <n v="2171"/>
    <x v="1046"/>
    <n v="2.4500000000000002"/>
    <n v="31"/>
  </r>
  <r>
    <s v="S2106"/>
    <x v="1106"/>
    <x v="3"/>
    <x v="3"/>
    <d v="2022-10-05T00:00:00"/>
    <x v="1"/>
    <n v="4746"/>
    <x v="1047"/>
    <n v="3.26"/>
    <n v="10"/>
  </r>
  <r>
    <s v="S2107"/>
    <x v="1107"/>
    <x v="1"/>
    <x v="1"/>
    <d v="2024-02-07T00:00:00"/>
    <x v="0"/>
    <n v="5813"/>
    <x v="1048"/>
    <n v="3.89"/>
    <n v="13"/>
  </r>
  <r>
    <s v="S2108"/>
    <x v="1108"/>
    <x v="5"/>
    <x v="0"/>
    <d v="2022-02-07T00:00:00"/>
    <x v="0"/>
    <n v="11997"/>
    <x v="1049"/>
    <n v="3.75"/>
    <n v="81"/>
  </r>
  <r>
    <s v="S2109"/>
    <x v="1109"/>
    <x v="5"/>
    <x v="2"/>
    <d v="2022-11-26T00:00:00"/>
    <x v="1"/>
    <n v="3129"/>
    <x v="1050"/>
    <n v="2.92"/>
    <n v="94"/>
  </r>
  <r>
    <s v="S2110"/>
    <x v="1110"/>
    <x v="2"/>
    <x v="3"/>
    <d v="2023-12-18T00:00:00"/>
    <x v="0"/>
    <n v="4829"/>
    <x v="955"/>
    <n v="3.81"/>
    <n v="71"/>
  </r>
  <r>
    <s v="S2111"/>
    <x v="1111"/>
    <x v="1"/>
    <x v="2"/>
    <d v="2023-12-10T00:00:00"/>
    <x v="0"/>
    <n v="13773"/>
    <x v="1051"/>
    <n v="2.15"/>
    <n v="22"/>
  </r>
  <r>
    <s v="S2112"/>
    <x v="1112"/>
    <x v="7"/>
    <x v="1"/>
    <d v="2022-11-14T00:00:00"/>
    <x v="1"/>
    <n v="7845"/>
    <x v="1052"/>
    <n v="3.79"/>
    <n v="82"/>
  </r>
  <r>
    <s v="S2113"/>
    <x v="1113"/>
    <x v="4"/>
    <x v="2"/>
    <d v="2024-02-15T00:00:00"/>
    <x v="1"/>
    <n v="14112"/>
    <x v="1053"/>
    <n v="2.48"/>
    <n v="106"/>
  </r>
  <r>
    <s v="S2114"/>
    <x v="1114"/>
    <x v="1"/>
    <x v="2"/>
    <d v="2024-05-17T00:00:00"/>
    <x v="0"/>
    <n v="8386"/>
    <x v="1054"/>
    <n v="2.54"/>
    <n v="97"/>
  </r>
  <r>
    <s v="S2115"/>
    <x v="1115"/>
    <x v="6"/>
    <x v="1"/>
    <d v="2023-07-29T00:00:00"/>
    <x v="0"/>
    <n v="11924"/>
    <x v="1055"/>
    <n v="3.46"/>
    <n v="23"/>
  </r>
  <r>
    <s v="S2116"/>
    <x v="1116"/>
    <x v="4"/>
    <x v="2"/>
    <d v="2022-03-27T00:00:00"/>
    <x v="1"/>
    <n v="6259"/>
    <x v="1056"/>
    <n v="3.7"/>
    <n v="69"/>
  </r>
  <r>
    <s v="S2117"/>
    <x v="1117"/>
    <x v="2"/>
    <x v="2"/>
    <d v="2024-02-25T00:00:00"/>
    <x v="0"/>
    <n v="2965"/>
    <x v="1057"/>
    <n v="3.5"/>
    <n v="79"/>
  </r>
  <r>
    <s v="S2118"/>
    <x v="1118"/>
    <x v="0"/>
    <x v="0"/>
    <d v="2024-02-25T00:00:00"/>
    <x v="0"/>
    <n v="10945"/>
    <x v="1058"/>
    <n v="3.56"/>
    <n v="39"/>
  </r>
  <r>
    <s v="S2119"/>
    <x v="1119"/>
    <x v="6"/>
    <x v="3"/>
    <d v="2024-04-24T00:00:00"/>
    <x v="1"/>
    <n v="5840"/>
    <x v="1059"/>
    <n v="3.91"/>
    <n v="21"/>
  </r>
  <r>
    <s v="S2120"/>
    <x v="1120"/>
    <x v="4"/>
    <x v="3"/>
    <d v="2023-12-28T00:00:00"/>
    <x v="1"/>
    <n v="11837"/>
    <x v="1060"/>
    <n v="3.73"/>
    <n v="67"/>
  </r>
  <r>
    <s v="S2121"/>
    <x v="1121"/>
    <x v="7"/>
    <x v="2"/>
    <d v="2023-11-15T00:00:00"/>
    <x v="1"/>
    <n v="2593"/>
    <x v="1061"/>
    <n v="2.4"/>
    <n v="25"/>
  </r>
  <r>
    <s v="S2122"/>
    <x v="1122"/>
    <x v="1"/>
    <x v="3"/>
    <d v="2023-10-23T00:00:00"/>
    <x v="0"/>
    <n v="4320"/>
    <x v="1062"/>
    <n v="4"/>
    <n v="67"/>
  </r>
  <r>
    <s v="S2123"/>
    <x v="1123"/>
    <x v="1"/>
    <x v="0"/>
    <d v="2022-08-06T00:00:00"/>
    <x v="1"/>
    <n v="5074"/>
    <x v="511"/>
    <n v="3.89"/>
    <n v="10"/>
  </r>
  <r>
    <s v="S2124"/>
    <x v="1124"/>
    <x v="1"/>
    <x v="3"/>
    <d v="2023-07-31T00:00:00"/>
    <x v="0"/>
    <n v="10173"/>
    <x v="8"/>
    <n v="2.9"/>
    <n v="3"/>
  </r>
  <r>
    <s v="S2125"/>
    <x v="1125"/>
    <x v="4"/>
    <x v="0"/>
    <d v="2022-05-03T00:00:00"/>
    <x v="1"/>
    <n v="12039"/>
    <x v="1063"/>
    <n v="2.93"/>
    <n v="4"/>
  </r>
  <r>
    <s v="S2126"/>
    <x v="1126"/>
    <x v="7"/>
    <x v="2"/>
    <d v="2023-09-03T00:00:00"/>
    <x v="0"/>
    <n v="9593"/>
    <x v="1064"/>
    <n v="3.75"/>
    <n v="117"/>
  </r>
  <r>
    <s v="S2127"/>
    <x v="1127"/>
    <x v="7"/>
    <x v="2"/>
    <d v="2022-09-12T00:00:00"/>
    <x v="0"/>
    <n v="12305"/>
    <x v="1065"/>
    <n v="3.38"/>
    <n v="40"/>
  </r>
  <r>
    <s v="S2128"/>
    <x v="1128"/>
    <x v="1"/>
    <x v="3"/>
    <d v="2023-09-27T00:00:00"/>
    <x v="0"/>
    <n v="10591"/>
    <x v="1066"/>
    <n v="3.69"/>
    <n v="106"/>
  </r>
  <r>
    <s v="S2129"/>
    <x v="1129"/>
    <x v="5"/>
    <x v="3"/>
    <d v="2023-09-30T00:00:00"/>
    <x v="0"/>
    <n v="7321"/>
    <x v="1067"/>
    <n v="3.52"/>
    <n v="33"/>
  </r>
  <r>
    <s v="S2130"/>
    <x v="1130"/>
    <x v="1"/>
    <x v="2"/>
    <d v="2023-11-04T00:00:00"/>
    <x v="0"/>
    <n v="7742"/>
    <x v="1068"/>
    <n v="3.42"/>
    <n v="60"/>
  </r>
  <r>
    <s v="S2131"/>
    <x v="1131"/>
    <x v="3"/>
    <x v="2"/>
    <d v="2024-03-20T00:00:00"/>
    <x v="0"/>
    <n v="11854"/>
    <x v="1069"/>
    <n v="3.76"/>
    <n v="1"/>
  </r>
  <r>
    <s v="S2132"/>
    <x v="1132"/>
    <x v="3"/>
    <x v="3"/>
    <d v="2023-02-25T00:00:00"/>
    <x v="2"/>
    <n v="3324"/>
    <x v="1070"/>
    <n v="3.97"/>
    <n v="54"/>
  </r>
  <r>
    <s v="S2133"/>
    <x v="1133"/>
    <x v="1"/>
    <x v="3"/>
    <d v="2024-03-30T00:00:00"/>
    <x v="0"/>
    <n v="6655"/>
    <x v="1071"/>
    <n v="3.86"/>
    <n v="82"/>
  </r>
  <r>
    <s v="S2134"/>
    <x v="1134"/>
    <x v="5"/>
    <x v="0"/>
    <d v="2022-01-10T00:00:00"/>
    <x v="0"/>
    <n v="6724"/>
    <x v="1072"/>
    <n v="3.56"/>
    <n v="9"/>
  </r>
  <r>
    <s v="S2135"/>
    <x v="1135"/>
    <x v="7"/>
    <x v="3"/>
    <d v="2024-02-01T00:00:00"/>
    <x v="1"/>
    <n v="7277"/>
    <x v="1073"/>
    <n v="3.04"/>
    <n v="0"/>
  </r>
  <r>
    <s v="S2136"/>
    <x v="1136"/>
    <x v="3"/>
    <x v="2"/>
    <d v="2022-03-17T00:00:00"/>
    <x v="0"/>
    <n v="10295"/>
    <x v="1074"/>
    <n v="2.93"/>
    <n v="80"/>
  </r>
  <r>
    <s v="S2137"/>
    <x v="1137"/>
    <x v="2"/>
    <x v="2"/>
    <d v="2022-02-08T00:00:00"/>
    <x v="0"/>
    <n v="14993"/>
    <x v="1075"/>
    <n v="2.61"/>
    <n v="47"/>
  </r>
  <r>
    <s v="S2138"/>
    <x v="1138"/>
    <x v="1"/>
    <x v="3"/>
    <d v="2023-12-24T00:00:00"/>
    <x v="0"/>
    <n v="4493"/>
    <x v="1076"/>
    <n v="2.69"/>
    <n v="99"/>
  </r>
  <r>
    <s v="S2139"/>
    <x v="1139"/>
    <x v="0"/>
    <x v="2"/>
    <d v="2023-03-25T00:00:00"/>
    <x v="0"/>
    <n v="6908"/>
    <x v="1077"/>
    <n v="3.41"/>
    <n v="65"/>
  </r>
  <r>
    <s v="S2140"/>
    <x v="1140"/>
    <x v="7"/>
    <x v="2"/>
    <d v="2022-06-15T00:00:00"/>
    <x v="0"/>
    <n v="13292"/>
    <x v="1078"/>
    <n v="3.54"/>
    <n v="72"/>
  </r>
  <r>
    <s v="S2141"/>
    <x v="1141"/>
    <x v="6"/>
    <x v="2"/>
    <d v="2024-03-12T00:00:00"/>
    <x v="0"/>
    <n v="14486"/>
    <x v="1079"/>
    <n v="3.31"/>
    <n v="97"/>
  </r>
  <r>
    <s v="S2142"/>
    <x v="1142"/>
    <x v="3"/>
    <x v="1"/>
    <d v="2024-05-29T00:00:00"/>
    <x v="1"/>
    <n v="9401"/>
    <x v="1080"/>
    <n v="3.79"/>
    <n v="99"/>
  </r>
  <r>
    <s v="S2143"/>
    <x v="1143"/>
    <x v="3"/>
    <x v="0"/>
    <d v="2024-02-13T00:00:00"/>
    <x v="0"/>
    <n v="9412"/>
    <x v="1081"/>
    <n v="2.4900000000000002"/>
    <n v="57"/>
  </r>
  <r>
    <s v="S2144"/>
    <x v="1144"/>
    <x v="6"/>
    <x v="0"/>
    <d v="2023-12-11T00:00:00"/>
    <x v="0"/>
    <n v="4940"/>
    <x v="1082"/>
    <n v="3.66"/>
    <n v="59"/>
  </r>
  <r>
    <s v="S2145"/>
    <x v="1145"/>
    <x v="1"/>
    <x v="3"/>
    <d v="2024-05-04T00:00:00"/>
    <x v="1"/>
    <n v="2258"/>
    <x v="1083"/>
    <n v="3.71"/>
    <n v="37"/>
  </r>
  <r>
    <s v="S2146"/>
    <x v="1146"/>
    <x v="6"/>
    <x v="3"/>
    <d v="2023-06-28T00:00:00"/>
    <x v="0"/>
    <n v="12187"/>
    <x v="1084"/>
    <n v="3.49"/>
    <n v="74"/>
  </r>
  <r>
    <s v="S2147"/>
    <x v="1147"/>
    <x v="7"/>
    <x v="2"/>
    <d v="2022-10-21T00:00:00"/>
    <x v="0"/>
    <n v="11200"/>
    <x v="1085"/>
    <n v="2.75"/>
    <n v="13"/>
  </r>
  <r>
    <s v="S2148"/>
    <x v="1148"/>
    <x v="3"/>
    <x v="1"/>
    <d v="2022-12-14T00:00:00"/>
    <x v="0"/>
    <n v="3576"/>
    <x v="1086"/>
    <n v="2.0699999999999998"/>
    <n v="18"/>
  </r>
  <r>
    <s v="S2149"/>
    <x v="1149"/>
    <x v="2"/>
    <x v="2"/>
    <d v="2023-11-20T00:00:00"/>
    <x v="0"/>
    <n v="6142"/>
    <x v="1087"/>
    <n v="2.72"/>
    <n v="82"/>
  </r>
  <r>
    <s v="S2150"/>
    <x v="1150"/>
    <x v="4"/>
    <x v="1"/>
    <d v="2023-05-08T00:00:00"/>
    <x v="0"/>
    <n v="11980"/>
    <x v="1088"/>
    <n v="2.04"/>
    <n v="84"/>
  </r>
  <r>
    <s v="S2151"/>
    <x v="1151"/>
    <x v="3"/>
    <x v="1"/>
    <d v="2024-06-18T00:00:00"/>
    <x v="0"/>
    <n v="7486"/>
    <x v="388"/>
    <n v="2.86"/>
    <n v="104"/>
  </r>
  <r>
    <s v="S2152"/>
    <x v="1152"/>
    <x v="6"/>
    <x v="0"/>
    <d v="2023-11-03T00:00:00"/>
    <x v="0"/>
    <n v="5997"/>
    <x v="1089"/>
    <n v="2.66"/>
    <n v="49"/>
  </r>
  <r>
    <s v="S2153"/>
    <x v="1153"/>
    <x v="6"/>
    <x v="2"/>
    <d v="2022-02-17T00:00:00"/>
    <x v="1"/>
    <n v="10841"/>
    <x v="179"/>
    <n v="2.39"/>
    <n v="68"/>
  </r>
  <r>
    <s v="S2154"/>
    <x v="1154"/>
    <x v="3"/>
    <x v="3"/>
    <d v="2023-09-07T00:00:00"/>
    <x v="0"/>
    <n v="3841"/>
    <x v="1090"/>
    <n v="2.38"/>
    <n v="53"/>
  </r>
  <r>
    <s v="S2155"/>
    <x v="1155"/>
    <x v="0"/>
    <x v="3"/>
    <d v="2024-06-12T00:00:00"/>
    <x v="0"/>
    <n v="13164"/>
    <x v="1091"/>
    <n v="3.08"/>
    <n v="62"/>
  </r>
  <r>
    <s v="S2156"/>
    <x v="1156"/>
    <x v="2"/>
    <x v="0"/>
    <d v="2023-02-26T00:00:00"/>
    <x v="2"/>
    <n v="5796"/>
    <x v="1092"/>
    <n v="3.81"/>
    <n v="68"/>
  </r>
  <r>
    <s v="S2157"/>
    <x v="1157"/>
    <x v="2"/>
    <x v="2"/>
    <d v="2022-06-22T00:00:00"/>
    <x v="0"/>
    <n v="9635"/>
    <x v="1082"/>
    <n v="2.99"/>
    <n v="33"/>
  </r>
  <r>
    <s v="S2158"/>
    <x v="1158"/>
    <x v="1"/>
    <x v="0"/>
    <d v="2024-02-21T00:00:00"/>
    <x v="0"/>
    <n v="2086"/>
    <x v="1093"/>
    <n v="2.17"/>
    <n v="27"/>
  </r>
  <r>
    <s v="S2159"/>
    <x v="1159"/>
    <x v="2"/>
    <x v="2"/>
    <d v="2022-11-01T00:00:00"/>
    <x v="0"/>
    <n v="8164"/>
    <x v="1094"/>
    <n v="3.24"/>
    <n v="114"/>
  </r>
  <r>
    <s v="S2160"/>
    <x v="1160"/>
    <x v="4"/>
    <x v="1"/>
    <d v="2024-06-03T00:00:00"/>
    <x v="1"/>
    <n v="8694"/>
    <x v="1090"/>
    <n v="3.36"/>
    <n v="28"/>
  </r>
  <r>
    <s v="S2161"/>
    <x v="1161"/>
    <x v="1"/>
    <x v="0"/>
    <d v="2023-07-01T00:00:00"/>
    <x v="2"/>
    <n v="2766"/>
    <x v="1095"/>
    <n v="2.29"/>
    <n v="38"/>
  </r>
  <r>
    <s v="S2162"/>
    <x v="1162"/>
    <x v="7"/>
    <x v="1"/>
    <d v="2022-09-13T00:00:00"/>
    <x v="0"/>
    <n v="8228"/>
    <x v="1096"/>
    <n v="2.2000000000000002"/>
    <n v="113"/>
  </r>
  <r>
    <s v="S2163"/>
    <x v="1163"/>
    <x v="1"/>
    <x v="2"/>
    <d v="2023-01-20T00:00:00"/>
    <x v="0"/>
    <n v="6310"/>
    <x v="1097"/>
    <n v="3.37"/>
    <n v="82"/>
  </r>
  <r>
    <s v="S2164"/>
    <x v="1164"/>
    <x v="2"/>
    <x v="0"/>
    <d v="2022-06-18T00:00:00"/>
    <x v="1"/>
    <n v="7845"/>
    <x v="1098"/>
    <n v="3.54"/>
    <n v="22"/>
  </r>
  <r>
    <s v="S2165"/>
    <x v="1165"/>
    <x v="0"/>
    <x v="0"/>
    <d v="2022-08-27T00:00:00"/>
    <x v="0"/>
    <n v="9700"/>
    <x v="1099"/>
    <n v="3.74"/>
    <n v="61"/>
  </r>
  <r>
    <s v="S2166"/>
    <x v="1166"/>
    <x v="5"/>
    <x v="2"/>
    <d v="2024-05-26T00:00:00"/>
    <x v="0"/>
    <n v="6402"/>
    <x v="1100"/>
    <n v="2.7"/>
    <n v="24"/>
  </r>
  <r>
    <s v="S2167"/>
    <x v="1167"/>
    <x v="7"/>
    <x v="2"/>
    <d v="2023-08-05T00:00:00"/>
    <x v="0"/>
    <n v="9573"/>
    <x v="1101"/>
    <n v="3.03"/>
    <n v="20"/>
  </r>
  <r>
    <s v="S2168"/>
    <x v="1168"/>
    <x v="4"/>
    <x v="0"/>
    <d v="2023-01-19T00:00:00"/>
    <x v="1"/>
    <n v="7706"/>
    <x v="471"/>
    <n v="3.18"/>
    <n v="59"/>
  </r>
  <r>
    <s v="S2169"/>
    <x v="1169"/>
    <x v="0"/>
    <x v="2"/>
    <d v="2022-07-02T00:00:00"/>
    <x v="0"/>
    <n v="12608"/>
    <x v="1102"/>
    <n v="2.16"/>
    <n v="69"/>
  </r>
  <r>
    <s v="S2170"/>
    <x v="1170"/>
    <x v="3"/>
    <x v="3"/>
    <d v="2024-05-23T00:00:00"/>
    <x v="1"/>
    <n v="8446"/>
    <x v="1103"/>
    <n v="2.5099999999999998"/>
    <n v="20"/>
  </r>
  <r>
    <s v="S2171"/>
    <x v="1171"/>
    <x v="4"/>
    <x v="1"/>
    <d v="2024-03-12T00:00:00"/>
    <x v="0"/>
    <n v="2545"/>
    <x v="1104"/>
    <n v="3.37"/>
    <n v="92"/>
  </r>
  <r>
    <s v="S2172"/>
    <x v="1172"/>
    <x v="4"/>
    <x v="3"/>
    <d v="2022-06-11T00:00:00"/>
    <x v="0"/>
    <n v="8550"/>
    <x v="1105"/>
    <n v="3.71"/>
    <n v="96"/>
  </r>
  <r>
    <s v="S2173"/>
    <x v="1173"/>
    <x v="0"/>
    <x v="1"/>
    <d v="2023-08-25T00:00:00"/>
    <x v="0"/>
    <n v="12524"/>
    <x v="1106"/>
    <n v="2.37"/>
    <n v="83"/>
  </r>
  <r>
    <s v="S2174"/>
    <x v="1174"/>
    <x v="5"/>
    <x v="2"/>
    <d v="2022-07-30T00:00:00"/>
    <x v="1"/>
    <n v="10890"/>
    <x v="1107"/>
    <n v="3.4"/>
    <n v="5"/>
  </r>
  <r>
    <s v="S2175"/>
    <x v="1175"/>
    <x v="6"/>
    <x v="3"/>
    <d v="2022-05-16T00:00:00"/>
    <x v="0"/>
    <n v="2192"/>
    <x v="894"/>
    <n v="2.78"/>
    <n v="40"/>
  </r>
  <r>
    <s v="S2176"/>
    <x v="1176"/>
    <x v="7"/>
    <x v="0"/>
    <d v="2024-05-17T00:00:00"/>
    <x v="0"/>
    <n v="5414"/>
    <x v="1108"/>
    <n v="2.96"/>
    <n v="85"/>
  </r>
  <r>
    <s v="S2177"/>
    <x v="1177"/>
    <x v="4"/>
    <x v="0"/>
    <d v="2023-01-28T00:00:00"/>
    <x v="0"/>
    <n v="14445"/>
    <x v="1109"/>
    <n v="2.42"/>
    <n v="115"/>
  </r>
  <r>
    <s v="S2178"/>
    <x v="1178"/>
    <x v="4"/>
    <x v="1"/>
    <d v="2022-09-03T00:00:00"/>
    <x v="1"/>
    <n v="6203"/>
    <x v="1110"/>
    <n v="3.19"/>
    <n v="8"/>
  </r>
  <r>
    <s v="S2179"/>
    <x v="1179"/>
    <x v="7"/>
    <x v="2"/>
    <d v="2023-01-01T00:00:00"/>
    <x v="1"/>
    <n v="2102"/>
    <x v="1111"/>
    <n v="2.87"/>
    <n v="65"/>
  </r>
  <r>
    <s v="S2180"/>
    <x v="1180"/>
    <x v="7"/>
    <x v="2"/>
    <d v="2022-06-30T00:00:00"/>
    <x v="0"/>
    <n v="11324"/>
    <x v="1112"/>
    <n v="2.94"/>
    <n v="86"/>
  </r>
  <r>
    <s v="S2181"/>
    <x v="1181"/>
    <x v="1"/>
    <x v="0"/>
    <d v="2022-06-11T00:00:00"/>
    <x v="0"/>
    <n v="5209"/>
    <x v="1113"/>
    <n v="3.47"/>
    <n v="60"/>
  </r>
  <r>
    <s v="S2182"/>
    <x v="1182"/>
    <x v="1"/>
    <x v="3"/>
    <d v="2023-03-06T00:00:00"/>
    <x v="0"/>
    <n v="6599"/>
    <x v="1114"/>
    <n v="2.14"/>
    <n v="108"/>
  </r>
  <r>
    <s v="S2183"/>
    <x v="1183"/>
    <x v="6"/>
    <x v="0"/>
    <d v="2023-08-13T00:00:00"/>
    <x v="1"/>
    <n v="4959"/>
    <x v="1115"/>
    <n v="3.05"/>
    <n v="96"/>
  </r>
  <r>
    <s v="S2184"/>
    <x v="1184"/>
    <x v="1"/>
    <x v="3"/>
    <d v="2024-05-04T00:00:00"/>
    <x v="0"/>
    <n v="8084"/>
    <x v="1116"/>
    <n v="3.26"/>
    <n v="115"/>
  </r>
  <r>
    <s v="S2185"/>
    <x v="1185"/>
    <x v="0"/>
    <x v="0"/>
    <d v="2022-03-06T00:00:00"/>
    <x v="1"/>
    <n v="4306"/>
    <x v="1117"/>
    <n v="2"/>
    <n v="60"/>
  </r>
  <r>
    <s v="S2186"/>
    <x v="1186"/>
    <x v="2"/>
    <x v="2"/>
    <d v="2022-04-27T00:00:00"/>
    <x v="2"/>
    <n v="6691"/>
    <x v="1073"/>
    <n v="3.21"/>
    <n v="87"/>
  </r>
  <r>
    <s v="S2187"/>
    <x v="1187"/>
    <x v="2"/>
    <x v="1"/>
    <d v="2023-01-02T00:00:00"/>
    <x v="1"/>
    <n v="7712"/>
    <x v="337"/>
    <n v="3.48"/>
    <n v="115"/>
  </r>
  <r>
    <s v="S2188"/>
    <x v="1188"/>
    <x v="4"/>
    <x v="1"/>
    <d v="2022-07-15T00:00:00"/>
    <x v="2"/>
    <n v="7597"/>
    <x v="1118"/>
    <n v="3.9"/>
    <n v="65"/>
  </r>
  <r>
    <s v="S2189"/>
    <x v="1189"/>
    <x v="0"/>
    <x v="0"/>
    <d v="2023-07-26T00:00:00"/>
    <x v="1"/>
    <n v="9288"/>
    <x v="1119"/>
    <n v="3.65"/>
    <n v="55"/>
  </r>
  <r>
    <s v="S2190"/>
    <x v="1190"/>
    <x v="6"/>
    <x v="3"/>
    <d v="2024-04-15T00:00:00"/>
    <x v="0"/>
    <n v="3940"/>
    <x v="1120"/>
    <n v="3.42"/>
    <n v="12"/>
  </r>
  <r>
    <s v="S2191"/>
    <x v="1191"/>
    <x v="0"/>
    <x v="2"/>
    <d v="2023-01-23T00:00:00"/>
    <x v="0"/>
    <n v="10498"/>
    <x v="1121"/>
    <n v="3.76"/>
    <n v="94"/>
  </r>
  <r>
    <s v="S2192"/>
    <x v="1192"/>
    <x v="2"/>
    <x v="1"/>
    <d v="2024-01-18T00:00:00"/>
    <x v="1"/>
    <n v="9664"/>
    <x v="1122"/>
    <n v="2.8"/>
    <n v="52"/>
  </r>
  <r>
    <s v="S2193"/>
    <x v="1193"/>
    <x v="7"/>
    <x v="2"/>
    <d v="2023-06-12T00:00:00"/>
    <x v="1"/>
    <n v="13106"/>
    <x v="1123"/>
    <n v="2.5299999999999998"/>
    <n v="61"/>
  </r>
  <r>
    <s v="S2194"/>
    <x v="1194"/>
    <x v="6"/>
    <x v="1"/>
    <d v="2023-02-11T00:00:00"/>
    <x v="1"/>
    <n v="9730"/>
    <x v="1124"/>
    <n v="3.13"/>
    <n v="73"/>
  </r>
  <r>
    <s v="S2195"/>
    <x v="1195"/>
    <x v="5"/>
    <x v="1"/>
    <d v="2023-10-12T00:00:00"/>
    <x v="0"/>
    <n v="8764"/>
    <x v="1125"/>
    <n v="3.72"/>
    <n v="100"/>
  </r>
  <r>
    <s v="S2196"/>
    <x v="1196"/>
    <x v="3"/>
    <x v="1"/>
    <d v="2023-11-30T00:00:00"/>
    <x v="2"/>
    <n v="11719"/>
    <x v="1126"/>
    <n v="2.4500000000000002"/>
    <n v="60"/>
  </r>
  <r>
    <s v="S2197"/>
    <x v="1197"/>
    <x v="0"/>
    <x v="1"/>
    <d v="2022-09-12T00:00:00"/>
    <x v="0"/>
    <n v="14745"/>
    <x v="1127"/>
    <n v="2.2999999999999998"/>
    <n v="106"/>
  </r>
  <r>
    <s v="S2198"/>
    <x v="1198"/>
    <x v="0"/>
    <x v="1"/>
    <d v="2023-09-08T00:00:00"/>
    <x v="0"/>
    <n v="9290"/>
    <x v="162"/>
    <n v="3.08"/>
    <n v="65"/>
  </r>
  <r>
    <s v="S2199"/>
    <x v="1199"/>
    <x v="3"/>
    <x v="3"/>
    <d v="2024-01-31T00:00:00"/>
    <x v="1"/>
    <n v="2623"/>
    <x v="1128"/>
    <n v="2.14"/>
    <n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DF0A7-C712-4626-A4EC-9640C0E04D4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66"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 numFmtId="2"/>
  </dataFields>
  <formats count="2">
    <format dxfId="26">
      <pivotArea outline="0" collapsedLevelsAreSubtotals="1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E6A3F-AA1E-43E8-9CD6-8B7FE7C5C3D9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16" firstHeaderRow="0" firstDataRow="1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200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129">
        <item x="456"/>
        <item x="824"/>
        <item x="876"/>
        <item x="691"/>
        <item x="354"/>
        <item x="649"/>
        <item x="623"/>
        <item x="612"/>
        <item x="580"/>
        <item x="701"/>
        <item x="752"/>
        <item x="633"/>
        <item x="682"/>
        <item x="848"/>
        <item x="954"/>
        <item x="1107"/>
        <item x="805"/>
        <item x="218"/>
        <item x="861"/>
        <item x="618"/>
        <item x="778"/>
        <item x="284"/>
        <item x="647"/>
        <item x="679"/>
        <item x="936"/>
        <item x="222"/>
        <item x="1085"/>
        <item x="473"/>
        <item x="719"/>
        <item x="266"/>
        <item x="923"/>
        <item x="1017"/>
        <item x="478"/>
        <item x="710"/>
        <item x="811"/>
        <item x="900"/>
        <item x="139"/>
        <item x="299"/>
        <item x="465"/>
        <item x="340"/>
        <item x="814"/>
        <item x="728"/>
        <item x="532"/>
        <item x="221"/>
        <item x="796"/>
        <item x="999"/>
        <item x="940"/>
        <item x="107"/>
        <item x="148"/>
        <item x="510"/>
        <item x="1113"/>
        <item x="1016"/>
        <item x="751"/>
        <item x="313"/>
        <item x="140"/>
        <item x="793"/>
        <item x="151"/>
        <item x="629"/>
        <item x="854"/>
        <item x="1039"/>
        <item x="161"/>
        <item x="892"/>
        <item x="1111"/>
        <item x="279"/>
        <item x="91"/>
        <item x="991"/>
        <item x="325"/>
        <item x="573"/>
        <item x="926"/>
        <item x="75"/>
        <item x="566"/>
        <item x="59"/>
        <item x="550"/>
        <item x="539"/>
        <item x="353"/>
        <item x="227"/>
        <item x="704"/>
        <item x="402"/>
        <item x="607"/>
        <item x="527"/>
        <item x="844"/>
        <item x="988"/>
        <item x="960"/>
        <item x="525"/>
        <item x="870"/>
        <item x="879"/>
        <item x="97"/>
        <item x="352"/>
        <item x="367"/>
        <item x="135"/>
        <item x="405"/>
        <item x="692"/>
        <item x="850"/>
        <item x="62"/>
        <item x="927"/>
        <item x="839"/>
        <item x="1021"/>
        <item x="309"/>
        <item x="26"/>
        <item x="102"/>
        <item x="212"/>
        <item x="756"/>
        <item x="985"/>
        <item x="982"/>
        <item x="657"/>
        <item x="35"/>
        <item x="873"/>
        <item x="137"/>
        <item x="1006"/>
        <item x="823"/>
        <item x="232"/>
        <item x="111"/>
        <item x="653"/>
        <item x="0"/>
        <item x="514"/>
        <item x="484"/>
        <item x="477"/>
        <item x="551"/>
        <item x="599"/>
        <item x="659"/>
        <item x="711"/>
        <item x="961"/>
        <item x="230"/>
        <item x="748"/>
        <item x="896"/>
        <item x="386"/>
        <item x="239"/>
        <item x="88"/>
        <item x="1047"/>
        <item x="1002"/>
        <item x="722"/>
        <item x="136"/>
        <item x="669"/>
        <item x="706"/>
        <item x="843"/>
        <item x="700"/>
        <item x="319"/>
        <item x="1069"/>
        <item x="65"/>
        <item x="795"/>
        <item x="628"/>
        <item x="1102"/>
        <item x="260"/>
        <item x="907"/>
        <item x="326"/>
        <item x="115"/>
        <item x="780"/>
        <item x="803"/>
        <item x="664"/>
        <item x="49"/>
        <item x="286"/>
        <item x="890"/>
        <item x="146"/>
        <item x="383"/>
        <item x="744"/>
        <item x="451"/>
        <item x="656"/>
        <item x="15"/>
        <item x="1043"/>
        <item x="807"/>
        <item x="1040"/>
        <item x="769"/>
        <item x="924"/>
        <item x="951"/>
        <item x="479"/>
        <item x="311"/>
        <item x="252"/>
        <item x="206"/>
        <item x="470"/>
        <item x="464"/>
        <item x="636"/>
        <item x="257"/>
        <item x="853"/>
        <item x="578"/>
        <item x="560"/>
        <item x="497"/>
        <item x="256"/>
        <item x="123"/>
        <item x="538"/>
        <item x="259"/>
        <item x="998"/>
        <item x="1078"/>
        <item x="827"/>
        <item x="82"/>
        <item x="323"/>
        <item x="1086"/>
        <item x="784"/>
        <item x="207"/>
        <item x="359"/>
        <item x="203"/>
        <item x="981"/>
        <item x="666"/>
        <item x="708"/>
        <item x="1094"/>
        <item x="1087"/>
        <item x="956"/>
        <item x="916"/>
        <item x="663"/>
        <item x="301"/>
        <item x="414"/>
        <item x="500"/>
        <item x="192"/>
        <item x="726"/>
        <item x="1052"/>
        <item x="613"/>
        <item x="254"/>
        <item x="172"/>
        <item x="1072"/>
        <item x="562"/>
        <item x="245"/>
        <item x="485"/>
        <item x="343"/>
        <item x="187"/>
        <item x="181"/>
        <item x="917"/>
        <item x="87"/>
        <item x="878"/>
        <item x="224"/>
        <item x="487"/>
        <item x="776"/>
        <item x="382"/>
        <item x="621"/>
        <item x="32"/>
        <item x="593"/>
        <item x="1024"/>
        <item x="736"/>
        <item x="596"/>
        <item x="12"/>
        <item x="794"/>
        <item x="51"/>
        <item x="546"/>
        <item x="577"/>
        <item x="335"/>
        <item x="17"/>
        <item x="375"/>
        <item x="120"/>
        <item x="162"/>
        <item x="396"/>
        <item x="943"/>
        <item x="190"/>
        <item x="264"/>
        <item x="1023"/>
        <item x="631"/>
        <item x="312"/>
        <item x="587"/>
        <item x="630"/>
        <item x="503"/>
        <item x="859"/>
        <item x="320"/>
        <item x="987"/>
        <item x="490"/>
        <item x="617"/>
        <item x="1083"/>
        <item x="898"/>
        <item x="243"/>
        <item x="380"/>
        <item x="278"/>
        <item x="1031"/>
        <item x="8"/>
        <item x="804"/>
        <item x="904"/>
        <item x="443"/>
        <item x="191"/>
        <item x="304"/>
        <item x="555"/>
        <item x="10"/>
        <item x="995"/>
        <item x="1096"/>
        <item x="572"/>
        <item x="1046"/>
        <item x="361"/>
        <item x="702"/>
        <item x="185"/>
        <item x="268"/>
        <item x="435"/>
        <item x="615"/>
        <item x="533"/>
        <item x="255"/>
        <item x="775"/>
        <item x="289"/>
        <item x="694"/>
        <item x="1004"/>
        <item x="906"/>
        <item x="955"/>
        <item x="604"/>
        <item x="819"/>
        <item x="1103"/>
        <item x="333"/>
        <item x="1067"/>
        <item x="108"/>
        <item x="922"/>
        <item x="444"/>
        <item x="526"/>
        <item x="754"/>
        <item x="428"/>
        <item x="725"/>
        <item x="765"/>
        <item x="1026"/>
        <item x="400"/>
        <item x="933"/>
        <item x="433"/>
        <item x="772"/>
        <item x="697"/>
        <item x="95"/>
        <item x="389"/>
        <item x="93"/>
        <item x="962"/>
        <item x="180"/>
        <item x="455"/>
        <item x="997"/>
        <item x="9"/>
        <item x="860"/>
        <item x="357"/>
        <item x="61"/>
        <item x="27"/>
        <item x="376"/>
        <item x="466"/>
        <item x="410"/>
        <item x="582"/>
        <item x="5"/>
        <item x="594"/>
        <item x="1063"/>
        <item x="837"/>
        <item x="741"/>
        <item x="420"/>
        <item x="189"/>
        <item x="759"/>
        <item x="502"/>
        <item x="130"/>
        <item x="460"/>
        <item x="889"/>
        <item x="978"/>
        <item x="627"/>
        <item x="858"/>
        <item x="517"/>
        <item x="1061"/>
        <item x="1117"/>
        <item x="544"/>
        <item x="153"/>
        <item x="641"/>
        <item x="106"/>
        <item x="732"/>
        <item x="774"/>
        <item x="156"/>
        <item x="717"/>
        <item x="355"/>
        <item x="6"/>
        <item x="531"/>
        <item x="458"/>
        <item x="1082"/>
        <item x="399"/>
        <item x="84"/>
        <item x="953"/>
        <item x="980"/>
        <item x="785"/>
        <item x="644"/>
        <item x="576"/>
        <item x="200"/>
        <item x="424"/>
        <item x="199"/>
        <item x="865"/>
        <item x="884"/>
        <item x="616"/>
        <item x="462"/>
        <item x="696"/>
        <item x="302"/>
        <item x="511"/>
        <item x="33"/>
        <item x="3"/>
        <item x="971"/>
        <item x="198"/>
        <item x="934"/>
        <item x="1028"/>
        <item x="740"/>
        <item x="150"/>
        <item x="395"/>
        <item x="194"/>
        <item x="342"/>
        <item x="821"/>
        <item x="868"/>
        <item x="71"/>
        <item x="1050"/>
        <item x="777"/>
        <item x="60"/>
        <item x="673"/>
        <item x="145"/>
        <item x="509"/>
        <item x="2"/>
        <item x="486"/>
        <item x="973"/>
        <item x="1064"/>
        <item x="505"/>
        <item x="932"/>
        <item x="440"/>
        <item x="449"/>
        <item x="322"/>
        <item x="976"/>
        <item x="822"/>
        <item x="508"/>
        <item x="70"/>
        <item x="316"/>
        <item x="1015"/>
        <item x="761"/>
        <item x="910"/>
        <item x="1075"/>
        <item x="339"/>
        <item x="331"/>
        <item x="407"/>
        <item x="886"/>
        <item x="567"/>
        <item x="620"/>
        <item x="1068"/>
        <item x="50"/>
        <item x="825"/>
        <item x="1095"/>
        <item x="179"/>
        <item x="494"/>
        <item x="204"/>
        <item x="86"/>
        <item x="291"/>
        <item x="143"/>
        <item x="737"/>
        <item x="338"/>
        <item x="314"/>
        <item x="986"/>
        <item x="446"/>
        <item x="652"/>
        <item x="518"/>
        <item x="729"/>
        <item x="773"/>
        <item x="90"/>
        <item x="160"/>
        <item x="800"/>
        <item x="238"/>
        <item x="799"/>
        <item x="1007"/>
        <item x="1058"/>
        <item x="184"/>
        <item x="605"/>
        <item x="545"/>
        <item x="1121"/>
        <item x="168"/>
        <item x="240"/>
        <item x="495"/>
        <item x="929"/>
        <item x="1112"/>
        <item x="165"/>
        <item x="909"/>
        <item x="305"/>
        <item x="261"/>
        <item x="672"/>
        <item x="152"/>
        <item x="1079"/>
        <item x="411"/>
        <item x="1049"/>
        <item x="124"/>
        <item x="992"/>
        <item x="869"/>
        <item x="178"/>
        <item x="746"/>
        <item x="205"/>
        <item x="902"/>
        <item x="959"/>
        <item x="654"/>
        <item x="670"/>
        <item x="392"/>
        <item x="283"/>
        <item x="193"/>
        <item x="521"/>
        <item x="94"/>
        <item x="662"/>
        <item x="1077"/>
        <item x="404"/>
        <item x="771"/>
        <item x="171"/>
        <item x="40"/>
        <item x="426"/>
        <item x="880"/>
        <item x="332"/>
        <item x="14"/>
        <item x="1090"/>
        <item x="280"/>
        <item x="1065"/>
        <item x="228"/>
        <item x="1060"/>
        <item x="475"/>
        <item x="767"/>
        <item x="324"/>
        <item x="369"/>
        <item x="4"/>
        <item x="642"/>
        <item x="427"/>
        <item x="738"/>
        <item x="632"/>
        <item x="89"/>
        <item x="718"/>
        <item x="434"/>
        <item x="39"/>
        <item x="72"/>
        <item x="925"/>
        <item x="941"/>
        <item x="53"/>
        <item x="96"/>
        <item x="121"/>
        <item x="591"/>
        <item x="768"/>
        <item x="758"/>
        <item x="1110"/>
        <item x="231"/>
        <item x="1057"/>
        <item x="851"/>
        <item x="520"/>
        <item x="298"/>
        <item x="103"/>
        <item x="270"/>
        <item x="36"/>
        <item x="175"/>
        <item x="552"/>
        <item x="553"/>
        <item x="676"/>
        <item x="390"/>
        <item x="57"/>
        <item x="1091"/>
        <item x="543"/>
        <item x="608"/>
        <item x="419"/>
        <item x="276"/>
        <item x="214"/>
        <item x="421"/>
        <item x="742"/>
        <item x="412"/>
        <item x="903"/>
        <item x="950"/>
        <item x="930"/>
        <item x="1120"/>
        <item x="1"/>
        <item x="749"/>
        <item x="417"/>
        <item x="248"/>
        <item x="1074"/>
        <item x="667"/>
        <item x="109"/>
        <item x="1041"/>
        <item x="602"/>
        <item x="1105"/>
        <item x="1009"/>
        <item x="282"/>
        <item x="294"/>
        <item x="1124"/>
        <item x="237"/>
        <item x="281"/>
        <item x="715"/>
        <item x="714"/>
        <item x="1053"/>
        <item x="459"/>
        <item x="730"/>
        <item x="542"/>
        <item x="540"/>
        <item x="488"/>
        <item x="418"/>
        <item x="262"/>
        <item x="665"/>
        <item x="20"/>
        <item x="589"/>
        <item x="307"/>
        <item x="142"/>
        <item x="724"/>
        <item x="431"/>
        <item x="881"/>
        <item x="516"/>
        <item x="372"/>
        <item x="688"/>
        <item x="125"/>
        <item x="133"/>
        <item x="686"/>
        <item x="76"/>
        <item x="584"/>
        <item x="812"/>
        <item x="958"/>
        <item x="651"/>
        <item x="789"/>
        <item x="723"/>
        <item x="716"/>
        <item x="893"/>
        <item x="734"/>
        <item x="606"/>
        <item x="127"/>
        <item x="763"/>
        <item x="841"/>
        <item x="1127"/>
        <item x="437"/>
        <item x="586"/>
        <item x="211"/>
        <item x="438"/>
        <item x="557"/>
        <item x="226"/>
        <item x="905"/>
        <item x="512"/>
        <item x="68"/>
        <item x="797"/>
        <item x="513"/>
        <item x="1062"/>
        <item x="536"/>
        <item x="472"/>
        <item x="1099"/>
        <item x="972"/>
        <item x="855"/>
        <item x="646"/>
        <item x="1128"/>
        <item x="318"/>
        <item x="11"/>
        <item x="317"/>
        <item x="397"/>
        <item x="874"/>
        <item x="634"/>
        <item x="38"/>
        <item x="48"/>
        <item x="561"/>
        <item x="177"/>
        <item x="100"/>
        <item x="750"/>
        <item x="817"/>
        <item x="223"/>
        <item x="786"/>
        <item x="296"/>
        <item x="315"/>
        <item x="197"/>
        <item x="678"/>
        <item x="73"/>
        <item x="595"/>
        <item x="970"/>
        <item x="370"/>
        <item x="643"/>
        <item x="481"/>
        <item x="141"/>
        <item x="327"/>
        <item x="321"/>
        <item x="98"/>
        <item x="112"/>
        <item x="169"/>
        <item x="373"/>
        <item x="236"/>
        <item x="154"/>
        <item x="182"/>
        <item x="349"/>
        <item x="558"/>
        <item x="808"/>
        <item x="913"/>
        <item x="1012"/>
        <item x="334"/>
        <item x="167"/>
        <item x="747"/>
        <item x="30"/>
        <item x="640"/>
        <item x="101"/>
        <item x="209"/>
        <item x="447"/>
        <item x="337"/>
        <item x="499"/>
        <item x="690"/>
        <item x="638"/>
        <item x="990"/>
        <item x="782"/>
        <item x="699"/>
        <item x="448"/>
        <item x="601"/>
        <item x="46"/>
        <item x="635"/>
        <item x="233"/>
        <item x="126"/>
        <item x="866"/>
        <item x="44"/>
        <item x="813"/>
        <item x="683"/>
        <item x="1114"/>
        <item x="993"/>
        <item x="559"/>
        <item x="439"/>
        <item x="195"/>
        <item x="493"/>
        <item x="1122"/>
        <item x="28"/>
        <item x="341"/>
        <item x="1018"/>
        <item x="790"/>
        <item x="828"/>
        <item x="468"/>
        <item x="705"/>
        <item x="809"/>
        <item x="295"/>
        <item x="22"/>
        <item x="7"/>
        <item x="66"/>
        <item x="994"/>
        <item x="1014"/>
        <item x="571"/>
        <item x="387"/>
        <item x="914"/>
        <item x="671"/>
        <item x="897"/>
        <item x="845"/>
        <item x="166"/>
        <item x="246"/>
        <item x="826"/>
        <item x="1097"/>
        <item x="569"/>
        <item x="306"/>
        <item x="1011"/>
        <item x="650"/>
        <item x="852"/>
        <item x="1070"/>
        <item x="476"/>
        <item x="787"/>
        <item x="832"/>
        <item x="480"/>
        <item x="269"/>
        <item x="764"/>
        <item x="875"/>
        <item x="391"/>
        <item x="570"/>
        <item x="685"/>
        <item x="660"/>
        <item x="1089"/>
        <item x="872"/>
        <item x="1101"/>
        <item x="356"/>
        <item x="1034"/>
        <item x="967"/>
        <item x="1056"/>
        <item x="398"/>
        <item x="583"/>
        <item x="901"/>
        <item x="547"/>
        <item x="450"/>
        <item x="454"/>
        <item x="1080"/>
        <item x="624"/>
        <item x="292"/>
        <item x="501"/>
        <item x="265"/>
        <item x="116"/>
        <item x="362"/>
        <item x="894"/>
        <item x="344"/>
        <item x="1045"/>
        <item x="384"/>
        <item x="293"/>
        <item x="220"/>
        <item x="217"/>
        <item x="919"/>
        <item x="1123"/>
        <item x="118"/>
        <item x="862"/>
        <item x="1020"/>
        <item x="504"/>
        <item x="25"/>
        <item x="721"/>
        <item x="471"/>
        <item x="1088"/>
        <item x="263"/>
        <item x="935"/>
        <item x="983"/>
        <item x="590"/>
        <item x="535"/>
        <item x="515"/>
        <item x="1003"/>
        <item x="563"/>
        <item x="755"/>
        <item x="792"/>
        <item x="529"/>
        <item x="247"/>
        <item x="1027"/>
        <item x="474"/>
        <item x="674"/>
        <item x="429"/>
        <item x="1084"/>
        <item x="1116"/>
        <item x="779"/>
        <item x="83"/>
        <item x="1125"/>
        <item x="637"/>
        <item x="882"/>
        <item x="416"/>
        <item x="645"/>
        <item x="498"/>
        <item x="131"/>
        <item x="374"/>
        <item x="648"/>
        <item x="170"/>
        <item x="658"/>
        <item x="183"/>
        <item x="791"/>
        <item x="938"/>
        <item x="285"/>
        <item x="147"/>
        <item x="277"/>
        <item x="888"/>
        <item x="703"/>
        <item x="1054"/>
        <item x="840"/>
        <item x="899"/>
        <item x="360"/>
        <item x="52"/>
        <item x="388"/>
        <item x="798"/>
        <item x="762"/>
        <item x="528"/>
        <item x="67"/>
        <item x="1025"/>
        <item x="208"/>
        <item x="677"/>
        <item x="974"/>
        <item x="1035"/>
        <item x="871"/>
        <item x="1001"/>
        <item x="947"/>
        <item x="712"/>
        <item x="1044"/>
        <item x="23"/>
        <item x="406"/>
        <item x="911"/>
        <item x="867"/>
        <item x="965"/>
        <item x="210"/>
        <item x="846"/>
        <item x="251"/>
        <item x="244"/>
        <item x="1106"/>
        <item x="969"/>
        <item x="381"/>
        <item x="592"/>
        <item x="47"/>
        <item x="34"/>
        <item x="24"/>
        <item x="829"/>
        <item x="385"/>
        <item x="770"/>
        <item x="766"/>
        <item x="802"/>
        <item x="849"/>
        <item x="603"/>
        <item x="365"/>
        <item x="138"/>
        <item x="684"/>
        <item x="1013"/>
        <item x="946"/>
        <item x="482"/>
        <item x="1104"/>
        <item x="524"/>
        <item x="891"/>
        <item x="883"/>
        <item x="680"/>
        <item x="64"/>
        <item x="964"/>
        <item x="347"/>
        <item x="830"/>
        <item x="378"/>
        <item x="425"/>
        <item x="574"/>
        <item x="810"/>
        <item x="104"/>
        <item x="831"/>
        <item x="588"/>
        <item x="74"/>
        <item x="300"/>
        <item x="735"/>
        <item x="731"/>
        <item x="452"/>
        <item x="614"/>
        <item x="597"/>
        <item x="1076"/>
        <item x="1029"/>
        <item x="835"/>
        <item x="13"/>
        <item x="249"/>
        <item x="743"/>
        <item x="113"/>
        <item x="366"/>
        <item x="863"/>
        <item x="253"/>
        <item x="430"/>
        <item x="155"/>
        <item x="1108"/>
        <item x="507"/>
        <item x="492"/>
        <item x="625"/>
        <item x="31"/>
        <item x="128"/>
        <item x="856"/>
        <item x="303"/>
        <item x="1115"/>
        <item x="836"/>
        <item x="1073"/>
        <item x="371"/>
        <item x="272"/>
        <item x="445"/>
        <item x="668"/>
        <item x="915"/>
        <item x="45"/>
        <item x="713"/>
        <item x="564"/>
        <item x="554"/>
        <item x="202"/>
        <item x="394"/>
        <item x="483"/>
        <item x="235"/>
        <item x="1033"/>
        <item x="661"/>
        <item x="945"/>
        <item x="290"/>
        <item x="541"/>
        <item x="215"/>
        <item x="42"/>
        <item x="229"/>
        <item x="977"/>
        <item x="328"/>
        <item x="885"/>
        <item x="565"/>
        <item x="895"/>
        <item x="834"/>
        <item x="984"/>
        <item x="1042"/>
        <item x="1109"/>
        <item x="122"/>
        <item x="368"/>
        <item x="575"/>
        <item x="99"/>
        <item x="847"/>
        <item x="491"/>
        <item x="908"/>
        <item x="157"/>
        <item x="350"/>
        <item x="548"/>
        <item x="1119"/>
        <item x="393"/>
        <item x="996"/>
        <item x="401"/>
        <item x="173"/>
        <item x="364"/>
        <item x="968"/>
        <item x="114"/>
        <item x="842"/>
        <item x="727"/>
        <item x="329"/>
        <item x="110"/>
        <item x="159"/>
        <item x="275"/>
        <item x="681"/>
        <item x="1048"/>
        <item x="942"/>
        <item x="1100"/>
        <item x="739"/>
        <item x="43"/>
        <item x="783"/>
        <item x="1030"/>
        <item x="877"/>
        <item x="1081"/>
        <item x="963"/>
        <item x="219"/>
        <item x="436"/>
        <item x="698"/>
        <item x="1055"/>
        <item x="442"/>
        <item x="921"/>
        <item x="689"/>
        <item x="1038"/>
        <item x="1032"/>
        <item x="530"/>
        <item x="377"/>
        <item x="16"/>
        <item x="585"/>
        <item x="1036"/>
        <item x="267"/>
        <item x="467"/>
        <item x="80"/>
        <item x="117"/>
        <item x="815"/>
        <item x="675"/>
        <item x="1019"/>
        <item x="948"/>
        <item x="132"/>
        <item x="463"/>
        <item x="1005"/>
        <item x="149"/>
        <item x="119"/>
        <item x="610"/>
        <item x="216"/>
        <item x="403"/>
        <item x="358"/>
        <item x="1126"/>
        <item x="273"/>
        <item x="63"/>
        <item x="757"/>
        <item x="506"/>
        <item x="469"/>
        <item x="1010"/>
        <item x="745"/>
        <item x="609"/>
        <item x="158"/>
        <item x="163"/>
        <item x="549"/>
        <item x="944"/>
        <item x="201"/>
        <item x="489"/>
        <item x="760"/>
        <item x="1098"/>
        <item x="928"/>
        <item x="134"/>
        <item x="600"/>
        <item x="568"/>
        <item x="1022"/>
        <item x="330"/>
        <item x="920"/>
        <item x="709"/>
        <item x="310"/>
        <item x="55"/>
        <item x="788"/>
        <item x="816"/>
        <item x="54"/>
        <item x="534"/>
        <item x="801"/>
        <item x="1066"/>
        <item x="432"/>
        <item x="695"/>
        <item x="213"/>
        <item x="188"/>
        <item x="234"/>
        <item x="413"/>
        <item x="820"/>
        <item x="1071"/>
        <item x="144"/>
        <item x="522"/>
        <item x="622"/>
        <item x="37"/>
        <item x="415"/>
        <item x="92"/>
        <item x="733"/>
        <item x="781"/>
        <item x="69"/>
        <item x="952"/>
        <item x="639"/>
        <item x="523"/>
        <item x="720"/>
        <item x="78"/>
        <item x="556"/>
        <item x="806"/>
        <item x="864"/>
        <item x="351"/>
        <item x="453"/>
        <item x="242"/>
        <item x="77"/>
        <item x="174"/>
        <item x="579"/>
        <item x="975"/>
        <item x="21"/>
        <item x="1037"/>
        <item x="297"/>
        <item x="626"/>
        <item x="598"/>
        <item x="241"/>
        <item x="164"/>
        <item x="655"/>
        <item x="288"/>
        <item x="271"/>
        <item x="408"/>
        <item x="308"/>
        <item x="1092"/>
        <item x="707"/>
        <item x="833"/>
        <item x="611"/>
        <item x="693"/>
        <item x="186"/>
        <item x="58"/>
        <item x="225"/>
        <item x="519"/>
        <item x="949"/>
        <item x="258"/>
        <item x="336"/>
        <item x="345"/>
        <item x="346"/>
        <item x="1118"/>
        <item x="176"/>
        <item x="41"/>
        <item x="250"/>
        <item x="931"/>
        <item x="939"/>
        <item x="838"/>
        <item x="581"/>
        <item x="274"/>
        <item x="857"/>
        <item x="423"/>
        <item x="287"/>
        <item x="196"/>
        <item x="687"/>
        <item x="1051"/>
        <item x="966"/>
        <item x="105"/>
        <item x="989"/>
        <item x="461"/>
        <item x="537"/>
        <item x="912"/>
        <item x="1008"/>
        <item x="409"/>
        <item x="957"/>
        <item x="29"/>
        <item x="979"/>
        <item x="363"/>
        <item x="18"/>
        <item x="753"/>
        <item x="887"/>
        <item x="1093"/>
        <item x="496"/>
        <item x="457"/>
        <item x="1000"/>
        <item x="619"/>
        <item x="379"/>
        <item x="937"/>
        <item x="1059"/>
        <item x="348"/>
        <item x="85"/>
        <item x="56"/>
        <item x="441"/>
        <item x="918"/>
        <item x="818"/>
        <item x="81"/>
        <item x="129"/>
        <item x="19"/>
        <item x="79"/>
        <item x="4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5"/>
  </rowFields>
  <rowItems count="1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tudents" fld="1" subtotal="count" baseField="5" baseItem="0"/>
    <dataField name="Total Scholarship" fld="7" baseField="5" baseItem="0" numFmtId="173"/>
    <dataField name="Average GPA" fld="8" subtotal="average" baseField="5" baseItem="0" numFmtId="2"/>
  </dataFields>
  <formats count="14">
    <format dxfId="17">
      <pivotArea outline="0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field="5" type="button" dataOnly="0" labelOnly="1" outline="0" axis="axisRow" fieldPosition="1"/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2">
          <reference field="3" count="1" selected="0">
            <x v="0"/>
          </reference>
          <reference field="5" count="0"/>
        </references>
      </pivotArea>
    </format>
    <format dxfId="3">
      <pivotArea dataOnly="0" labelOnly="1" outline="0" fieldPosition="0">
        <references count="2">
          <reference field="3" count="1" selected="0">
            <x v="1"/>
          </reference>
          <reference field="5" count="0"/>
        </references>
      </pivotArea>
    </format>
    <format dxfId="2">
      <pivotArea dataOnly="0" labelOnly="1" outline="0" fieldPosition="0">
        <references count="2">
          <reference field="3" count="1" selected="0">
            <x v="2"/>
          </reference>
          <reference field="5" count="0"/>
        </references>
      </pivotArea>
    </format>
    <format dxfId="1">
      <pivotArea dataOnly="0" labelOnly="1" outline="0" fieldPosition="0">
        <references count="2">
          <reference field="3" count="1" selected="0">
            <x v="3"/>
          </reference>
          <reference field="5" count="0"/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D4AD-7F4A-4A71-9C4C-951E94BAB175}">
  <dimension ref="A3:B12"/>
  <sheetViews>
    <sheetView workbookViewId="0">
      <selection activeCell="D9" sqref="D9"/>
    </sheetView>
  </sheetViews>
  <sheetFormatPr defaultRowHeight="14.5" x14ac:dyDescent="0.35"/>
  <cols>
    <col min="1" max="1" width="20.08984375" bestFit="1" customWidth="1"/>
    <col min="2" max="2" width="13.26953125" style="9" bestFit="1" customWidth="1"/>
  </cols>
  <sheetData>
    <row r="3" spans="1:2" x14ac:dyDescent="0.35">
      <c r="A3" s="7" t="s">
        <v>2436</v>
      </c>
      <c r="B3" s="9" t="s">
        <v>2439</v>
      </c>
    </row>
    <row r="4" spans="1:2" x14ac:dyDescent="0.35">
      <c r="A4" s="8" t="s">
        <v>57</v>
      </c>
      <c r="B4" s="9">
        <v>3.007792207792209</v>
      </c>
    </row>
    <row r="5" spans="1:2" x14ac:dyDescent="0.35">
      <c r="A5" s="8" t="s">
        <v>12</v>
      </c>
      <c r="B5" s="9">
        <v>3.0239716312056717</v>
      </c>
    </row>
    <row r="6" spans="1:2" x14ac:dyDescent="0.35">
      <c r="A6" s="8" t="s">
        <v>22</v>
      </c>
      <c r="B6" s="9">
        <v>2.9818181818181828</v>
      </c>
    </row>
    <row r="7" spans="1:2" x14ac:dyDescent="0.35">
      <c r="A7" s="8" t="s">
        <v>17</v>
      </c>
      <c r="B7" s="9">
        <v>3.0338194444444451</v>
      </c>
    </row>
    <row r="8" spans="1:2" x14ac:dyDescent="0.35">
      <c r="A8" s="8" t="s">
        <v>28</v>
      </c>
      <c r="B8" s="9">
        <v>3.0026506024096373</v>
      </c>
    </row>
    <row r="9" spans="1:2" x14ac:dyDescent="0.35">
      <c r="A9" s="8" t="s">
        <v>36</v>
      </c>
      <c r="B9" s="9">
        <v>2.9522424242424252</v>
      </c>
    </row>
    <row r="10" spans="1:2" x14ac:dyDescent="0.35">
      <c r="A10" s="8" t="s">
        <v>54</v>
      </c>
      <c r="B10" s="9">
        <v>2.9608860759493676</v>
      </c>
    </row>
    <row r="11" spans="1:2" x14ac:dyDescent="0.35">
      <c r="A11" s="8" t="s">
        <v>25</v>
      </c>
      <c r="B11" s="9">
        <v>3.032500000000002</v>
      </c>
    </row>
    <row r="12" spans="1:2" x14ac:dyDescent="0.35">
      <c r="A12" s="8" t="s">
        <v>2437</v>
      </c>
      <c r="B12" s="9">
        <v>2.9983166666666663</v>
      </c>
    </row>
  </sheetData>
  <conditionalFormatting sqref="B1:B1048576">
    <cfRule type="top10" dxfId="2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AAE0-E016-4DA8-A5F6-D4B40110DCD6}">
  <dimension ref="A4:E16"/>
  <sheetViews>
    <sheetView workbookViewId="0">
      <selection activeCell="K10" sqref="K10"/>
    </sheetView>
  </sheetViews>
  <sheetFormatPr defaultRowHeight="14.5" x14ac:dyDescent="0.35"/>
  <cols>
    <col min="1" max="1" width="10.36328125" bestFit="1" customWidth="1"/>
    <col min="2" max="2" width="9.7265625" bestFit="1" customWidth="1"/>
    <col min="3" max="3" width="12.36328125" bestFit="1" customWidth="1"/>
    <col min="4" max="4" width="15.36328125" style="10" bestFit="1" customWidth="1"/>
    <col min="5" max="5" width="11.81640625" style="9" bestFit="1" customWidth="1"/>
    <col min="6" max="10" width="2.81640625" bestFit="1" customWidth="1"/>
    <col min="11" max="110" width="3.81640625" bestFit="1" customWidth="1"/>
    <col min="111" max="1130" width="4.81640625" bestFit="1" customWidth="1"/>
    <col min="1131" max="1131" width="13.26953125" bestFit="1" customWidth="1"/>
    <col min="1132" max="1145" width="4.81640625" bestFit="1" customWidth="1"/>
    <col min="1146" max="1146" width="3.81640625" bestFit="1" customWidth="1"/>
    <col min="1147" max="1150" width="4.81640625" bestFit="1" customWidth="1"/>
    <col min="1151" max="1151" width="3.81640625" bestFit="1" customWidth="1"/>
    <col min="1152" max="1152" width="4.81640625" bestFit="1" customWidth="1"/>
    <col min="1153" max="1153" width="3.81640625" bestFit="1" customWidth="1"/>
    <col min="1154" max="1159" width="4.81640625" bestFit="1" customWidth="1"/>
    <col min="1160" max="1160" width="5.81640625" bestFit="1" customWidth="1"/>
    <col min="1161" max="1161" width="3.81640625" bestFit="1" customWidth="1"/>
    <col min="1162" max="1165" width="4.81640625" bestFit="1" customWidth="1"/>
    <col min="1166" max="1166" width="3.81640625" bestFit="1" customWidth="1"/>
    <col min="1167" max="1171" width="4.81640625" bestFit="1" customWidth="1"/>
    <col min="1172" max="1172" width="3.81640625" bestFit="1" customWidth="1"/>
    <col min="1173" max="1179" width="4.81640625" bestFit="1" customWidth="1"/>
    <col min="1180" max="1180" width="3.81640625" bestFit="1" customWidth="1"/>
    <col min="1181" max="1182" width="4.81640625" bestFit="1" customWidth="1"/>
    <col min="1183" max="1183" width="3.81640625" bestFit="1" customWidth="1"/>
    <col min="1184" max="1189" width="4.81640625" bestFit="1" customWidth="1"/>
    <col min="1190" max="1190" width="3.81640625" bestFit="1" customWidth="1"/>
    <col min="1191" max="1200" width="4.81640625" bestFit="1" customWidth="1"/>
    <col min="1201" max="1201" width="3.81640625" bestFit="1" customWidth="1"/>
    <col min="1202" max="1207" width="4.81640625" bestFit="1" customWidth="1"/>
    <col min="1208" max="1208" width="3.81640625" bestFit="1" customWidth="1"/>
    <col min="1209" max="1209" width="4.81640625" bestFit="1" customWidth="1"/>
    <col min="1210" max="1210" width="3.81640625" bestFit="1" customWidth="1"/>
    <col min="1211" max="1218" width="4.81640625" bestFit="1" customWidth="1"/>
    <col min="1219" max="1219" width="3.81640625" bestFit="1" customWidth="1"/>
    <col min="1220" max="1220" width="4.81640625" bestFit="1" customWidth="1"/>
    <col min="1221" max="1221" width="3.81640625" bestFit="1" customWidth="1"/>
    <col min="1222" max="1234" width="4.81640625" bestFit="1" customWidth="1"/>
    <col min="1235" max="1235" width="3.81640625" bestFit="1" customWidth="1"/>
    <col min="1236" max="1237" width="4.81640625" bestFit="1" customWidth="1"/>
    <col min="1238" max="1238" width="5.81640625" bestFit="1" customWidth="1"/>
    <col min="1239" max="1249" width="4.81640625" bestFit="1" customWidth="1"/>
    <col min="1250" max="1250" width="5.81640625" bestFit="1" customWidth="1"/>
    <col min="1251" max="1262" width="4.81640625" bestFit="1" customWidth="1"/>
    <col min="1263" max="1263" width="5.81640625" bestFit="1" customWidth="1"/>
    <col min="1264" max="1362" width="4.81640625" bestFit="1" customWidth="1"/>
    <col min="1363" max="1363" width="5.81640625" bestFit="1" customWidth="1"/>
    <col min="1364" max="1374" width="4.81640625" bestFit="1" customWidth="1"/>
    <col min="1375" max="1376" width="5.81640625" bestFit="1" customWidth="1"/>
    <col min="1377" max="1413" width="4.81640625" bestFit="1" customWidth="1"/>
    <col min="1414" max="1414" width="5.81640625" bestFit="1" customWidth="1"/>
    <col min="1415" max="1476" width="4.81640625" bestFit="1" customWidth="1"/>
    <col min="1477" max="1477" width="11.81640625" bestFit="1" customWidth="1"/>
    <col min="1478" max="1479" width="4.81640625" bestFit="1" customWidth="1"/>
    <col min="1480" max="1480" width="5.81640625" bestFit="1" customWidth="1"/>
    <col min="1481" max="1496" width="4.81640625" bestFit="1" customWidth="1"/>
    <col min="1497" max="1497" width="5.81640625" bestFit="1" customWidth="1"/>
    <col min="1498" max="1537" width="4.81640625" bestFit="1" customWidth="1"/>
    <col min="1538" max="1538" width="5.81640625" bestFit="1" customWidth="1"/>
    <col min="1539" max="1608" width="4.81640625" bestFit="1" customWidth="1"/>
    <col min="1609" max="1609" width="5.81640625" bestFit="1" customWidth="1"/>
    <col min="1610" max="1659" width="4.81640625" bestFit="1" customWidth="1"/>
    <col min="1660" max="1660" width="5.81640625" bestFit="1" customWidth="1"/>
    <col min="1661" max="1692" width="4.81640625" bestFit="1" customWidth="1"/>
    <col min="1693" max="1693" width="5.81640625" bestFit="1" customWidth="1"/>
    <col min="1694" max="1737" width="4.81640625" bestFit="1" customWidth="1"/>
    <col min="1738" max="1738" width="5.81640625" bestFit="1" customWidth="1"/>
    <col min="1739" max="1769" width="4.81640625" bestFit="1" customWidth="1"/>
    <col min="1770" max="1770" width="5.81640625" bestFit="1" customWidth="1"/>
    <col min="1771" max="1786" width="4.81640625" bestFit="1" customWidth="1"/>
    <col min="1787" max="1787" width="5.81640625" bestFit="1" customWidth="1"/>
    <col min="1788" max="1832" width="4.81640625" bestFit="1" customWidth="1"/>
    <col min="1833" max="1833" width="5.81640625" bestFit="1" customWidth="1"/>
    <col min="1834" max="1853" width="4.81640625" bestFit="1" customWidth="1"/>
    <col min="1854" max="1854" width="5.81640625" bestFit="1" customWidth="1"/>
    <col min="1855" max="1871" width="4.81640625" bestFit="1" customWidth="1"/>
    <col min="1872" max="1872" width="5.81640625" bestFit="1" customWidth="1"/>
    <col min="1873" max="1889" width="4.81640625" bestFit="1" customWidth="1"/>
    <col min="1890" max="1890" width="5.81640625" bestFit="1" customWidth="1"/>
    <col min="1891" max="1933" width="4.81640625" bestFit="1" customWidth="1"/>
    <col min="1934" max="1934" width="5.81640625" bestFit="1" customWidth="1"/>
    <col min="1935" max="1946" width="4.81640625" bestFit="1" customWidth="1"/>
    <col min="1947" max="1947" width="5.81640625" bestFit="1" customWidth="1"/>
    <col min="1948" max="1955" width="4.81640625" bestFit="1" customWidth="1"/>
    <col min="1956" max="1956" width="5.81640625" bestFit="1" customWidth="1"/>
    <col min="1957" max="1982" width="4.81640625" bestFit="1" customWidth="1"/>
    <col min="1983" max="1983" width="5.81640625" bestFit="1" customWidth="1"/>
    <col min="1984" max="2022" width="4.81640625" bestFit="1" customWidth="1"/>
    <col min="2023" max="2023" width="5.81640625" bestFit="1" customWidth="1"/>
    <col min="2024" max="2127" width="4.81640625" bestFit="1" customWidth="1"/>
    <col min="2128" max="2128" width="5.81640625" bestFit="1" customWidth="1"/>
    <col min="2129" max="2129" width="4.81640625" bestFit="1" customWidth="1"/>
    <col min="2130" max="2130" width="5.81640625" bestFit="1" customWidth="1"/>
    <col min="2131" max="2145" width="4.81640625" bestFit="1" customWidth="1"/>
    <col min="2146" max="2146" width="5.81640625" bestFit="1" customWidth="1"/>
    <col min="2147" max="2161" width="4.81640625" bestFit="1" customWidth="1"/>
    <col min="2162" max="2162" width="5.81640625" bestFit="1" customWidth="1"/>
    <col min="2163" max="2184" width="4.81640625" bestFit="1" customWidth="1"/>
    <col min="2185" max="2185" width="5.81640625" bestFit="1" customWidth="1"/>
    <col min="2186" max="2193" width="4.81640625" bestFit="1" customWidth="1"/>
    <col min="2194" max="2194" width="5.81640625" bestFit="1" customWidth="1"/>
    <col min="2195" max="2245" width="4.81640625" bestFit="1" customWidth="1"/>
    <col min="2246" max="2246" width="5.81640625" bestFit="1" customWidth="1"/>
    <col min="2247" max="2259" width="4.81640625" bestFit="1" customWidth="1"/>
    <col min="2260" max="2260" width="24.90625" bestFit="1" customWidth="1"/>
    <col min="2261" max="2261" width="17.81640625" bestFit="1" customWidth="1"/>
  </cols>
  <sheetData>
    <row r="4" spans="1:5" x14ac:dyDescent="0.35">
      <c r="A4" s="11" t="s">
        <v>3</v>
      </c>
      <c r="B4" s="11" t="s">
        <v>5</v>
      </c>
      <c r="C4" s="3" t="s">
        <v>2440</v>
      </c>
      <c r="D4" s="12" t="s">
        <v>2441</v>
      </c>
      <c r="E4" s="13" t="s">
        <v>2442</v>
      </c>
    </row>
    <row r="5" spans="1:5" x14ac:dyDescent="0.35">
      <c r="A5" s="3" t="s">
        <v>31</v>
      </c>
      <c r="B5" s="3" t="s">
        <v>19</v>
      </c>
      <c r="C5" s="14">
        <v>95</v>
      </c>
      <c r="D5" s="12">
        <v>454957</v>
      </c>
      <c r="E5" s="13">
        <v>2.8859999999999997</v>
      </c>
    </row>
    <row r="6" spans="1:5" x14ac:dyDescent="0.35">
      <c r="A6" s="3" t="s">
        <v>31</v>
      </c>
      <c r="B6" s="3" t="s">
        <v>39</v>
      </c>
      <c r="C6" s="14">
        <v>28</v>
      </c>
      <c r="D6" s="12">
        <v>118075</v>
      </c>
      <c r="E6" s="13">
        <v>3.0285714285714285</v>
      </c>
    </row>
    <row r="7" spans="1:5" x14ac:dyDescent="0.35">
      <c r="A7" s="3" t="s">
        <v>31</v>
      </c>
      <c r="B7" s="3" t="s">
        <v>14</v>
      </c>
      <c r="C7" s="14">
        <v>174</v>
      </c>
      <c r="D7" s="12">
        <v>903663</v>
      </c>
      <c r="E7" s="13">
        <v>2.964425287356323</v>
      </c>
    </row>
    <row r="8" spans="1:5" x14ac:dyDescent="0.35">
      <c r="A8" s="3" t="s">
        <v>62</v>
      </c>
      <c r="B8" s="3" t="s">
        <v>19</v>
      </c>
      <c r="C8" s="14">
        <v>78</v>
      </c>
      <c r="D8" s="12">
        <v>395791</v>
      </c>
      <c r="E8" s="13">
        <v>3.0360256410256405</v>
      </c>
    </row>
    <row r="9" spans="1:5" x14ac:dyDescent="0.35">
      <c r="A9" s="3" t="s">
        <v>62</v>
      </c>
      <c r="B9" s="3" t="s">
        <v>39</v>
      </c>
      <c r="C9" s="14">
        <v>30</v>
      </c>
      <c r="D9" s="12">
        <v>136218</v>
      </c>
      <c r="E9" s="13">
        <v>3.0523333333333329</v>
      </c>
    </row>
    <row r="10" spans="1:5" x14ac:dyDescent="0.35">
      <c r="A10" s="3" t="s">
        <v>62</v>
      </c>
      <c r="B10" s="3" t="s">
        <v>14</v>
      </c>
      <c r="C10" s="14">
        <v>201</v>
      </c>
      <c r="D10" s="12">
        <v>1024752</v>
      </c>
      <c r="E10" s="13">
        <v>3.0047263681592047</v>
      </c>
    </row>
    <row r="11" spans="1:5" x14ac:dyDescent="0.35">
      <c r="A11" s="3" t="s">
        <v>13</v>
      </c>
      <c r="B11" s="3" t="s">
        <v>19</v>
      </c>
      <c r="C11" s="14">
        <v>85</v>
      </c>
      <c r="D11" s="12">
        <v>415307</v>
      </c>
      <c r="E11" s="13">
        <v>3.0764705882352943</v>
      </c>
    </row>
    <row r="12" spans="1:5" x14ac:dyDescent="0.35">
      <c r="A12" s="3" t="s">
        <v>13</v>
      </c>
      <c r="B12" s="3" t="s">
        <v>39</v>
      </c>
      <c r="C12" s="14">
        <v>26</v>
      </c>
      <c r="D12" s="12">
        <v>138856</v>
      </c>
      <c r="E12" s="13">
        <v>2.7511538461538469</v>
      </c>
    </row>
    <row r="13" spans="1:5" x14ac:dyDescent="0.35">
      <c r="A13" s="3" t="s">
        <v>13</v>
      </c>
      <c r="B13" s="3" t="s">
        <v>14</v>
      </c>
      <c r="C13" s="14">
        <v>186</v>
      </c>
      <c r="D13" s="12">
        <v>858685</v>
      </c>
      <c r="E13" s="13">
        <v>3.0212365591397852</v>
      </c>
    </row>
    <row r="14" spans="1:5" x14ac:dyDescent="0.35">
      <c r="A14" s="3" t="s">
        <v>18</v>
      </c>
      <c r="B14" s="3" t="s">
        <v>19</v>
      </c>
      <c r="C14" s="14">
        <v>96</v>
      </c>
      <c r="D14" s="12">
        <v>479858</v>
      </c>
      <c r="E14" s="13">
        <v>3.0353125000000012</v>
      </c>
    </row>
    <row r="15" spans="1:5" x14ac:dyDescent="0.35">
      <c r="A15" s="3" t="s">
        <v>18</v>
      </c>
      <c r="B15" s="3" t="s">
        <v>39</v>
      </c>
      <c r="C15" s="14">
        <v>27</v>
      </c>
      <c r="D15" s="12">
        <v>142544</v>
      </c>
      <c r="E15" s="13">
        <v>2.934814814814815</v>
      </c>
    </row>
    <row r="16" spans="1:5" x14ac:dyDescent="0.35">
      <c r="A16" s="3" t="s">
        <v>18</v>
      </c>
      <c r="B16" s="3" t="s">
        <v>14</v>
      </c>
      <c r="C16" s="14">
        <v>174</v>
      </c>
      <c r="D16" s="12">
        <v>873091</v>
      </c>
      <c r="E16" s="13">
        <v>3.0187356321839087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dimension ref="A1:U1201"/>
  <sheetViews>
    <sheetView tabSelected="1" topLeftCell="K1" zoomScaleNormal="100" workbookViewId="0">
      <selection activeCell="Q2" sqref="Q2"/>
    </sheetView>
  </sheetViews>
  <sheetFormatPr defaultRowHeight="14.5" x14ac:dyDescent="0.35"/>
  <cols>
    <col min="1" max="1" width="9.1796875" bestFit="1" customWidth="1"/>
    <col min="2" max="2" width="12.26953125" bestFit="1" customWidth="1"/>
    <col min="3" max="3" width="20.08984375" bestFit="1" customWidth="1"/>
    <col min="4" max="4" width="10.1796875" bestFit="1" customWidth="1"/>
    <col min="5" max="5" width="13.90625" style="1" bestFit="1" customWidth="1"/>
    <col min="6" max="6" width="9.7265625" bestFit="1" customWidth="1"/>
    <col min="7" max="7" width="10" bestFit="1" customWidth="1"/>
    <col min="8" max="8" width="10.26953125" bestFit="1" customWidth="1"/>
    <col min="9" max="9" width="4.81640625" style="1" bestFit="1" customWidth="1"/>
    <col min="10" max="10" width="12.7265625" bestFit="1" customWidth="1"/>
    <col min="11" max="11" width="11.7265625" style="2" bestFit="1" customWidth="1"/>
    <col min="13" max="13" width="10.26953125" bestFit="1" customWidth="1"/>
    <col min="14" max="14" width="14.90625" bestFit="1" customWidth="1"/>
    <col min="17" max="17" width="13.36328125" bestFit="1" customWidth="1"/>
    <col min="18" max="18" width="21.6328125" bestFit="1" customWidth="1"/>
    <col min="19" max="19" width="17.6328125" bestFit="1" customWidth="1"/>
    <col min="20" max="20" width="14.1796875" bestFit="1" customWidth="1"/>
    <col min="21" max="21" width="23.1796875" bestFit="1" customWidth="1"/>
  </cols>
  <sheetData>
    <row r="1" spans="1:21" x14ac:dyDescent="0.35">
      <c r="A1" s="4" t="s">
        <v>0</v>
      </c>
      <c r="B1" s="4" t="s">
        <v>1</v>
      </c>
      <c r="C1" s="4" t="s">
        <v>2</v>
      </c>
      <c r="D1" s="4" t="s">
        <v>3</v>
      </c>
      <c r="E1" s="1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8" t="s">
        <v>2425</v>
      </c>
      <c r="L1" s="4" t="s">
        <v>2426</v>
      </c>
      <c r="M1" s="4" t="s">
        <v>2431</v>
      </c>
      <c r="N1" s="4" t="s">
        <v>2432</v>
      </c>
      <c r="O1" s="19" t="s">
        <v>2433</v>
      </c>
      <c r="P1" s="16"/>
      <c r="Q1" s="5" t="s">
        <v>2434</v>
      </c>
      <c r="R1" s="3" t="s">
        <v>2435</v>
      </c>
      <c r="S1" s="3" t="s">
        <v>2438</v>
      </c>
      <c r="T1" s="15" t="s">
        <v>2443</v>
      </c>
      <c r="U1" s="3" t="s">
        <v>2444</v>
      </c>
    </row>
    <row r="2" spans="1:21" x14ac:dyDescent="0.35">
      <c r="A2" s="3" t="s">
        <v>10</v>
      </c>
      <c r="B2" s="3" t="s">
        <v>11</v>
      </c>
      <c r="C2" s="3" t="s">
        <v>12</v>
      </c>
      <c r="D2" s="3" t="s">
        <v>13</v>
      </c>
      <c r="E2" s="6">
        <v>45013</v>
      </c>
      <c r="F2" s="3" t="s">
        <v>14</v>
      </c>
      <c r="G2" s="3">
        <v>14714</v>
      </c>
      <c r="H2" s="3">
        <v>1099</v>
      </c>
      <c r="I2" s="3">
        <v>2.39</v>
      </c>
      <c r="J2" s="3">
        <v>89</v>
      </c>
      <c r="K2" s="15">
        <f ca="1">IF(F2="Enrolled",TODAY()-E2,"0")</f>
        <v>1041</v>
      </c>
      <c r="L2" s="3" t="str">
        <f>IF(I2&gt;=3.5,"Excellent",IF(I2&gt;=3,"Good",IF(I2&gt;=2,"Average","Poor")))</f>
        <v>Average</v>
      </c>
      <c r="M2" s="3" t="str" cm="1">
        <f t="array" ref="M2:M1201">VLOOKUP(D2:$D$1201,Sheet1!A2:B5,2,0)</f>
        <v>Dr.Mehta</v>
      </c>
      <c r="N2" s="3" t="str">
        <f>IF(H2 &gt; (G2*50%), "Yes", "No")</f>
        <v>No</v>
      </c>
      <c r="O2" s="16">
        <f>G2-H2</f>
        <v>13615</v>
      </c>
      <c r="P2" s="16">
        <f>SUMIFS(O2:O2,E2:E2,"Science",F2:F2,"Completed")</f>
        <v>0</v>
      </c>
      <c r="Q2" s="3" t="str">
        <f>IF(MONTH(E2)&gt;=7, YEAR(E2)&amp;"-"&amp;YEAR(E2)+1, YEAR(E2)-1&amp;"-"&amp;YEAR(E2))</f>
        <v>2022-2023</v>
      </c>
      <c r="R2" s="3">
        <f>COUNTIFS(F2:F1201,"Completed",J2:J1201,"&gt;100")</f>
        <v>56</v>
      </c>
      <c r="S2" s="3" t="str">
        <f>INDEX(B2:B2:B1201,MATCH(LARGE(I2:I2:I1201,2),I2:I1201,0))</f>
        <v>Student_516</v>
      </c>
      <c r="T2" s="15" t="str">
        <f ca="1">IF(F2="Completed",TODAY()-E2,"0")</f>
        <v>0</v>
      </c>
      <c r="U2" s="3">
        <f>INDEX(I2:I2:I1201, MATCH(A14, A2:A1201, 0))</f>
        <v>3.02</v>
      </c>
    </row>
    <row r="3" spans="1:21" x14ac:dyDescent="0.35">
      <c r="A3" s="3" t="s">
        <v>15</v>
      </c>
      <c r="B3" s="3" t="s">
        <v>16</v>
      </c>
      <c r="C3" s="3" t="s">
        <v>17</v>
      </c>
      <c r="D3" s="3" t="s">
        <v>18</v>
      </c>
      <c r="E3" s="6">
        <v>44855</v>
      </c>
      <c r="F3" s="3" t="s">
        <v>19</v>
      </c>
      <c r="G3" s="3">
        <v>5718</v>
      </c>
      <c r="H3" s="3">
        <v>4700</v>
      </c>
      <c r="I3" s="3">
        <v>3.49</v>
      </c>
      <c r="J3" s="3">
        <v>79</v>
      </c>
      <c r="K3" s="15" t="str">
        <f ca="1">IF(F3="Enrolled",TODAY()-E3,"0")</f>
        <v>0</v>
      </c>
      <c r="L3" s="3" t="str">
        <f>IF(I3&gt;=3.5,"Excellent",IF(I3&gt;=3,"Good",IF(I3&gt;=2,"Average","Poor")))</f>
        <v>Good</v>
      </c>
      <c r="M3" s="3" t="str">
        <v>Dr.Roy</v>
      </c>
      <c r="N3" s="3" t="str">
        <f>IF(H3 &gt; (G3*50%), "Yes", "No")</f>
        <v>Yes</v>
      </c>
      <c r="O3" s="16">
        <f>G3-H3</f>
        <v>1018</v>
      </c>
      <c r="P3" s="16">
        <f>SUMIFS(O3:O3,E3:E3,"Science",F3:F3,"Completed")</f>
        <v>0</v>
      </c>
      <c r="Q3" s="3" t="str">
        <f>IF(MONTH(E3)&gt;=7, YEAR(E3)&amp;"-"&amp;YEAR(E3)+1, YEAR(E3)-1&amp;"-"&amp;YEAR(E3))</f>
        <v>2022-2023</v>
      </c>
      <c r="R3" s="3"/>
      <c r="S3" s="3"/>
      <c r="T3" s="15">
        <f t="shared" ref="T3:T66" ca="1" si="0">IF(F3="Completed",TODAY()-E3,"0")</f>
        <v>1199</v>
      </c>
      <c r="U3" s="3"/>
    </row>
    <row r="4" spans="1:21" x14ac:dyDescent="0.35">
      <c r="A4" s="3" t="s">
        <v>20</v>
      </c>
      <c r="B4" s="3" t="s">
        <v>21</v>
      </c>
      <c r="C4" s="3" t="s">
        <v>22</v>
      </c>
      <c r="D4" s="3" t="s">
        <v>13</v>
      </c>
      <c r="E4" s="6">
        <v>45180</v>
      </c>
      <c r="F4" s="3" t="s">
        <v>14</v>
      </c>
      <c r="G4" s="3">
        <v>5726</v>
      </c>
      <c r="H4" s="3">
        <v>3408</v>
      </c>
      <c r="I4" s="3">
        <v>3.08</v>
      </c>
      <c r="J4" s="3">
        <v>84</v>
      </c>
      <c r="K4" s="15">
        <f ca="1">IF(F4="Enrolled",TODAY()-E4,"0")</f>
        <v>874</v>
      </c>
      <c r="L4" s="3" t="str">
        <f>IF(I4&gt;=3.5,"Excellent",IF(I4&gt;=3,"Good",IF(I4&gt;=2,"Average","Poor")))</f>
        <v>Good</v>
      </c>
      <c r="M4" s="3" t="str">
        <v>Dr.Mehta</v>
      </c>
      <c r="N4" s="3" t="str">
        <f>IF(H4 &gt; (G4*50%), "Yes", "No")</f>
        <v>Yes</v>
      </c>
      <c r="O4" s="16">
        <f>G4-H4</f>
        <v>2318</v>
      </c>
      <c r="P4" s="16">
        <f>SUMIFS(O4:O4,E4:E4,"Science",F4:F4,"Completed")</f>
        <v>0</v>
      </c>
      <c r="Q4" s="3" t="str">
        <f>IF(MONTH(E4)&gt;=7, YEAR(E4)&amp;"-"&amp;YEAR(E4)+1, YEAR(E4)-1&amp;"-"&amp;YEAR(E4))</f>
        <v>2023-2024</v>
      </c>
      <c r="R4" s="3"/>
      <c r="S4" s="3"/>
      <c r="T4" s="15" t="str">
        <f t="shared" ca="1" si="0"/>
        <v>0</v>
      </c>
      <c r="U4" s="3"/>
    </row>
    <row r="5" spans="1:21" x14ac:dyDescent="0.35">
      <c r="A5" s="3" t="s">
        <v>23</v>
      </c>
      <c r="B5" s="3" t="s">
        <v>24</v>
      </c>
      <c r="C5" s="3" t="s">
        <v>25</v>
      </c>
      <c r="D5" s="3" t="s">
        <v>18</v>
      </c>
      <c r="E5" s="6">
        <v>45253</v>
      </c>
      <c r="F5" s="3" t="s">
        <v>19</v>
      </c>
      <c r="G5" s="3">
        <v>10846</v>
      </c>
      <c r="H5" s="3">
        <v>3245</v>
      </c>
      <c r="I5" s="3">
        <v>3.59</v>
      </c>
      <c r="J5" s="3">
        <v>9</v>
      </c>
      <c r="K5" s="15" t="str">
        <f ca="1">IF(F5="Enrolled",TODAY()-E5,"0")</f>
        <v>0</v>
      </c>
      <c r="L5" s="3" t="str">
        <f>IF(I5&gt;=3.5,"Excellent",IF(I5&gt;=3,"Good",IF(I5&gt;=2,"Average","Poor")))</f>
        <v>Excellent</v>
      </c>
      <c r="M5" s="3" t="str">
        <v>Dr.Roy</v>
      </c>
      <c r="N5" s="3" t="str">
        <f>IF(H5 &gt; (G5*50%), "Yes", "No")</f>
        <v>No</v>
      </c>
      <c r="O5" s="16">
        <f>G5-H5</f>
        <v>7601</v>
      </c>
      <c r="P5" s="16">
        <f>SUMIFS(O5:O5,E5:E5,"Science",F5:F5,"Completed")</f>
        <v>0</v>
      </c>
      <c r="Q5" s="3" t="str">
        <f>IF(MONTH(E5)&gt;=7, YEAR(E5)&amp;"-"&amp;YEAR(E5)+1, YEAR(E5)-1&amp;"-"&amp;YEAR(E5))</f>
        <v>2023-2024</v>
      </c>
      <c r="R5" s="3"/>
      <c r="S5" s="3"/>
      <c r="T5" s="15">
        <f t="shared" ca="1" si="0"/>
        <v>801</v>
      </c>
      <c r="U5" s="3"/>
    </row>
    <row r="6" spans="1:21" x14ac:dyDescent="0.35">
      <c r="A6" s="3" t="s">
        <v>26</v>
      </c>
      <c r="B6" s="3" t="s">
        <v>27</v>
      </c>
      <c r="C6" s="3" t="s">
        <v>28</v>
      </c>
      <c r="D6" s="3" t="s">
        <v>18</v>
      </c>
      <c r="E6" s="6">
        <v>45400</v>
      </c>
      <c r="F6" s="3" t="s">
        <v>14</v>
      </c>
      <c r="G6" s="3">
        <v>11437</v>
      </c>
      <c r="H6" s="3">
        <v>4259</v>
      </c>
      <c r="I6" s="3">
        <v>3.31</v>
      </c>
      <c r="J6" s="3">
        <v>72</v>
      </c>
      <c r="K6" s="15">
        <f ca="1">IF(F6="Enrolled",TODAY()-E6,"0")</f>
        <v>654</v>
      </c>
      <c r="L6" s="3" t="str">
        <f>IF(I6&gt;=3.5,"Excellent",IF(I6&gt;=3,"Good",IF(I6&gt;=2,"Average","Poor")))</f>
        <v>Good</v>
      </c>
      <c r="M6" s="3" t="str">
        <v>Dr.Roy</v>
      </c>
      <c r="N6" s="3" t="str">
        <f>IF(H6 &gt; (G6*50%), "Yes", "No")</f>
        <v>No</v>
      </c>
      <c r="O6" s="16">
        <f>G6-H6</f>
        <v>7178</v>
      </c>
      <c r="P6" s="16">
        <f>SUMIFS(O6:O6,E6:E6,"Science",F6:F6,"Completed")</f>
        <v>0</v>
      </c>
      <c r="Q6" s="3" t="str">
        <f>IF(MONTH(E6)&gt;=7, YEAR(E6)&amp;"-"&amp;YEAR(E6)+1, YEAR(E6)-1&amp;"-"&amp;YEAR(E6))</f>
        <v>2023-2024</v>
      </c>
      <c r="R6" s="3"/>
      <c r="S6" s="3"/>
      <c r="T6" s="15" t="str">
        <f t="shared" ca="1" si="0"/>
        <v>0</v>
      </c>
      <c r="U6" s="3"/>
    </row>
    <row r="7" spans="1:21" x14ac:dyDescent="0.35">
      <c r="A7" s="3" t="s">
        <v>29</v>
      </c>
      <c r="B7" s="3" t="s">
        <v>30</v>
      </c>
      <c r="C7" s="3" t="s">
        <v>17</v>
      </c>
      <c r="D7" s="3" t="s">
        <v>31</v>
      </c>
      <c r="E7" s="6">
        <v>44737</v>
      </c>
      <c r="F7" s="3" t="s">
        <v>19</v>
      </c>
      <c r="G7" s="3">
        <v>13342</v>
      </c>
      <c r="H7" s="3">
        <v>2831</v>
      </c>
      <c r="I7" s="3">
        <v>3.39</v>
      </c>
      <c r="J7" s="3">
        <v>107</v>
      </c>
      <c r="K7" s="15" t="str">
        <f ca="1">IF(F7="Enrolled",TODAY()-E7,"0")</f>
        <v>0</v>
      </c>
      <c r="L7" s="3" t="str">
        <f>IF(I7&gt;=3.5,"Excellent",IF(I7&gt;=3,"Good",IF(I7&gt;=2,"Average","Poor")))</f>
        <v>Good</v>
      </c>
      <c r="M7" s="3" t="str">
        <v>Dr.Sharma</v>
      </c>
      <c r="N7" s="3" t="str">
        <f>IF(H7 &gt; (G7*50%), "Yes", "No")</f>
        <v>No</v>
      </c>
      <c r="O7" s="16">
        <f>G7-H7</f>
        <v>10511</v>
      </c>
      <c r="P7" s="16">
        <f>SUMIFS(O7:O7,E7:E7,"Science",F7:F7,"Completed")</f>
        <v>0</v>
      </c>
      <c r="Q7" s="3" t="str">
        <f>IF(MONTH(E7)&gt;=7, YEAR(E7)&amp;"-"&amp;YEAR(E7)+1, YEAR(E7)-1&amp;"-"&amp;YEAR(E7))</f>
        <v>2021-2022</v>
      </c>
      <c r="R7" s="3"/>
      <c r="S7" s="3"/>
      <c r="T7" s="15">
        <f t="shared" ca="1" si="0"/>
        <v>1317</v>
      </c>
      <c r="U7" s="3"/>
    </row>
    <row r="8" spans="1:21" x14ac:dyDescent="0.35">
      <c r="A8" s="3" t="s">
        <v>32</v>
      </c>
      <c r="B8" s="3" t="s">
        <v>33</v>
      </c>
      <c r="C8" s="3" t="s">
        <v>25</v>
      </c>
      <c r="D8" s="3" t="s">
        <v>13</v>
      </c>
      <c r="E8" s="6">
        <v>44976</v>
      </c>
      <c r="F8" s="3" t="s">
        <v>14</v>
      </c>
      <c r="G8" s="3">
        <v>3831</v>
      </c>
      <c r="H8" s="3">
        <v>3078</v>
      </c>
      <c r="I8" s="3">
        <v>2.4500000000000002</v>
      </c>
      <c r="J8" s="3">
        <v>70</v>
      </c>
      <c r="K8" s="15">
        <f ca="1">IF(F8="Enrolled",TODAY()-E8,"0")</f>
        <v>1078</v>
      </c>
      <c r="L8" s="3" t="str">
        <f>IF(I8&gt;=3.5,"Excellent",IF(I8&gt;=3,"Good",IF(I8&gt;=2,"Average","Poor")))</f>
        <v>Average</v>
      </c>
      <c r="M8" s="3" t="str">
        <v>Dr.Mehta</v>
      </c>
      <c r="N8" s="3" t="str">
        <f>IF(H8 &gt; (G8*50%), "Yes", "No")</f>
        <v>Yes</v>
      </c>
      <c r="O8" s="16">
        <f>G8-H8</f>
        <v>753</v>
      </c>
      <c r="P8" s="16">
        <f>SUMIFS(O8:O8,E8:E8,"Science",F8:F8,"Completed")</f>
        <v>0</v>
      </c>
      <c r="Q8" s="3" t="str">
        <f>IF(MONTH(E8)&gt;=7, YEAR(E8)&amp;"-"&amp;YEAR(E8)+1, YEAR(E8)-1&amp;"-"&amp;YEAR(E8))</f>
        <v>2022-2023</v>
      </c>
      <c r="R8" s="3"/>
      <c r="S8" s="3"/>
      <c r="T8" s="15" t="str">
        <f t="shared" ca="1" si="0"/>
        <v>0</v>
      </c>
      <c r="U8" s="3"/>
    </row>
    <row r="9" spans="1:21" x14ac:dyDescent="0.35">
      <c r="A9" s="3" t="s">
        <v>34</v>
      </c>
      <c r="B9" s="3" t="s">
        <v>35</v>
      </c>
      <c r="C9" s="3" t="s">
        <v>36</v>
      </c>
      <c r="D9" s="3" t="s">
        <v>13</v>
      </c>
      <c r="E9" s="6">
        <v>44714</v>
      </c>
      <c r="F9" s="3" t="s">
        <v>14</v>
      </c>
      <c r="G9" s="3">
        <v>8155</v>
      </c>
      <c r="H9" s="3">
        <v>6039</v>
      </c>
      <c r="I9" s="3">
        <v>3.41</v>
      </c>
      <c r="J9" s="3">
        <v>118</v>
      </c>
      <c r="K9" s="15">
        <f ca="1">IF(F9="Enrolled",TODAY()-E9,"0")</f>
        <v>1340</v>
      </c>
      <c r="L9" s="3" t="str">
        <f>IF(I9&gt;=3.5,"Excellent",IF(I9&gt;=3,"Good",IF(I9&gt;=2,"Average","Poor")))</f>
        <v>Good</v>
      </c>
      <c r="M9" s="3" t="str">
        <v>Dr.Mehta</v>
      </c>
      <c r="N9" s="3" t="str">
        <f>IF(H9 &gt; (G9*50%), "Yes", "No")</f>
        <v>Yes</v>
      </c>
      <c r="O9" s="16">
        <f>G9-H9</f>
        <v>2116</v>
      </c>
      <c r="P9" s="16">
        <f>SUMIFS(O9:O9,E9:E9,"Science",F9:F9,"Completed")</f>
        <v>0</v>
      </c>
      <c r="Q9" s="3" t="str">
        <f>IF(MONTH(E9)&gt;=7, YEAR(E9)&amp;"-"&amp;YEAR(E9)+1, YEAR(E9)-1&amp;"-"&amp;YEAR(E9))</f>
        <v>2021-2022</v>
      </c>
      <c r="R9" s="3"/>
      <c r="S9" s="3"/>
      <c r="T9" s="15" t="str">
        <f t="shared" ca="1" si="0"/>
        <v>0</v>
      </c>
      <c r="U9" s="3"/>
    </row>
    <row r="10" spans="1:21" x14ac:dyDescent="0.35">
      <c r="A10" s="3" t="s">
        <v>37</v>
      </c>
      <c r="B10" s="3" t="s">
        <v>38</v>
      </c>
      <c r="C10" s="3" t="s">
        <v>28</v>
      </c>
      <c r="D10" s="3" t="s">
        <v>31</v>
      </c>
      <c r="E10" s="6">
        <v>44939</v>
      </c>
      <c r="F10" s="3" t="s">
        <v>39</v>
      </c>
      <c r="G10" s="3">
        <v>4061</v>
      </c>
      <c r="H10" s="3">
        <v>2208</v>
      </c>
      <c r="I10" s="3">
        <v>3.2</v>
      </c>
      <c r="J10" s="3">
        <v>100</v>
      </c>
      <c r="K10" s="15" t="str">
        <f ca="1">IF(F10="Enrolled",TODAY()-E10,"0")</f>
        <v>0</v>
      </c>
      <c r="L10" s="3" t="str">
        <f>IF(I10&gt;=3.5,"Excellent",IF(I10&gt;=3,"Good",IF(I10&gt;=2,"Average","Poor")))</f>
        <v>Good</v>
      </c>
      <c r="M10" s="3" t="str">
        <v>Dr.Sharma</v>
      </c>
      <c r="N10" s="3" t="str">
        <f>IF(H10 &gt; (G10*50%), "Yes", "No")</f>
        <v>Yes</v>
      </c>
      <c r="O10" s="16">
        <f>G10-H10</f>
        <v>1853</v>
      </c>
      <c r="P10" s="16">
        <f>SUMIFS(O10:O10,E10:E10,"Science",F10:F10,"Completed")</f>
        <v>0</v>
      </c>
      <c r="Q10" s="3" t="str">
        <f>IF(MONTH(E10)&gt;=7, YEAR(E10)&amp;"-"&amp;YEAR(E10)+1, YEAR(E10)-1&amp;"-"&amp;YEAR(E10))</f>
        <v>2022-2023</v>
      </c>
      <c r="R10" s="3"/>
      <c r="S10" s="3"/>
      <c r="T10" s="15" t="str">
        <f t="shared" ca="1" si="0"/>
        <v>0</v>
      </c>
      <c r="U10" s="3"/>
    </row>
    <row r="11" spans="1:21" x14ac:dyDescent="0.35">
      <c r="A11" s="3" t="s">
        <v>40</v>
      </c>
      <c r="B11" s="3" t="s">
        <v>41</v>
      </c>
      <c r="C11" s="3" t="s">
        <v>17</v>
      </c>
      <c r="D11" s="3" t="s">
        <v>13</v>
      </c>
      <c r="E11" s="6">
        <v>44881</v>
      </c>
      <c r="F11" s="3" t="s">
        <v>19</v>
      </c>
      <c r="G11" s="3">
        <v>5718</v>
      </c>
      <c r="H11" s="3">
        <v>2737</v>
      </c>
      <c r="I11" s="3">
        <v>2.02</v>
      </c>
      <c r="J11" s="3">
        <v>38</v>
      </c>
      <c r="K11" s="15" t="str">
        <f ca="1">IF(F11="Enrolled",TODAY()-E11,"0")</f>
        <v>0</v>
      </c>
      <c r="L11" s="3" t="str">
        <f>IF(I11&gt;=3.5,"Excellent",IF(I11&gt;=3,"Good",IF(I11&gt;=2,"Average","Poor")))</f>
        <v>Average</v>
      </c>
      <c r="M11" s="3" t="str">
        <v>Dr.Mehta</v>
      </c>
      <c r="N11" s="3" t="str">
        <f>IF(H11 &gt; (G11*50%), "Yes", "No")</f>
        <v>No</v>
      </c>
      <c r="O11" s="16">
        <f>G11-H11</f>
        <v>2981</v>
      </c>
      <c r="P11" s="16">
        <f>SUMIFS(O11:O11,E11:E11,"Science",F11:F11,"Completed")</f>
        <v>0</v>
      </c>
      <c r="Q11" s="3" t="str">
        <f>IF(MONTH(E11)&gt;=7, YEAR(E11)&amp;"-"&amp;YEAR(E11)+1, YEAR(E11)-1&amp;"-"&amp;YEAR(E11))</f>
        <v>2022-2023</v>
      </c>
      <c r="R11" s="3"/>
      <c r="S11" s="3"/>
      <c r="T11" s="15">
        <f t="shared" ca="1" si="0"/>
        <v>1173</v>
      </c>
      <c r="U11" s="3"/>
    </row>
    <row r="12" spans="1:21" x14ac:dyDescent="0.35">
      <c r="A12" s="3" t="s">
        <v>42</v>
      </c>
      <c r="B12" s="3" t="s">
        <v>43</v>
      </c>
      <c r="C12" s="3" t="s">
        <v>22</v>
      </c>
      <c r="D12" s="3" t="s">
        <v>31</v>
      </c>
      <c r="E12" s="6">
        <v>45009</v>
      </c>
      <c r="F12" s="3" t="s">
        <v>14</v>
      </c>
      <c r="G12" s="3">
        <v>9724</v>
      </c>
      <c r="H12" s="3">
        <v>2303</v>
      </c>
      <c r="I12" s="3">
        <v>2.61</v>
      </c>
      <c r="J12" s="3">
        <v>52</v>
      </c>
      <c r="K12" s="15">
        <f ca="1">IF(F12="Enrolled",TODAY()-E12,"0")</f>
        <v>1045</v>
      </c>
      <c r="L12" s="3" t="str">
        <f>IF(I12&gt;=3.5,"Excellent",IF(I12&gt;=3,"Good",IF(I12&gt;=2,"Average","Poor")))</f>
        <v>Average</v>
      </c>
      <c r="M12" s="3" t="str">
        <v>Dr.Sharma</v>
      </c>
      <c r="N12" s="3" t="str">
        <f>IF(H12 &gt; (G12*50%), "Yes", "No")</f>
        <v>No</v>
      </c>
      <c r="O12" s="16">
        <f>G12-H12</f>
        <v>7421</v>
      </c>
      <c r="P12" s="16">
        <f>SUMIFS(O12:O12,E12:E12,"Science",F12:F12,"Completed")</f>
        <v>0</v>
      </c>
      <c r="Q12" s="3" t="str">
        <f>IF(MONTH(E12)&gt;=7, YEAR(E12)&amp;"-"&amp;YEAR(E12)+1, YEAR(E12)-1&amp;"-"&amp;YEAR(E12))</f>
        <v>2022-2023</v>
      </c>
      <c r="R12" s="3"/>
      <c r="S12" s="3"/>
      <c r="T12" s="15" t="str">
        <f t="shared" ca="1" si="0"/>
        <v>0</v>
      </c>
      <c r="U12" s="3"/>
    </row>
    <row r="13" spans="1:21" x14ac:dyDescent="0.35">
      <c r="A13" s="3" t="s">
        <v>44</v>
      </c>
      <c r="B13" s="3" t="s">
        <v>45</v>
      </c>
      <c r="C13" s="3" t="s">
        <v>28</v>
      </c>
      <c r="D13" s="3" t="s">
        <v>31</v>
      </c>
      <c r="E13" s="6">
        <v>44624</v>
      </c>
      <c r="F13" s="3" t="s">
        <v>14</v>
      </c>
      <c r="G13" s="3">
        <v>6176</v>
      </c>
      <c r="H13" s="3">
        <v>5301</v>
      </c>
      <c r="I13" s="3">
        <v>3.16</v>
      </c>
      <c r="J13" s="3">
        <v>37</v>
      </c>
      <c r="K13" s="15">
        <f ca="1">IF(F13="Enrolled",TODAY()-E13,"0")</f>
        <v>1430</v>
      </c>
      <c r="L13" s="3" t="str">
        <f>IF(I13&gt;=3.5,"Excellent",IF(I13&gt;=3,"Good",IF(I13&gt;=2,"Average","Poor")))</f>
        <v>Good</v>
      </c>
      <c r="M13" s="3" t="str">
        <v>Dr.Sharma</v>
      </c>
      <c r="N13" s="3" t="str">
        <f>IF(H13 &gt; (G13*50%), "Yes", "No")</f>
        <v>Yes</v>
      </c>
      <c r="O13" s="16">
        <f>G13-H13</f>
        <v>875</v>
      </c>
      <c r="P13" s="16">
        <f>SUMIFS(O13:O13,E13:E13,"Science",F13:F13,"Completed")</f>
        <v>0</v>
      </c>
      <c r="Q13" s="3" t="str">
        <f>IF(MONTH(E13)&gt;=7, YEAR(E13)&amp;"-"&amp;YEAR(E13)+1, YEAR(E13)-1&amp;"-"&amp;YEAR(E13))</f>
        <v>2021-2022</v>
      </c>
      <c r="R13" s="3"/>
      <c r="S13" s="3"/>
      <c r="T13" s="15" t="str">
        <f t="shared" ca="1" si="0"/>
        <v>0</v>
      </c>
      <c r="U13" s="3"/>
    </row>
    <row r="14" spans="1:21" x14ac:dyDescent="0.35">
      <c r="A14" s="3" t="s">
        <v>46</v>
      </c>
      <c r="B14" s="3" t="s">
        <v>47</v>
      </c>
      <c r="C14" s="3" t="s">
        <v>17</v>
      </c>
      <c r="D14" s="3" t="s">
        <v>18</v>
      </c>
      <c r="E14" s="6">
        <v>45219</v>
      </c>
      <c r="F14" s="3" t="s">
        <v>19</v>
      </c>
      <c r="G14" s="3">
        <v>11085</v>
      </c>
      <c r="H14" s="3">
        <v>1939</v>
      </c>
      <c r="I14" s="3">
        <v>3.02</v>
      </c>
      <c r="J14" s="3">
        <v>107</v>
      </c>
      <c r="K14" s="15" t="str">
        <f ca="1">IF(F14="Enrolled",TODAY()-E14,"0")</f>
        <v>0</v>
      </c>
      <c r="L14" s="3" t="str">
        <f>IF(I14&gt;=3.5,"Excellent",IF(I14&gt;=3,"Good",IF(I14&gt;=2,"Average","Poor")))</f>
        <v>Good</v>
      </c>
      <c r="M14" s="3" t="str">
        <v>Dr.Roy</v>
      </c>
      <c r="N14" s="3" t="str">
        <f>IF(H14 &gt; (G14*50%), "Yes", "No")</f>
        <v>No</v>
      </c>
      <c r="O14" s="16">
        <f>G14-H14</f>
        <v>9146</v>
      </c>
      <c r="P14" s="16">
        <f>SUMIFS(O14:O14,E14:E14,"Science",F14:F14,"Completed")</f>
        <v>0</v>
      </c>
      <c r="Q14" s="3" t="str">
        <f>IF(MONTH(E14)&gt;=7, YEAR(E14)&amp;"-"&amp;YEAR(E14)+1, YEAR(E14)-1&amp;"-"&amp;YEAR(E14))</f>
        <v>2023-2024</v>
      </c>
      <c r="R14" s="3"/>
      <c r="S14" s="3"/>
      <c r="T14" s="15">
        <f t="shared" ca="1" si="0"/>
        <v>835</v>
      </c>
      <c r="U14" s="3"/>
    </row>
    <row r="15" spans="1:21" x14ac:dyDescent="0.35">
      <c r="A15" s="3" t="s">
        <v>48</v>
      </c>
      <c r="B15" s="3" t="s">
        <v>49</v>
      </c>
      <c r="C15" s="3" t="s">
        <v>36</v>
      </c>
      <c r="D15" s="3" t="s">
        <v>18</v>
      </c>
      <c r="E15" s="6">
        <v>44867</v>
      </c>
      <c r="F15" s="3" t="s">
        <v>19</v>
      </c>
      <c r="G15" s="3">
        <v>8006</v>
      </c>
      <c r="H15" s="3">
        <v>7602</v>
      </c>
      <c r="I15" s="3">
        <v>3.38</v>
      </c>
      <c r="J15" s="3">
        <v>84</v>
      </c>
      <c r="K15" s="15" t="str">
        <f ca="1">IF(F15="Enrolled",TODAY()-E15,"0")</f>
        <v>0</v>
      </c>
      <c r="L15" s="3" t="str">
        <f>IF(I15&gt;=3.5,"Excellent",IF(I15&gt;=3,"Good",IF(I15&gt;=2,"Average","Poor")))</f>
        <v>Good</v>
      </c>
      <c r="M15" s="3" t="str">
        <v>Dr.Roy</v>
      </c>
      <c r="N15" s="3" t="str">
        <f>IF(H15 &gt; (G15*50%), "Yes", "No")</f>
        <v>Yes</v>
      </c>
      <c r="O15" s="16">
        <f>G15-H15</f>
        <v>404</v>
      </c>
      <c r="P15" s="16">
        <f>SUMIFS(O15:O15,E15:E15,"Science",F15:F15,"Completed")</f>
        <v>0</v>
      </c>
      <c r="Q15" s="3" t="str">
        <f>IF(MONTH(E15)&gt;=7, YEAR(E15)&amp;"-"&amp;YEAR(E15)+1, YEAR(E15)-1&amp;"-"&amp;YEAR(E15))</f>
        <v>2022-2023</v>
      </c>
      <c r="R15" s="3"/>
      <c r="S15" s="3"/>
      <c r="T15" s="15">
        <f t="shared" ca="1" si="0"/>
        <v>1187</v>
      </c>
      <c r="U15" s="3"/>
    </row>
    <row r="16" spans="1:21" x14ac:dyDescent="0.35">
      <c r="A16" s="3" t="s">
        <v>50</v>
      </c>
      <c r="B16" s="3" t="s">
        <v>51</v>
      </c>
      <c r="C16" s="3" t="s">
        <v>36</v>
      </c>
      <c r="D16" s="3" t="s">
        <v>18</v>
      </c>
      <c r="E16" s="6">
        <v>45196</v>
      </c>
      <c r="F16" s="3" t="s">
        <v>14</v>
      </c>
      <c r="G16" s="3">
        <v>14699</v>
      </c>
      <c r="H16" s="3">
        <v>4188</v>
      </c>
      <c r="I16" s="3">
        <v>3.4</v>
      </c>
      <c r="J16" s="3">
        <v>25</v>
      </c>
      <c r="K16" s="15">
        <f ca="1">IF(F16="Enrolled",TODAY()-E16,"0")</f>
        <v>858</v>
      </c>
      <c r="L16" s="3" t="str">
        <f>IF(I16&gt;=3.5,"Excellent",IF(I16&gt;=3,"Good",IF(I16&gt;=2,"Average","Poor")))</f>
        <v>Good</v>
      </c>
      <c r="M16" s="3" t="str">
        <v>Dr.Roy</v>
      </c>
      <c r="N16" s="3" t="str">
        <f>IF(H16 &gt; (G16*50%), "Yes", "No")</f>
        <v>No</v>
      </c>
      <c r="O16" s="16">
        <f>G16-H16</f>
        <v>10511</v>
      </c>
      <c r="P16" s="16">
        <f>SUMIFS(O16:O16,E16:E16,"Science",F16:F16,"Completed")</f>
        <v>0</v>
      </c>
      <c r="Q16" s="3" t="str">
        <f>IF(MONTH(E16)&gt;=7, YEAR(E16)&amp;"-"&amp;YEAR(E16)+1, YEAR(E16)-1&amp;"-"&amp;YEAR(E16))</f>
        <v>2023-2024</v>
      </c>
      <c r="R16" s="3"/>
      <c r="S16" s="3"/>
      <c r="T16" s="15" t="str">
        <f t="shared" ca="1" si="0"/>
        <v>0</v>
      </c>
      <c r="U16" s="3"/>
    </row>
    <row r="17" spans="1:21" x14ac:dyDescent="0.35">
      <c r="A17" s="3" t="s">
        <v>52</v>
      </c>
      <c r="B17" s="3" t="s">
        <v>53</v>
      </c>
      <c r="C17" s="3" t="s">
        <v>54</v>
      </c>
      <c r="D17" s="3" t="s">
        <v>31</v>
      </c>
      <c r="E17" s="6">
        <v>44685</v>
      </c>
      <c r="F17" s="3" t="s">
        <v>19</v>
      </c>
      <c r="G17" s="3">
        <v>10985</v>
      </c>
      <c r="H17" s="3">
        <v>1391</v>
      </c>
      <c r="I17" s="3">
        <v>3.47</v>
      </c>
      <c r="J17" s="3">
        <v>18</v>
      </c>
      <c r="K17" s="15" t="str">
        <f ca="1">IF(F17="Enrolled",TODAY()-E17,"0")</f>
        <v>0</v>
      </c>
      <c r="L17" s="3" t="str">
        <f>IF(I17&gt;=3.5,"Excellent",IF(I17&gt;=3,"Good",IF(I17&gt;=2,"Average","Poor")))</f>
        <v>Good</v>
      </c>
      <c r="M17" s="3" t="str">
        <v>Dr.Sharma</v>
      </c>
      <c r="N17" s="3" t="str">
        <f>IF(H17 &gt; (G17*50%), "Yes", "No")</f>
        <v>No</v>
      </c>
      <c r="O17" s="16">
        <f>G17-H17</f>
        <v>9594</v>
      </c>
      <c r="P17" s="16">
        <f>SUMIFS(O17:O17,E17:E17,"Science",F17:F17,"Completed")</f>
        <v>0</v>
      </c>
      <c r="Q17" s="3" t="str">
        <f>IF(MONTH(E17)&gt;=7, YEAR(E17)&amp;"-"&amp;YEAR(E17)+1, YEAR(E17)-1&amp;"-"&amp;YEAR(E17))</f>
        <v>2021-2022</v>
      </c>
      <c r="R17" s="3"/>
      <c r="S17" s="3"/>
      <c r="T17" s="15">
        <f t="shared" ca="1" si="0"/>
        <v>1369</v>
      </c>
      <c r="U17" s="3"/>
    </row>
    <row r="18" spans="1:21" x14ac:dyDescent="0.35">
      <c r="A18" s="3" t="s">
        <v>55</v>
      </c>
      <c r="B18" s="3" t="s">
        <v>56</v>
      </c>
      <c r="C18" s="3" t="s">
        <v>57</v>
      </c>
      <c r="D18" s="3" t="s">
        <v>13</v>
      </c>
      <c r="E18" s="6">
        <v>45129</v>
      </c>
      <c r="F18" s="3" t="s">
        <v>14</v>
      </c>
      <c r="G18" s="3">
        <v>6946</v>
      </c>
      <c r="H18" s="3">
        <v>8514</v>
      </c>
      <c r="I18" s="3">
        <v>2.08</v>
      </c>
      <c r="J18" s="3">
        <v>73</v>
      </c>
      <c r="K18" s="15">
        <f ca="1">IF(F18="Enrolled",TODAY()-E18,"0")</f>
        <v>925</v>
      </c>
      <c r="L18" s="3" t="str">
        <f>IF(I18&gt;=3.5,"Excellent",IF(I18&gt;=3,"Good",IF(I18&gt;=2,"Average","Poor")))</f>
        <v>Average</v>
      </c>
      <c r="M18" s="3" t="str">
        <v>Dr.Mehta</v>
      </c>
      <c r="N18" s="3" t="str">
        <f>IF(H18 &gt; (G18*50%), "Yes", "No")</f>
        <v>Yes</v>
      </c>
      <c r="O18" s="16">
        <f>G18-H18</f>
        <v>-1568</v>
      </c>
      <c r="P18" s="16">
        <f>SUMIFS(O18:O18,E18:E18,"Science",F18:F18,"Completed")</f>
        <v>0</v>
      </c>
      <c r="Q18" s="3" t="str">
        <f>IF(MONTH(E18)&gt;=7, YEAR(E18)&amp;"-"&amp;YEAR(E18)+1, YEAR(E18)-1&amp;"-"&amp;YEAR(E18))</f>
        <v>2023-2024</v>
      </c>
      <c r="R18" s="3"/>
      <c r="S18" s="3"/>
      <c r="T18" s="15" t="str">
        <f t="shared" ca="1" si="0"/>
        <v>0</v>
      </c>
      <c r="U18" s="3"/>
    </row>
    <row r="19" spans="1:21" x14ac:dyDescent="0.35">
      <c r="A19" s="3" t="s">
        <v>58</v>
      </c>
      <c r="B19" s="3" t="s">
        <v>59</v>
      </c>
      <c r="C19" s="3" t="s">
        <v>22</v>
      </c>
      <c r="D19" s="3" t="s">
        <v>18</v>
      </c>
      <c r="E19" s="6">
        <v>45222</v>
      </c>
      <c r="F19" s="3" t="s">
        <v>14</v>
      </c>
      <c r="G19" s="3">
        <v>5088</v>
      </c>
      <c r="H19" s="3">
        <v>1973</v>
      </c>
      <c r="I19" s="3">
        <v>3.56</v>
      </c>
      <c r="J19" s="3">
        <v>52</v>
      </c>
      <c r="K19" s="15">
        <f ca="1">IF(F19="Enrolled",TODAY()-E19,"0")</f>
        <v>832</v>
      </c>
      <c r="L19" s="3" t="str">
        <f>IF(I19&gt;=3.5,"Excellent",IF(I19&gt;=3,"Good",IF(I19&gt;=2,"Average","Poor")))</f>
        <v>Excellent</v>
      </c>
      <c r="M19" s="3" t="str">
        <v>Dr.Roy</v>
      </c>
      <c r="N19" s="3" t="str">
        <f>IF(H19 &gt; (G19*50%), "Yes", "No")</f>
        <v>No</v>
      </c>
      <c r="O19" s="16">
        <f>G19-H19</f>
        <v>3115</v>
      </c>
      <c r="P19" s="16">
        <f>SUMIFS(O19:O19,E19:E19,"Science",F19:F19,"Completed")</f>
        <v>0</v>
      </c>
      <c r="Q19" s="3" t="str">
        <f>IF(MONTH(E19)&gt;=7, YEAR(E19)&amp;"-"&amp;YEAR(E19)+1, YEAR(E19)-1&amp;"-"&amp;YEAR(E19))</f>
        <v>2023-2024</v>
      </c>
      <c r="R19" s="3"/>
      <c r="S19" s="3"/>
      <c r="T19" s="15" t="str">
        <f t="shared" ca="1" si="0"/>
        <v>0</v>
      </c>
      <c r="U19" s="3"/>
    </row>
    <row r="20" spans="1:21" x14ac:dyDescent="0.35">
      <c r="A20" s="3" t="s">
        <v>60</v>
      </c>
      <c r="B20" s="3" t="s">
        <v>61</v>
      </c>
      <c r="C20" s="3" t="s">
        <v>28</v>
      </c>
      <c r="D20" s="3" t="s">
        <v>62</v>
      </c>
      <c r="E20" s="6">
        <v>44961</v>
      </c>
      <c r="F20" s="3" t="s">
        <v>14</v>
      </c>
      <c r="G20" s="3">
        <v>3188</v>
      </c>
      <c r="H20" s="3">
        <v>9735</v>
      </c>
      <c r="I20" s="3">
        <v>3.54</v>
      </c>
      <c r="J20" s="3">
        <v>67</v>
      </c>
      <c r="K20" s="15">
        <f ca="1">IF(F20="Enrolled",TODAY()-E20,"0")</f>
        <v>1093</v>
      </c>
      <c r="L20" s="3" t="str">
        <f>IF(I20&gt;=3.5,"Excellent",IF(I20&gt;=3,"Good",IF(I20&gt;=2,"Average","Poor")))</f>
        <v>Excellent</v>
      </c>
      <c r="M20" s="3" t="str">
        <v>Dr.Sinha</v>
      </c>
      <c r="N20" s="3" t="str">
        <f>IF(H20 &gt; (G20*50%), "Yes", "No")</f>
        <v>Yes</v>
      </c>
      <c r="O20" s="16">
        <f>G20-H20</f>
        <v>-6547</v>
      </c>
      <c r="P20" s="16">
        <f>SUMIFS(O20:O20,E20:E20,"Science",F20:F20,"Completed")</f>
        <v>0</v>
      </c>
      <c r="Q20" s="3" t="str">
        <f>IF(MONTH(E20)&gt;=7, YEAR(E20)&amp;"-"&amp;YEAR(E20)+1, YEAR(E20)-1&amp;"-"&amp;YEAR(E20))</f>
        <v>2022-2023</v>
      </c>
      <c r="R20" s="3"/>
      <c r="S20" s="3"/>
      <c r="T20" s="15" t="str">
        <f t="shared" ca="1" si="0"/>
        <v>0</v>
      </c>
      <c r="U20" s="3"/>
    </row>
    <row r="21" spans="1:21" x14ac:dyDescent="0.35">
      <c r="A21" s="3" t="s">
        <v>63</v>
      </c>
      <c r="B21" s="3" t="s">
        <v>64</v>
      </c>
      <c r="C21" s="3" t="s">
        <v>54</v>
      </c>
      <c r="D21" s="3" t="s">
        <v>31</v>
      </c>
      <c r="E21" s="6">
        <v>44772</v>
      </c>
      <c r="F21" s="3" t="s">
        <v>19</v>
      </c>
      <c r="G21" s="3">
        <v>6258</v>
      </c>
      <c r="H21" s="3">
        <v>9965</v>
      </c>
      <c r="I21" s="3">
        <v>2.48</v>
      </c>
      <c r="J21" s="3">
        <v>100</v>
      </c>
      <c r="K21" s="15" t="str">
        <f ca="1">IF(F21="Enrolled",TODAY()-E21,"0")</f>
        <v>0</v>
      </c>
      <c r="L21" s="3" t="str">
        <f>IF(I21&gt;=3.5,"Excellent",IF(I21&gt;=3,"Good",IF(I21&gt;=2,"Average","Poor")))</f>
        <v>Average</v>
      </c>
      <c r="M21" s="3" t="str">
        <v>Dr.Sharma</v>
      </c>
      <c r="N21" s="3" t="str">
        <f>IF(H21 &gt; (G21*50%), "Yes", "No")</f>
        <v>Yes</v>
      </c>
      <c r="O21" s="16">
        <f>G21-H21</f>
        <v>-3707</v>
      </c>
      <c r="P21" s="16">
        <f>SUMIFS(O21:O21,E21:E21,"Science",F21:F21,"Completed")</f>
        <v>0</v>
      </c>
      <c r="Q21" s="3" t="str">
        <f>IF(MONTH(E21)&gt;=7, YEAR(E21)&amp;"-"&amp;YEAR(E21)+1, YEAR(E21)-1&amp;"-"&amp;YEAR(E21))</f>
        <v>2022-2023</v>
      </c>
      <c r="R21" s="3"/>
      <c r="S21" s="3"/>
      <c r="T21" s="15">
        <f t="shared" ca="1" si="0"/>
        <v>1282</v>
      </c>
      <c r="U21" s="3"/>
    </row>
    <row r="22" spans="1:21" x14ac:dyDescent="0.35">
      <c r="A22" s="3" t="s">
        <v>65</v>
      </c>
      <c r="B22" s="3" t="s">
        <v>66</v>
      </c>
      <c r="C22" s="3" t="s">
        <v>25</v>
      </c>
      <c r="D22" s="3" t="s">
        <v>18</v>
      </c>
      <c r="E22" s="6">
        <v>45166</v>
      </c>
      <c r="F22" s="3" t="s">
        <v>14</v>
      </c>
      <c r="G22" s="3">
        <v>12607</v>
      </c>
      <c r="H22" s="3">
        <v>4963</v>
      </c>
      <c r="I22" s="3">
        <v>2.86</v>
      </c>
      <c r="J22" s="3">
        <v>25</v>
      </c>
      <c r="K22" s="15">
        <f ca="1">IF(F22="Enrolled",TODAY()-E22,"0")</f>
        <v>888</v>
      </c>
      <c r="L22" s="3" t="str">
        <f>IF(I22&gt;=3.5,"Excellent",IF(I22&gt;=3,"Good",IF(I22&gt;=2,"Average","Poor")))</f>
        <v>Average</v>
      </c>
      <c r="M22" s="3" t="str">
        <v>Dr.Roy</v>
      </c>
      <c r="N22" s="3" t="str">
        <f>IF(H22 &gt; (G22*50%), "Yes", "No")</f>
        <v>No</v>
      </c>
      <c r="O22" s="16">
        <f>G22-H22</f>
        <v>7644</v>
      </c>
      <c r="P22" s="16">
        <f>SUMIFS(O22:O22,E22:E22,"Science",F22:F22,"Completed")</f>
        <v>0</v>
      </c>
      <c r="Q22" s="3" t="str">
        <f>IF(MONTH(E22)&gt;=7, YEAR(E22)&amp;"-"&amp;YEAR(E22)+1, YEAR(E22)-1&amp;"-"&amp;YEAR(E22))</f>
        <v>2023-2024</v>
      </c>
      <c r="R22" s="3"/>
      <c r="S22" s="3"/>
      <c r="T22" s="15" t="str">
        <f t="shared" ca="1" si="0"/>
        <v>0</v>
      </c>
      <c r="U22" s="3"/>
    </row>
    <row r="23" spans="1:21" x14ac:dyDescent="0.35">
      <c r="A23" s="3" t="s">
        <v>67</v>
      </c>
      <c r="B23" s="3" t="s">
        <v>68</v>
      </c>
      <c r="C23" s="3" t="s">
        <v>25</v>
      </c>
      <c r="D23" s="3" t="s">
        <v>31</v>
      </c>
      <c r="E23" s="6">
        <v>45004</v>
      </c>
      <c r="F23" s="3" t="s">
        <v>14</v>
      </c>
      <c r="G23" s="3">
        <v>9303</v>
      </c>
      <c r="H23" s="3">
        <v>9181</v>
      </c>
      <c r="I23" s="3">
        <v>2.12</v>
      </c>
      <c r="J23" s="3">
        <v>119</v>
      </c>
      <c r="K23" s="15">
        <f ca="1">IF(F23="Enrolled",TODAY()-E23,"0")</f>
        <v>1050</v>
      </c>
      <c r="L23" s="3" t="str">
        <f>IF(I23&gt;=3.5,"Excellent",IF(I23&gt;=3,"Good",IF(I23&gt;=2,"Average","Poor")))</f>
        <v>Average</v>
      </c>
      <c r="M23" s="3" t="str">
        <v>Dr.Sharma</v>
      </c>
      <c r="N23" s="3" t="str">
        <f>IF(H23 &gt; (G23*50%), "Yes", "No")</f>
        <v>Yes</v>
      </c>
      <c r="O23" s="16">
        <f>G23-H23</f>
        <v>122</v>
      </c>
      <c r="P23" s="16">
        <f>SUMIFS(O23:O23,E23:E23,"Science",F23:F23,"Completed")</f>
        <v>0</v>
      </c>
      <c r="Q23" s="3" t="str">
        <f>IF(MONTH(E23)&gt;=7, YEAR(E23)&amp;"-"&amp;YEAR(E23)+1, YEAR(E23)-1&amp;"-"&amp;YEAR(E23))</f>
        <v>2022-2023</v>
      </c>
      <c r="R23" s="3"/>
      <c r="S23" s="3"/>
      <c r="T23" s="15" t="str">
        <f t="shared" ca="1" si="0"/>
        <v>0</v>
      </c>
      <c r="U23" s="3"/>
    </row>
    <row r="24" spans="1:21" x14ac:dyDescent="0.35">
      <c r="A24" s="3" t="s">
        <v>69</v>
      </c>
      <c r="B24" s="3" t="s">
        <v>70</v>
      </c>
      <c r="C24" s="3" t="s">
        <v>36</v>
      </c>
      <c r="D24" s="3" t="s">
        <v>13</v>
      </c>
      <c r="E24" s="6">
        <v>44932</v>
      </c>
      <c r="F24" s="3" t="s">
        <v>19</v>
      </c>
      <c r="G24" s="3">
        <v>2797</v>
      </c>
      <c r="H24" s="3">
        <v>6036</v>
      </c>
      <c r="I24" s="3">
        <v>2.36</v>
      </c>
      <c r="J24" s="3">
        <v>14</v>
      </c>
      <c r="K24" s="15" t="str">
        <f ca="1">IF(F24="Enrolled",TODAY()-E24,"0")</f>
        <v>0</v>
      </c>
      <c r="L24" s="3" t="str">
        <f>IF(I24&gt;=3.5,"Excellent",IF(I24&gt;=3,"Good",IF(I24&gt;=2,"Average","Poor")))</f>
        <v>Average</v>
      </c>
      <c r="M24" s="3" t="str">
        <v>Dr.Mehta</v>
      </c>
      <c r="N24" s="3" t="str">
        <f>IF(H24 &gt; (G24*50%), "Yes", "No")</f>
        <v>Yes</v>
      </c>
      <c r="O24" s="16">
        <f>G24-H24</f>
        <v>-3239</v>
      </c>
      <c r="P24" s="16">
        <f>SUMIFS(O24:O24,E24:E24,"Science",F24:F24,"Completed")</f>
        <v>0</v>
      </c>
      <c r="Q24" s="3" t="str">
        <f>IF(MONTH(E24)&gt;=7, YEAR(E24)&amp;"-"&amp;YEAR(E24)+1, YEAR(E24)-1&amp;"-"&amp;YEAR(E24))</f>
        <v>2022-2023</v>
      </c>
      <c r="R24" s="3"/>
      <c r="S24" s="3"/>
      <c r="T24" s="15">
        <f t="shared" ca="1" si="0"/>
        <v>1122</v>
      </c>
      <c r="U24" s="3"/>
    </row>
    <row r="25" spans="1:21" x14ac:dyDescent="0.35">
      <c r="A25" s="3" t="s">
        <v>71</v>
      </c>
      <c r="B25" s="3" t="s">
        <v>72</v>
      </c>
      <c r="C25" s="3" t="s">
        <v>12</v>
      </c>
      <c r="D25" s="3" t="s">
        <v>31</v>
      </c>
      <c r="E25" s="6">
        <v>45083</v>
      </c>
      <c r="F25" s="3" t="s">
        <v>19</v>
      </c>
      <c r="G25" s="3">
        <v>6057</v>
      </c>
      <c r="H25" s="3">
        <v>7133</v>
      </c>
      <c r="I25" s="3">
        <v>2.57</v>
      </c>
      <c r="J25" s="3">
        <v>93</v>
      </c>
      <c r="K25" s="15" t="str">
        <f ca="1">IF(F25="Enrolled",TODAY()-E25,"0")</f>
        <v>0</v>
      </c>
      <c r="L25" s="3" t="str">
        <f>IF(I25&gt;=3.5,"Excellent",IF(I25&gt;=3,"Good",IF(I25&gt;=2,"Average","Poor")))</f>
        <v>Average</v>
      </c>
      <c r="M25" s="3" t="str">
        <v>Dr.Sharma</v>
      </c>
      <c r="N25" s="3" t="str">
        <f>IF(H25 &gt; (G25*50%), "Yes", "No")</f>
        <v>Yes</v>
      </c>
      <c r="O25" s="16">
        <f>G25-H25</f>
        <v>-1076</v>
      </c>
      <c r="P25" s="16">
        <f>SUMIFS(O25:O25,E25:E25,"Science",F25:F25,"Completed")</f>
        <v>0</v>
      </c>
      <c r="Q25" s="3" t="str">
        <f>IF(MONTH(E25)&gt;=7, YEAR(E25)&amp;"-"&amp;YEAR(E25)+1, YEAR(E25)-1&amp;"-"&amp;YEAR(E25))</f>
        <v>2022-2023</v>
      </c>
      <c r="R25" s="3"/>
      <c r="S25" s="3"/>
      <c r="T25" s="15">
        <f t="shared" ca="1" si="0"/>
        <v>971</v>
      </c>
      <c r="U25" s="3"/>
    </row>
    <row r="26" spans="1:21" x14ac:dyDescent="0.35">
      <c r="A26" s="3" t="s">
        <v>73</v>
      </c>
      <c r="B26" s="3" t="s">
        <v>74</v>
      </c>
      <c r="C26" s="3" t="s">
        <v>57</v>
      </c>
      <c r="D26" s="3" t="s">
        <v>31</v>
      </c>
      <c r="E26" s="6">
        <v>44564</v>
      </c>
      <c r="F26" s="3" t="s">
        <v>19</v>
      </c>
      <c r="G26" s="3">
        <v>8791</v>
      </c>
      <c r="H26" s="3">
        <v>7232</v>
      </c>
      <c r="I26" s="3">
        <v>3.2</v>
      </c>
      <c r="J26" s="3">
        <v>14</v>
      </c>
      <c r="K26" s="15" t="str">
        <f ca="1">IF(F26="Enrolled",TODAY()-E26,"0")</f>
        <v>0</v>
      </c>
      <c r="L26" s="3" t="str">
        <f>IF(I26&gt;=3.5,"Excellent",IF(I26&gt;=3,"Good",IF(I26&gt;=2,"Average","Poor")))</f>
        <v>Good</v>
      </c>
      <c r="M26" s="3" t="str">
        <v>Dr.Sharma</v>
      </c>
      <c r="N26" s="3" t="str">
        <f>IF(H26 &gt; (G26*50%), "Yes", "No")</f>
        <v>Yes</v>
      </c>
      <c r="O26" s="16">
        <f>G26-H26</f>
        <v>1559</v>
      </c>
      <c r="P26" s="16">
        <f>SUMIFS(O26:O26,E26:E26,"Science",F26:F26,"Completed")</f>
        <v>0</v>
      </c>
      <c r="Q26" s="3" t="str">
        <f>IF(MONTH(E26)&gt;=7, YEAR(E26)&amp;"-"&amp;YEAR(E26)+1, YEAR(E26)-1&amp;"-"&amp;YEAR(E26))</f>
        <v>2021-2022</v>
      </c>
      <c r="R26" s="3"/>
      <c r="S26" s="3"/>
      <c r="T26" s="15">
        <f t="shared" ca="1" si="0"/>
        <v>1490</v>
      </c>
      <c r="U26" s="3"/>
    </row>
    <row r="27" spans="1:21" x14ac:dyDescent="0.35">
      <c r="A27" s="3" t="s">
        <v>75</v>
      </c>
      <c r="B27" s="3" t="s">
        <v>76</v>
      </c>
      <c r="C27" s="3" t="s">
        <v>22</v>
      </c>
      <c r="D27" s="3" t="s">
        <v>62</v>
      </c>
      <c r="E27" s="6">
        <v>45447</v>
      </c>
      <c r="F27" s="3" t="s">
        <v>14</v>
      </c>
      <c r="G27" s="3">
        <v>6655</v>
      </c>
      <c r="H27" s="3">
        <v>6637</v>
      </c>
      <c r="I27" s="3">
        <v>3.15</v>
      </c>
      <c r="J27" s="3">
        <v>43</v>
      </c>
      <c r="K27" s="15">
        <f ca="1">IF(F27="Enrolled",TODAY()-E27,"0")</f>
        <v>607</v>
      </c>
      <c r="L27" s="3" t="str">
        <f>IF(I27&gt;=3.5,"Excellent",IF(I27&gt;=3,"Good",IF(I27&gt;=2,"Average","Poor")))</f>
        <v>Good</v>
      </c>
      <c r="M27" s="3" t="str">
        <v>Dr.Sinha</v>
      </c>
      <c r="N27" s="3" t="str">
        <f>IF(H27 &gt; (G27*50%), "Yes", "No")</f>
        <v>Yes</v>
      </c>
      <c r="O27" s="16">
        <f>G27-H27</f>
        <v>18</v>
      </c>
      <c r="P27" s="16">
        <f>SUMIFS(O27:O27,E27:E27,"Science",F27:F27,"Completed")</f>
        <v>0</v>
      </c>
      <c r="Q27" s="3" t="str">
        <f>IF(MONTH(E27)&gt;=7, YEAR(E27)&amp;"-"&amp;YEAR(E27)+1, YEAR(E27)-1&amp;"-"&amp;YEAR(E27))</f>
        <v>2023-2024</v>
      </c>
      <c r="R27" s="3"/>
      <c r="S27" s="3"/>
      <c r="T27" s="15" t="str">
        <f t="shared" ca="1" si="0"/>
        <v>0</v>
      </c>
      <c r="U27" s="3"/>
    </row>
    <row r="28" spans="1:21" x14ac:dyDescent="0.35">
      <c r="A28" s="3" t="s">
        <v>77</v>
      </c>
      <c r="B28" s="3" t="s">
        <v>78</v>
      </c>
      <c r="C28" s="3" t="s">
        <v>12</v>
      </c>
      <c r="D28" s="3" t="s">
        <v>31</v>
      </c>
      <c r="E28" s="6">
        <v>45092</v>
      </c>
      <c r="F28" s="3" t="s">
        <v>19</v>
      </c>
      <c r="G28" s="3">
        <v>5008</v>
      </c>
      <c r="H28" s="3">
        <v>907</v>
      </c>
      <c r="I28" s="3">
        <v>3.83</v>
      </c>
      <c r="J28" s="3">
        <v>96</v>
      </c>
      <c r="K28" s="15" t="str">
        <f ca="1">IF(F28="Enrolled",TODAY()-E28,"0")</f>
        <v>0</v>
      </c>
      <c r="L28" s="3" t="str">
        <f>IF(I28&gt;=3.5,"Excellent",IF(I28&gt;=3,"Good",IF(I28&gt;=2,"Average","Poor")))</f>
        <v>Excellent</v>
      </c>
      <c r="M28" s="3" t="str">
        <v>Dr.Sharma</v>
      </c>
      <c r="N28" s="3" t="str">
        <f>IF(H28 &gt; (G28*50%), "Yes", "No")</f>
        <v>No</v>
      </c>
      <c r="O28" s="16">
        <f>G28-H28</f>
        <v>4101</v>
      </c>
      <c r="P28" s="16">
        <f>SUMIFS(O28:O28,E28:E28,"Science",F28:F28,"Completed")</f>
        <v>0</v>
      </c>
      <c r="Q28" s="3" t="str">
        <f>IF(MONTH(E28)&gt;=7, YEAR(E28)&amp;"-"&amp;YEAR(E28)+1, YEAR(E28)-1&amp;"-"&amp;YEAR(E28))</f>
        <v>2022-2023</v>
      </c>
      <c r="R28" s="3"/>
      <c r="S28" s="3"/>
      <c r="T28" s="15">
        <f t="shared" ca="1" si="0"/>
        <v>962</v>
      </c>
      <c r="U28" s="3"/>
    </row>
    <row r="29" spans="1:21" x14ac:dyDescent="0.35">
      <c r="A29" s="3" t="s">
        <v>79</v>
      </c>
      <c r="B29" s="3" t="s">
        <v>80</v>
      </c>
      <c r="C29" s="3" t="s">
        <v>36</v>
      </c>
      <c r="D29" s="3" t="s">
        <v>18</v>
      </c>
      <c r="E29" s="6">
        <v>44737</v>
      </c>
      <c r="F29" s="3" t="s">
        <v>14</v>
      </c>
      <c r="G29" s="3">
        <v>13997</v>
      </c>
      <c r="H29" s="3">
        <v>2778</v>
      </c>
      <c r="I29" s="3">
        <v>3.22</v>
      </c>
      <c r="J29" s="3">
        <v>87</v>
      </c>
      <c r="K29" s="15">
        <f ca="1">IF(F29="Enrolled",TODAY()-E29,"0")</f>
        <v>1317</v>
      </c>
      <c r="L29" s="3" t="str">
        <f>IF(I29&gt;=3.5,"Excellent",IF(I29&gt;=3,"Good",IF(I29&gt;=2,"Average","Poor")))</f>
        <v>Good</v>
      </c>
      <c r="M29" s="3" t="str">
        <v>Dr.Roy</v>
      </c>
      <c r="N29" s="3" t="str">
        <f>IF(H29 &gt; (G29*50%), "Yes", "No")</f>
        <v>No</v>
      </c>
      <c r="O29" s="16">
        <f>G29-H29</f>
        <v>11219</v>
      </c>
      <c r="P29" s="16">
        <f>SUMIFS(O29:O29,E29:E29,"Science",F29:F29,"Completed")</f>
        <v>0</v>
      </c>
      <c r="Q29" s="3" t="str">
        <f>IF(MONTH(E29)&gt;=7, YEAR(E29)&amp;"-"&amp;YEAR(E29)+1, YEAR(E29)-1&amp;"-"&amp;YEAR(E29))</f>
        <v>2021-2022</v>
      </c>
      <c r="R29" s="3"/>
      <c r="S29" s="3"/>
      <c r="T29" s="15" t="str">
        <f t="shared" ca="1" si="0"/>
        <v>0</v>
      </c>
      <c r="U29" s="3"/>
    </row>
    <row r="30" spans="1:21" x14ac:dyDescent="0.35">
      <c r="A30" s="3" t="s">
        <v>81</v>
      </c>
      <c r="B30" s="3" t="s">
        <v>82</v>
      </c>
      <c r="C30" s="3" t="s">
        <v>22</v>
      </c>
      <c r="D30" s="3" t="s">
        <v>62</v>
      </c>
      <c r="E30" s="6">
        <v>45086</v>
      </c>
      <c r="F30" s="3" t="s">
        <v>14</v>
      </c>
      <c r="G30" s="3">
        <v>4627</v>
      </c>
      <c r="H30" s="3">
        <v>5935</v>
      </c>
      <c r="I30" s="3">
        <v>2.29</v>
      </c>
      <c r="J30" s="3">
        <v>118</v>
      </c>
      <c r="K30" s="15">
        <f ca="1">IF(F30="Enrolled",TODAY()-E30,"0")</f>
        <v>968</v>
      </c>
      <c r="L30" s="3" t="str">
        <f>IF(I30&gt;=3.5,"Excellent",IF(I30&gt;=3,"Good",IF(I30&gt;=2,"Average","Poor")))</f>
        <v>Average</v>
      </c>
      <c r="M30" s="3" t="str">
        <v>Dr.Sinha</v>
      </c>
      <c r="N30" s="3" t="str">
        <f>IF(H30 &gt; (G30*50%), "Yes", "No")</f>
        <v>Yes</v>
      </c>
      <c r="O30" s="16">
        <f>G30-H30</f>
        <v>-1308</v>
      </c>
      <c r="P30" s="16">
        <f>SUMIFS(O30:O30,E30:E30,"Science",F30:F30,"Completed")</f>
        <v>0</v>
      </c>
      <c r="Q30" s="3" t="str">
        <f>IF(MONTH(E30)&gt;=7, YEAR(E30)&amp;"-"&amp;YEAR(E30)+1, YEAR(E30)-1&amp;"-"&amp;YEAR(E30))</f>
        <v>2022-2023</v>
      </c>
      <c r="R30" s="3"/>
      <c r="S30" s="3"/>
      <c r="T30" s="15" t="str">
        <f t="shared" ca="1" si="0"/>
        <v>0</v>
      </c>
      <c r="U30" s="3"/>
    </row>
    <row r="31" spans="1:21" x14ac:dyDescent="0.35">
      <c r="A31" s="3" t="s">
        <v>83</v>
      </c>
      <c r="B31" s="3" t="s">
        <v>84</v>
      </c>
      <c r="C31" s="3" t="s">
        <v>12</v>
      </c>
      <c r="D31" s="3" t="s">
        <v>18</v>
      </c>
      <c r="E31" s="6">
        <v>45387</v>
      </c>
      <c r="F31" s="3" t="s">
        <v>19</v>
      </c>
      <c r="G31" s="3">
        <v>6711</v>
      </c>
      <c r="H31" s="3">
        <v>9649</v>
      </c>
      <c r="I31" s="3">
        <v>3.2</v>
      </c>
      <c r="J31" s="3">
        <v>54</v>
      </c>
      <c r="K31" s="15" t="str">
        <f ca="1">IF(F31="Enrolled",TODAY()-E31,"0")</f>
        <v>0</v>
      </c>
      <c r="L31" s="3" t="str">
        <f>IF(I31&gt;=3.5,"Excellent",IF(I31&gt;=3,"Good",IF(I31&gt;=2,"Average","Poor")))</f>
        <v>Good</v>
      </c>
      <c r="M31" s="3" t="str">
        <v>Dr.Roy</v>
      </c>
      <c r="N31" s="3" t="str">
        <f>IF(H31 &gt; (G31*50%), "Yes", "No")</f>
        <v>Yes</v>
      </c>
      <c r="O31" s="16">
        <f>G31-H31</f>
        <v>-2938</v>
      </c>
      <c r="P31" s="16">
        <f>SUMIFS(O31:O31,E31:E31,"Science",F31:F31,"Completed")</f>
        <v>0</v>
      </c>
      <c r="Q31" s="3" t="str">
        <f>IF(MONTH(E31)&gt;=7, YEAR(E31)&amp;"-"&amp;YEAR(E31)+1, YEAR(E31)-1&amp;"-"&amp;YEAR(E31))</f>
        <v>2023-2024</v>
      </c>
      <c r="R31" s="3"/>
      <c r="S31" s="3"/>
      <c r="T31" s="15">
        <f t="shared" ca="1" si="0"/>
        <v>667</v>
      </c>
      <c r="U31" s="3"/>
    </row>
    <row r="32" spans="1:21" x14ac:dyDescent="0.35">
      <c r="A32" s="3" t="s">
        <v>85</v>
      </c>
      <c r="B32" s="3" t="s">
        <v>86</v>
      </c>
      <c r="C32" s="3" t="s">
        <v>57</v>
      </c>
      <c r="D32" s="3" t="s">
        <v>18</v>
      </c>
      <c r="E32" s="6">
        <v>44831</v>
      </c>
      <c r="F32" s="3" t="s">
        <v>19</v>
      </c>
      <c r="G32" s="3">
        <v>2173</v>
      </c>
      <c r="H32" s="3">
        <v>5739</v>
      </c>
      <c r="I32" s="3">
        <v>3.09</v>
      </c>
      <c r="J32" s="3">
        <v>97</v>
      </c>
      <c r="K32" s="15" t="str">
        <f ca="1">IF(F32="Enrolled",TODAY()-E32,"0")</f>
        <v>0</v>
      </c>
      <c r="L32" s="3" t="str">
        <f>IF(I32&gt;=3.5,"Excellent",IF(I32&gt;=3,"Good",IF(I32&gt;=2,"Average","Poor")))</f>
        <v>Good</v>
      </c>
      <c r="M32" s="3" t="str">
        <v>Dr.Roy</v>
      </c>
      <c r="N32" s="3" t="str">
        <f>IF(H32 &gt; (G32*50%), "Yes", "No")</f>
        <v>Yes</v>
      </c>
      <c r="O32" s="16">
        <f>G32-H32</f>
        <v>-3566</v>
      </c>
      <c r="P32" s="16">
        <f>SUMIFS(O32:O32,E32:E32,"Science",F32:F32,"Completed")</f>
        <v>0</v>
      </c>
      <c r="Q32" s="3" t="str">
        <f>IF(MONTH(E32)&gt;=7, YEAR(E32)&amp;"-"&amp;YEAR(E32)+1, YEAR(E32)-1&amp;"-"&amp;YEAR(E32))</f>
        <v>2022-2023</v>
      </c>
      <c r="R32" s="3"/>
      <c r="S32" s="3"/>
      <c r="T32" s="15">
        <f t="shared" ca="1" si="0"/>
        <v>1223</v>
      </c>
      <c r="U32" s="3"/>
    </row>
    <row r="33" spans="1:21" x14ac:dyDescent="0.35">
      <c r="A33" s="3" t="s">
        <v>87</v>
      </c>
      <c r="B33" s="3" t="s">
        <v>88</v>
      </c>
      <c r="C33" s="3" t="s">
        <v>57</v>
      </c>
      <c r="D33" s="3" t="s">
        <v>62</v>
      </c>
      <c r="E33" s="6">
        <v>44602</v>
      </c>
      <c r="F33" s="3" t="s">
        <v>14</v>
      </c>
      <c r="G33" s="3">
        <v>8163</v>
      </c>
      <c r="H33" s="3">
        <v>7715</v>
      </c>
      <c r="I33" s="3">
        <v>2.2799999999999998</v>
      </c>
      <c r="J33" s="3">
        <v>19</v>
      </c>
      <c r="K33" s="15">
        <f ca="1">IF(F33="Enrolled",TODAY()-E33,"0")</f>
        <v>1452</v>
      </c>
      <c r="L33" s="3" t="str">
        <f>IF(I33&gt;=3.5,"Excellent",IF(I33&gt;=3,"Good",IF(I33&gt;=2,"Average","Poor")))</f>
        <v>Average</v>
      </c>
      <c r="M33" s="3" t="str">
        <v>Dr.Sinha</v>
      </c>
      <c r="N33" s="3" t="str">
        <f>IF(H33 &gt; (G33*50%), "Yes", "No")</f>
        <v>Yes</v>
      </c>
      <c r="O33" s="16">
        <f>G33-H33</f>
        <v>448</v>
      </c>
      <c r="P33" s="16">
        <f>SUMIFS(O33:O33,E33:E33,"Science",F33:F33,"Completed")</f>
        <v>0</v>
      </c>
      <c r="Q33" s="3" t="str">
        <f>IF(MONTH(E33)&gt;=7, YEAR(E33)&amp;"-"&amp;YEAR(E33)+1, YEAR(E33)-1&amp;"-"&amp;YEAR(E33))</f>
        <v>2021-2022</v>
      </c>
      <c r="R33" s="3"/>
      <c r="S33" s="3"/>
      <c r="T33" s="15" t="str">
        <f t="shared" ca="1" si="0"/>
        <v>0</v>
      </c>
      <c r="U33" s="3"/>
    </row>
    <row r="34" spans="1:21" x14ac:dyDescent="0.35">
      <c r="A34" s="3" t="s">
        <v>89</v>
      </c>
      <c r="B34" s="3" t="s">
        <v>90</v>
      </c>
      <c r="C34" s="3" t="s">
        <v>28</v>
      </c>
      <c r="D34" s="3" t="s">
        <v>13</v>
      </c>
      <c r="E34" s="6">
        <v>44562</v>
      </c>
      <c r="F34" s="3" t="s">
        <v>14</v>
      </c>
      <c r="G34" s="3">
        <v>14774</v>
      </c>
      <c r="H34" s="3">
        <v>1884</v>
      </c>
      <c r="I34" s="3">
        <v>2.78</v>
      </c>
      <c r="J34" s="3">
        <v>9</v>
      </c>
      <c r="K34" s="15">
        <f ca="1">IF(F34="Enrolled",TODAY()-E34,"0")</f>
        <v>1492</v>
      </c>
      <c r="L34" s="3" t="str">
        <f>IF(I34&gt;=3.5,"Excellent",IF(I34&gt;=3,"Good",IF(I34&gt;=2,"Average","Poor")))</f>
        <v>Average</v>
      </c>
      <c r="M34" s="3" t="str">
        <v>Dr.Mehta</v>
      </c>
      <c r="N34" s="3" t="str">
        <f>IF(H34 &gt; (G34*50%), "Yes", "No")</f>
        <v>No</v>
      </c>
      <c r="O34" s="16">
        <f>G34-H34</f>
        <v>12890</v>
      </c>
      <c r="P34" s="16">
        <f>SUMIFS(O34:O34,E34:E34,"Science",F34:F34,"Completed")</f>
        <v>0</v>
      </c>
      <c r="Q34" s="3" t="str">
        <f>IF(MONTH(E34)&gt;=7, YEAR(E34)&amp;"-"&amp;YEAR(E34)+1, YEAR(E34)-1&amp;"-"&amp;YEAR(E34))</f>
        <v>2021-2022</v>
      </c>
      <c r="R34" s="3"/>
      <c r="S34" s="3"/>
      <c r="T34" s="15" t="str">
        <f t="shared" ca="1" si="0"/>
        <v>0</v>
      </c>
      <c r="U34" s="3"/>
    </row>
    <row r="35" spans="1:21" x14ac:dyDescent="0.35">
      <c r="A35" s="3" t="s">
        <v>91</v>
      </c>
      <c r="B35" s="3" t="s">
        <v>92</v>
      </c>
      <c r="C35" s="3" t="s">
        <v>57</v>
      </c>
      <c r="D35" s="3" t="s">
        <v>31</v>
      </c>
      <c r="E35" s="6">
        <v>45091</v>
      </c>
      <c r="F35" s="3" t="s">
        <v>19</v>
      </c>
      <c r="G35" s="3">
        <v>7783</v>
      </c>
      <c r="H35" s="3">
        <v>3240</v>
      </c>
      <c r="I35" s="3">
        <v>2.82</v>
      </c>
      <c r="J35" s="3">
        <v>115</v>
      </c>
      <c r="K35" s="15" t="str">
        <f ca="1">IF(F35="Enrolled",TODAY()-E35,"0")</f>
        <v>0</v>
      </c>
      <c r="L35" s="3" t="str">
        <f>IF(I35&gt;=3.5,"Excellent",IF(I35&gt;=3,"Good",IF(I35&gt;=2,"Average","Poor")))</f>
        <v>Average</v>
      </c>
      <c r="M35" s="3" t="str">
        <v>Dr.Sharma</v>
      </c>
      <c r="N35" s="3" t="str">
        <f>IF(H35 &gt; (G35*50%), "Yes", "No")</f>
        <v>No</v>
      </c>
      <c r="O35" s="16">
        <f>G35-H35</f>
        <v>4543</v>
      </c>
      <c r="P35" s="16">
        <f>SUMIFS(O35:O35,E35:E35,"Science",F35:F35,"Completed")</f>
        <v>0</v>
      </c>
      <c r="Q35" s="3" t="str">
        <f>IF(MONTH(E35)&gt;=7, YEAR(E35)&amp;"-"&amp;YEAR(E35)+1, YEAR(E35)-1&amp;"-"&amp;YEAR(E35))</f>
        <v>2022-2023</v>
      </c>
      <c r="R35" s="3"/>
      <c r="S35" s="3"/>
      <c r="T35" s="15">
        <f t="shared" ca="1" si="0"/>
        <v>963</v>
      </c>
      <c r="U35" s="3"/>
    </row>
    <row r="36" spans="1:21" x14ac:dyDescent="0.35">
      <c r="A36" s="3" t="s">
        <v>93</v>
      </c>
      <c r="B36" s="3" t="s">
        <v>94</v>
      </c>
      <c r="C36" s="3" t="s">
        <v>25</v>
      </c>
      <c r="D36" s="3" t="s">
        <v>31</v>
      </c>
      <c r="E36" s="6">
        <v>44650</v>
      </c>
      <c r="F36" s="3" t="s">
        <v>19</v>
      </c>
      <c r="G36" s="3">
        <v>14442</v>
      </c>
      <c r="H36" s="3">
        <v>7220</v>
      </c>
      <c r="I36" s="3">
        <v>2.76</v>
      </c>
      <c r="J36" s="3">
        <v>109</v>
      </c>
      <c r="K36" s="15" t="str">
        <f ca="1">IF(F36="Enrolled",TODAY()-E36,"0")</f>
        <v>0</v>
      </c>
      <c r="L36" s="3" t="str">
        <f>IF(I36&gt;=3.5,"Excellent",IF(I36&gt;=3,"Good",IF(I36&gt;=2,"Average","Poor")))</f>
        <v>Average</v>
      </c>
      <c r="M36" s="3" t="str">
        <v>Dr.Sharma</v>
      </c>
      <c r="N36" s="3" t="str">
        <f>IF(H36 &gt; (G36*50%), "Yes", "No")</f>
        <v>No</v>
      </c>
      <c r="O36" s="16">
        <f>G36-H36</f>
        <v>7222</v>
      </c>
      <c r="P36" s="16">
        <f>SUMIFS(O36:O36,E36:E36,"Science",F36:F36,"Completed")</f>
        <v>0</v>
      </c>
      <c r="Q36" s="3" t="str">
        <f>IF(MONTH(E36)&gt;=7, YEAR(E36)&amp;"-"&amp;YEAR(E36)+1, YEAR(E36)-1&amp;"-"&amp;YEAR(E36))</f>
        <v>2021-2022</v>
      </c>
      <c r="R36" s="3"/>
      <c r="S36" s="3"/>
      <c r="T36" s="15">
        <f t="shared" ca="1" si="0"/>
        <v>1404</v>
      </c>
      <c r="U36" s="3"/>
    </row>
    <row r="37" spans="1:21" x14ac:dyDescent="0.35">
      <c r="A37" s="3" t="s">
        <v>95</v>
      </c>
      <c r="B37" s="3" t="s">
        <v>96</v>
      </c>
      <c r="C37" s="3" t="s">
        <v>54</v>
      </c>
      <c r="D37" s="3" t="s">
        <v>18</v>
      </c>
      <c r="E37" s="6">
        <v>45053</v>
      </c>
      <c r="F37" s="3" t="s">
        <v>14</v>
      </c>
      <c r="G37" s="3">
        <v>4770</v>
      </c>
      <c r="H37" s="3">
        <v>945</v>
      </c>
      <c r="I37" s="3">
        <v>2.75</v>
      </c>
      <c r="J37" s="3">
        <v>38</v>
      </c>
      <c r="K37" s="15">
        <f ca="1">IF(F37="Enrolled",TODAY()-E37,"0")</f>
        <v>1001</v>
      </c>
      <c r="L37" s="3" t="str">
        <f>IF(I37&gt;=3.5,"Excellent",IF(I37&gt;=3,"Good",IF(I37&gt;=2,"Average","Poor")))</f>
        <v>Average</v>
      </c>
      <c r="M37" s="3" t="str">
        <v>Dr.Roy</v>
      </c>
      <c r="N37" s="3" t="str">
        <f>IF(H37 &gt; (G37*50%), "Yes", "No")</f>
        <v>No</v>
      </c>
      <c r="O37" s="16">
        <f>G37-H37</f>
        <v>3825</v>
      </c>
      <c r="P37" s="16">
        <f>SUMIFS(O37:O37,E37:E37,"Science",F37:F37,"Completed")</f>
        <v>0</v>
      </c>
      <c r="Q37" s="3" t="str">
        <f>IF(MONTH(E37)&gt;=7, YEAR(E37)&amp;"-"&amp;YEAR(E37)+1, YEAR(E37)-1&amp;"-"&amp;YEAR(E37))</f>
        <v>2022-2023</v>
      </c>
      <c r="R37" s="3"/>
      <c r="S37" s="3"/>
      <c r="T37" s="15" t="str">
        <f t="shared" ca="1" si="0"/>
        <v>0</v>
      </c>
      <c r="U37" s="3"/>
    </row>
    <row r="38" spans="1:21" x14ac:dyDescent="0.35">
      <c r="A38" s="3" t="s">
        <v>97</v>
      </c>
      <c r="B38" s="3" t="s">
        <v>98</v>
      </c>
      <c r="C38" s="3" t="s">
        <v>17</v>
      </c>
      <c r="D38" s="3" t="s">
        <v>13</v>
      </c>
      <c r="E38" s="6">
        <v>45328</v>
      </c>
      <c r="F38" s="3" t="s">
        <v>19</v>
      </c>
      <c r="G38" s="3">
        <v>14761</v>
      </c>
      <c r="H38" s="3">
        <v>4478</v>
      </c>
      <c r="I38" s="3">
        <v>2.65</v>
      </c>
      <c r="J38" s="3">
        <v>2</v>
      </c>
      <c r="K38" s="15" t="str">
        <f ca="1">IF(F38="Enrolled",TODAY()-E38,"0")</f>
        <v>0</v>
      </c>
      <c r="L38" s="3" t="str">
        <f>IF(I38&gt;=3.5,"Excellent",IF(I38&gt;=3,"Good",IF(I38&gt;=2,"Average","Poor")))</f>
        <v>Average</v>
      </c>
      <c r="M38" s="3" t="str">
        <v>Dr.Mehta</v>
      </c>
      <c r="N38" s="3" t="str">
        <f>IF(H38 &gt; (G38*50%), "Yes", "No")</f>
        <v>No</v>
      </c>
      <c r="O38" s="16">
        <f>G38-H38</f>
        <v>10283</v>
      </c>
      <c r="P38" s="16">
        <f>SUMIFS(O38:O38,E38:E38,"Science",F38:F38,"Completed")</f>
        <v>0</v>
      </c>
      <c r="Q38" s="3" t="str">
        <f>IF(MONTH(E38)&gt;=7, YEAR(E38)&amp;"-"&amp;YEAR(E38)+1, YEAR(E38)-1&amp;"-"&amp;YEAR(E38))</f>
        <v>2023-2024</v>
      </c>
      <c r="R38" s="3"/>
      <c r="S38" s="3"/>
      <c r="T38" s="15">
        <f t="shared" ca="1" si="0"/>
        <v>726</v>
      </c>
      <c r="U38" s="3"/>
    </row>
    <row r="39" spans="1:21" x14ac:dyDescent="0.35">
      <c r="A39" s="3" t="s">
        <v>99</v>
      </c>
      <c r="B39" s="3" t="s">
        <v>100</v>
      </c>
      <c r="C39" s="3" t="s">
        <v>57</v>
      </c>
      <c r="D39" s="3" t="s">
        <v>18</v>
      </c>
      <c r="E39" s="6">
        <v>44619</v>
      </c>
      <c r="F39" s="3" t="s">
        <v>19</v>
      </c>
      <c r="G39" s="3">
        <v>14013</v>
      </c>
      <c r="H39" s="3">
        <v>9022</v>
      </c>
      <c r="I39" s="3">
        <v>2.13</v>
      </c>
      <c r="J39" s="3">
        <v>10</v>
      </c>
      <c r="K39" s="15" t="str">
        <f ca="1">IF(F39="Enrolled",TODAY()-E39,"0")</f>
        <v>0</v>
      </c>
      <c r="L39" s="3" t="str">
        <f>IF(I39&gt;=3.5,"Excellent",IF(I39&gt;=3,"Good",IF(I39&gt;=2,"Average","Poor")))</f>
        <v>Average</v>
      </c>
      <c r="M39" s="3" t="str">
        <v>Dr.Roy</v>
      </c>
      <c r="N39" s="3" t="str">
        <f>IF(H39 &gt; (G39*50%), "Yes", "No")</f>
        <v>Yes</v>
      </c>
      <c r="O39" s="16">
        <f>G39-H39</f>
        <v>4991</v>
      </c>
      <c r="P39" s="16">
        <f>SUMIFS(O39:O39,E39:E39,"Science",F39:F39,"Completed")</f>
        <v>0</v>
      </c>
      <c r="Q39" s="3" t="str">
        <f>IF(MONTH(E39)&gt;=7, YEAR(E39)&amp;"-"&amp;YEAR(E39)+1, YEAR(E39)-1&amp;"-"&amp;YEAR(E39))</f>
        <v>2021-2022</v>
      </c>
      <c r="R39" s="3"/>
      <c r="S39" s="3"/>
      <c r="T39" s="15">
        <f t="shared" ca="1" si="0"/>
        <v>1435</v>
      </c>
      <c r="U39" s="3"/>
    </row>
    <row r="40" spans="1:21" x14ac:dyDescent="0.35">
      <c r="A40" s="3" t="s">
        <v>101</v>
      </c>
      <c r="B40" s="3" t="s">
        <v>102</v>
      </c>
      <c r="C40" s="3" t="s">
        <v>25</v>
      </c>
      <c r="D40" s="3" t="s">
        <v>62</v>
      </c>
      <c r="E40" s="6">
        <v>45379</v>
      </c>
      <c r="F40" s="3" t="s">
        <v>19</v>
      </c>
      <c r="G40" s="3">
        <v>8345</v>
      </c>
      <c r="H40" s="3">
        <v>5347</v>
      </c>
      <c r="I40" s="3">
        <v>3.8</v>
      </c>
      <c r="J40" s="3">
        <v>53</v>
      </c>
      <c r="K40" s="15" t="str">
        <f ca="1">IF(F40="Enrolled",TODAY()-E40,"0")</f>
        <v>0</v>
      </c>
      <c r="L40" s="3" t="str">
        <f>IF(I40&gt;=3.5,"Excellent",IF(I40&gt;=3,"Good",IF(I40&gt;=2,"Average","Poor")))</f>
        <v>Excellent</v>
      </c>
      <c r="M40" s="3" t="str">
        <v>Dr.Sinha</v>
      </c>
      <c r="N40" s="3" t="str">
        <f>IF(H40 &gt; (G40*50%), "Yes", "No")</f>
        <v>Yes</v>
      </c>
      <c r="O40" s="16">
        <f>G40-H40</f>
        <v>2998</v>
      </c>
      <c r="P40" s="16">
        <f>SUMIFS(O40:O40,E40:E40,"Science",F40:F40,"Completed")</f>
        <v>0</v>
      </c>
      <c r="Q40" s="3" t="str">
        <f>IF(MONTH(E40)&gt;=7, YEAR(E40)&amp;"-"&amp;YEAR(E40)+1, YEAR(E40)-1&amp;"-"&amp;YEAR(E40))</f>
        <v>2023-2024</v>
      </c>
      <c r="R40" s="3"/>
      <c r="S40" s="3"/>
      <c r="T40" s="15">
        <f t="shared" ca="1" si="0"/>
        <v>675</v>
      </c>
      <c r="U40" s="3"/>
    </row>
    <row r="41" spans="1:21" x14ac:dyDescent="0.35">
      <c r="A41" s="3" t="s">
        <v>103</v>
      </c>
      <c r="B41" s="3" t="s">
        <v>104</v>
      </c>
      <c r="C41" s="3" t="s">
        <v>17</v>
      </c>
      <c r="D41" s="3" t="s">
        <v>18</v>
      </c>
      <c r="E41" s="6">
        <v>44883</v>
      </c>
      <c r="F41" s="3" t="s">
        <v>14</v>
      </c>
      <c r="G41" s="3">
        <v>10449</v>
      </c>
      <c r="H41" s="3">
        <v>4324</v>
      </c>
      <c r="I41" s="3">
        <v>3.08</v>
      </c>
      <c r="J41" s="3">
        <v>2</v>
      </c>
      <c r="K41" s="15">
        <f ca="1">IF(F41="Enrolled",TODAY()-E41,"0")</f>
        <v>1171</v>
      </c>
      <c r="L41" s="3" t="str">
        <f>IF(I41&gt;=3.5,"Excellent",IF(I41&gt;=3,"Good",IF(I41&gt;=2,"Average","Poor")))</f>
        <v>Good</v>
      </c>
      <c r="M41" s="3" t="str">
        <v>Dr.Roy</v>
      </c>
      <c r="N41" s="3" t="str">
        <f>IF(H41 &gt; (G41*50%), "Yes", "No")</f>
        <v>No</v>
      </c>
      <c r="O41" s="16">
        <f>G41-H41</f>
        <v>6125</v>
      </c>
      <c r="P41" s="16">
        <f>SUMIFS(O41:O41,E41:E41,"Science",F41:F41,"Completed")</f>
        <v>0</v>
      </c>
      <c r="Q41" s="3" t="str">
        <f>IF(MONTH(E41)&gt;=7, YEAR(E41)&amp;"-"&amp;YEAR(E41)+1, YEAR(E41)-1&amp;"-"&amp;YEAR(E41))</f>
        <v>2022-2023</v>
      </c>
      <c r="R41" s="3"/>
      <c r="S41" s="3"/>
      <c r="T41" s="15" t="str">
        <f t="shared" ca="1" si="0"/>
        <v>0</v>
      </c>
      <c r="U41" s="3"/>
    </row>
    <row r="42" spans="1:21" x14ac:dyDescent="0.35">
      <c r="A42" s="3" t="s">
        <v>105</v>
      </c>
      <c r="B42" s="3" t="s">
        <v>106</v>
      </c>
      <c r="C42" s="3" t="s">
        <v>36</v>
      </c>
      <c r="D42" s="3" t="s">
        <v>31</v>
      </c>
      <c r="E42" s="6">
        <v>44979</v>
      </c>
      <c r="F42" s="3" t="s">
        <v>14</v>
      </c>
      <c r="G42" s="3">
        <v>14303</v>
      </c>
      <c r="H42" s="3">
        <v>4160</v>
      </c>
      <c r="I42" s="3">
        <v>2.39</v>
      </c>
      <c r="J42" s="3">
        <v>42</v>
      </c>
      <c r="K42" s="15">
        <f ca="1">IF(F42="Enrolled",TODAY()-E42,"0")</f>
        <v>1075</v>
      </c>
      <c r="L42" s="3" t="str">
        <f>IF(I42&gt;=3.5,"Excellent",IF(I42&gt;=3,"Good",IF(I42&gt;=2,"Average","Poor")))</f>
        <v>Average</v>
      </c>
      <c r="M42" s="3" t="str">
        <v>Dr.Sharma</v>
      </c>
      <c r="N42" s="3" t="str">
        <f>IF(H42 &gt; (G42*50%), "Yes", "No")</f>
        <v>No</v>
      </c>
      <c r="O42" s="16">
        <f>G42-H42</f>
        <v>10143</v>
      </c>
      <c r="P42" s="16">
        <f>SUMIFS(O42:O42,E42:E42,"Science",F42:F42,"Completed")</f>
        <v>0</v>
      </c>
      <c r="Q42" s="3" t="str">
        <f>IF(MONTH(E42)&gt;=7, YEAR(E42)&amp;"-"&amp;YEAR(E42)+1, YEAR(E42)-1&amp;"-"&amp;YEAR(E42))</f>
        <v>2022-2023</v>
      </c>
      <c r="R42" s="3"/>
      <c r="S42" s="3"/>
      <c r="T42" s="15" t="str">
        <f t="shared" ca="1" si="0"/>
        <v>0</v>
      </c>
      <c r="U42" s="3"/>
    </row>
    <row r="43" spans="1:21" x14ac:dyDescent="0.35">
      <c r="A43" s="3" t="s">
        <v>107</v>
      </c>
      <c r="B43" s="3" t="s">
        <v>108</v>
      </c>
      <c r="C43" s="3" t="s">
        <v>54</v>
      </c>
      <c r="D43" s="3" t="s">
        <v>18</v>
      </c>
      <c r="E43" s="6">
        <v>44577</v>
      </c>
      <c r="F43" s="3" t="s">
        <v>14</v>
      </c>
      <c r="G43" s="3">
        <v>5900</v>
      </c>
      <c r="H43" s="3">
        <v>9481</v>
      </c>
      <c r="I43" s="3">
        <v>3.17</v>
      </c>
      <c r="J43" s="3">
        <v>15</v>
      </c>
      <c r="K43" s="15">
        <f ca="1">IF(F43="Enrolled",TODAY()-E43,"0")</f>
        <v>1477</v>
      </c>
      <c r="L43" s="3" t="str">
        <f>IF(I43&gt;=3.5,"Excellent",IF(I43&gt;=3,"Good",IF(I43&gt;=2,"Average","Poor")))</f>
        <v>Good</v>
      </c>
      <c r="M43" s="3" t="str">
        <v>Dr.Roy</v>
      </c>
      <c r="N43" s="3" t="str">
        <f>IF(H43 &gt; (G43*50%), "Yes", "No")</f>
        <v>Yes</v>
      </c>
      <c r="O43" s="16">
        <f>G43-H43</f>
        <v>-3581</v>
      </c>
      <c r="P43" s="16">
        <f>SUMIFS(O43:O43,E43:E43,"Science",F43:F43,"Completed")</f>
        <v>0</v>
      </c>
      <c r="Q43" s="3" t="str">
        <f>IF(MONTH(E43)&gt;=7, YEAR(E43)&amp;"-"&amp;YEAR(E43)+1, YEAR(E43)-1&amp;"-"&amp;YEAR(E43))</f>
        <v>2021-2022</v>
      </c>
      <c r="R43" s="3"/>
      <c r="S43" s="3"/>
      <c r="T43" s="15" t="str">
        <f t="shared" ca="1" si="0"/>
        <v>0</v>
      </c>
      <c r="U43" s="3"/>
    </row>
    <row r="44" spans="1:21" x14ac:dyDescent="0.35">
      <c r="A44" s="3" t="s">
        <v>109</v>
      </c>
      <c r="B44" s="3" t="s">
        <v>110</v>
      </c>
      <c r="C44" s="3" t="s">
        <v>36</v>
      </c>
      <c r="D44" s="3" t="s">
        <v>18</v>
      </c>
      <c r="E44" s="6">
        <v>44915</v>
      </c>
      <c r="F44" s="3" t="s">
        <v>19</v>
      </c>
      <c r="G44" s="3">
        <v>6128</v>
      </c>
      <c r="H44" s="3">
        <v>7957</v>
      </c>
      <c r="I44" s="3">
        <v>2.2799999999999998</v>
      </c>
      <c r="J44" s="3">
        <v>115</v>
      </c>
      <c r="K44" s="15" t="str">
        <f ca="1">IF(F44="Enrolled",TODAY()-E44,"0")</f>
        <v>0</v>
      </c>
      <c r="L44" s="3" t="str">
        <f>IF(I44&gt;=3.5,"Excellent",IF(I44&gt;=3,"Good",IF(I44&gt;=2,"Average","Poor")))</f>
        <v>Average</v>
      </c>
      <c r="M44" s="3" t="str">
        <v>Dr.Roy</v>
      </c>
      <c r="N44" s="3" t="str">
        <f>IF(H44 &gt; (G44*50%), "Yes", "No")</f>
        <v>Yes</v>
      </c>
      <c r="O44" s="16">
        <f>G44-H44</f>
        <v>-1829</v>
      </c>
      <c r="P44" s="16">
        <f>SUMIFS(O44:O44,E44:E44,"Science",F44:F44,"Completed")</f>
        <v>0</v>
      </c>
      <c r="Q44" s="3" t="str">
        <f>IF(MONTH(E44)&gt;=7, YEAR(E44)&amp;"-"&amp;YEAR(E44)+1, YEAR(E44)-1&amp;"-"&amp;YEAR(E44))</f>
        <v>2022-2023</v>
      </c>
      <c r="R44" s="3"/>
      <c r="S44" s="3"/>
      <c r="T44" s="15">
        <f t="shared" ca="1" si="0"/>
        <v>1139</v>
      </c>
      <c r="U44" s="3"/>
    </row>
    <row r="45" spans="1:21" x14ac:dyDescent="0.35">
      <c r="A45" s="3" t="s">
        <v>111</v>
      </c>
      <c r="B45" s="3" t="s">
        <v>112</v>
      </c>
      <c r="C45" s="3" t="s">
        <v>36</v>
      </c>
      <c r="D45" s="3" t="s">
        <v>13</v>
      </c>
      <c r="E45" s="6">
        <v>44997</v>
      </c>
      <c r="F45" s="3" t="s">
        <v>14</v>
      </c>
      <c r="G45" s="3">
        <v>10731</v>
      </c>
      <c r="H45" s="3">
        <v>8324</v>
      </c>
      <c r="I45" s="3">
        <v>3.2</v>
      </c>
      <c r="J45" s="3">
        <v>13</v>
      </c>
      <c r="K45" s="15">
        <f ca="1">IF(F45="Enrolled",TODAY()-E45,"0")</f>
        <v>1057</v>
      </c>
      <c r="L45" s="3" t="str">
        <f>IF(I45&gt;=3.5,"Excellent",IF(I45&gt;=3,"Good",IF(I45&gt;=2,"Average","Poor")))</f>
        <v>Good</v>
      </c>
      <c r="M45" s="3" t="str">
        <v>Dr.Mehta</v>
      </c>
      <c r="N45" s="3" t="str">
        <f>IF(H45 &gt; (G45*50%), "Yes", "No")</f>
        <v>Yes</v>
      </c>
      <c r="O45" s="16">
        <f>G45-H45</f>
        <v>2407</v>
      </c>
      <c r="P45" s="16">
        <f>SUMIFS(O45:O45,E45:E45,"Science",F45:F45,"Completed")</f>
        <v>0</v>
      </c>
      <c r="Q45" s="3" t="str">
        <f>IF(MONTH(E45)&gt;=7, YEAR(E45)&amp;"-"&amp;YEAR(E45)+1, YEAR(E45)-1&amp;"-"&amp;YEAR(E45))</f>
        <v>2022-2023</v>
      </c>
      <c r="R45" s="3"/>
      <c r="S45" s="3"/>
      <c r="T45" s="15" t="str">
        <f t="shared" ca="1" si="0"/>
        <v>0</v>
      </c>
      <c r="U45" s="3"/>
    </row>
    <row r="46" spans="1:21" x14ac:dyDescent="0.35">
      <c r="A46" s="3" t="s">
        <v>113</v>
      </c>
      <c r="B46" s="3" t="s">
        <v>114</v>
      </c>
      <c r="C46" s="3" t="s">
        <v>54</v>
      </c>
      <c r="D46" s="3" t="s">
        <v>31</v>
      </c>
      <c r="E46" s="6">
        <v>44649</v>
      </c>
      <c r="F46" s="3" t="s">
        <v>14</v>
      </c>
      <c r="G46" s="3">
        <v>12461</v>
      </c>
      <c r="H46" s="3">
        <v>5874</v>
      </c>
      <c r="I46" s="3">
        <v>2.31</v>
      </c>
      <c r="J46" s="3">
        <v>114</v>
      </c>
      <c r="K46" s="15">
        <f ca="1">IF(F46="Enrolled",TODAY()-E46,"0")</f>
        <v>1405</v>
      </c>
      <c r="L46" s="3" t="str">
        <f>IF(I46&gt;=3.5,"Excellent",IF(I46&gt;=3,"Good",IF(I46&gt;=2,"Average","Poor")))</f>
        <v>Average</v>
      </c>
      <c r="M46" s="3" t="str">
        <v>Dr.Sharma</v>
      </c>
      <c r="N46" s="3" t="str">
        <f>IF(H46 &gt; (G46*50%), "Yes", "No")</f>
        <v>No</v>
      </c>
      <c r="O46" s="16">
        <f>G46-H46</f>
        <v>6587</v>
      </c>
      <c r="P46" s="16">
        <f>SUMIFS(O46:O46,E46:E46,"Science",F46:F46,"Completed")</f>
        <v>0</v>
      </c>
      <c r="Q46" s="3" t="str">
        <f>IF(MONTH(E46)&gt;=7, YEAR(E46)&amp;"-"&amp;YEAR(E46)+1, YEAR(E46)-1&amp;"-"&amp;YEAR(E46))</f>
        <v>2021-2022</v>
      </c>
      <c r="R46" s="3"/>
      <c r="S46" s="3"/>
      <c r="T46" s="15" t="str">
        <f t="shared" ca="1" si="0"/>
        <v>0</v>
      </c>
      <c r="U46" s="3"/>
    </row>
    <row r="47" spans="1:21" x14ac:dyDescent="0.35">
      <c r="A47" s="3" t="s">
        <v>115</v>
      </c>
      <c r="B47" s="3" t="s">
        <v>116</v>
      </c>
      <c r="C47" s="3" t="s">
        <v>36</v>
      </c>
      <c r="D47" s="3" t="s">
        <v>13</v>
      </c>
      <c r="E47" s="6">
        <v>45160</v>
      </c>
      <c r="F47" s="3" t="s">
        <v>14</v>
      </c>
      <c r="G47" s="3">
        <v>13677</v>
      </c>
      <c r="H47" s="3">
        <v>7817</v>
      </c>
      <c r="I47" s="3">
        <v>3.39</v>
      </c>
      <c r="J47" s="3">
        <v>74</v>
      </c>
      <c r="K47" s="15">
        <f ca="1">IF(F47="Enrolled",TODAY()-E47,"0")</f>
        <v>894</v>
      </c>
      <c r="L47" s="3" t="str">
        <f>IF(I47&gt;=3.5,"Excellent",IF(I47&gt;=3,"Good",IF(I47&gt;=2,"Average","Poor")))</f>
        <v>Good</v>
      </c>
      <c r="M47" s="3" t="str">
        <v>Dr.Mehta</v>
      </c>
      <c r="N47" s="3" t="str">
        <f>IF(H47 &gt; (G47*50%), "Yes", "No")</f>
        <v>Yes</v>
      </c>
      <c r="O47" s="16">
        <f>G47-H47</f>
        <v>5860</v>
      </c>
      <c r="P47" s="16">
        <f>SUMIFS(O47:O47,E47:E47,"Science",F47:F47,"Completed")</f>
        <v>0</v>
      </c>
      <c r="Q47" s="3" t="str">
        <f>IF(MONTH(E47)&gt;=7, YEAR(E47)&amp;"-"&amp;YEAR(E47)+1, YEAR(E47)-1&amp;"-"&amp;YEAR(E47))</f>
        <v>2023-2024</v>
      </c>
      <c r="R47" s="3"/>
      <c r="S47" s="3"/>
      <c r="T47" s="15" t="str">
        <f t="shared" ca="1" si="0"/>
        <v>0</v>
      </c>
      <c r="U47" s="3"/>
    </row>
    <row r="48" spans="1:21" x14ac:dyDescent="0.35">
      <c r="A48" s="3" t="s">
        <v>117</v>
      </c>
      <c r="B48" s="3" t="s">
        <v>118</v>
      </c>
      <c r="C48" s="3" t="s">
        <v>22</v>
      </c>
      <c r="D48" s="3" t="s">
        <v>13</v>
      </c>
      <c r="E48" s="6">
        <v>45170</v>
      </c>
      <c r="F48" s="3" t="s">
        <v>14</v>
      </c>
      <c r="G48" s="3">
        <v>9276</v>
      </c>
      <c r="H48" s="3">
        <v>5837</v>
      </c>
      <c r="I48" s="3">
        <v>3.16</v>
      </c>
      <c r="J48" s="3">
        <v>92</v>
      </c>
      <c r="K48" s="15">
        <f ca="1">IF(F48="Enrolled",TODAY()-E48,"0")</f>
        <v>884</v>
      </c>
      <c r="L48" s="3" t="str">
        <f>IF(I48&gt;=3.5,"Excellent",IF(I48&gt;=3,"Good",IF(I48&gt;=2,"Average","Poor")))</f>
        <v>Good</v>
      </c>
      <c r="M48" s="3" t="str">
        <v>Dr.Mehta</v>
      </c>
      <c r="N48" s="3" t="str">
        <f>IF(H48 &gt; (G48*50%), "Yes", "No")</f>
        <v>Yes</v>
      </c>
      <c r="O48" s="16">
        <f>G48-H48</f>
        <v>3439</v>
      </c>
      <c r="P48" s="16">
        <f>SUMIFS(O48:O48,E48:E48,"Science",F48:F48,"Completed")</f>
        <v>0</v>
      </c>
      <c r="Q48" s="3" t="str">
        <f>IF(MONTH(E48)&gt;=7, YEAR(E48)&amp;"-"&amp;YEAR(E48)+1, YEAR(E48)-1&amp;"-"&amp;YEAR(E48))</f>
        <v>2023-2024</v>
      </c>
      <c r="R48" s="3"/>
      <c r="S48" s="3"/>
      <c r="T48" s="15" t="str">
        <f t="shared" ca="1" si="0"/>
        <v>0</v>
      </c>
      <c r="U48" s="3"/>
    </row>
    <row r="49" spans="1:21" x14ac:dyDescent="0.35">
      <c r="A49" s="3" t="s">
        <v>119</v>
      </c>
      <c r="B49" s="3" t="s">
        <v>120</v>
      </c>
      <c r="C49" s="3" t="s">
        <v>12</v>
      </c>
      <c r="D49" s="3" t="s">
        <v>18</v>
      </c>
      <c r="E49" s="6">
        <v>45182</v>
      </c>
      <c r="F49" s="3" t="s">
        <v>14</v>
      </c>
      <c r="G49" s="3">
        <v>2183</v>
      </c>
      <c r="H49" s="3">
        <v>7214</v>
      </c>
      <c r="I49" s="3">
        <v>3.33</v>
      </c>
      <c r="J49" s="3">
        <v>97</v>
      </c>
      <c r="K49" s="15">
        <f ca="1">IF(F49="Enrolled",TODAY()-E49,"0")</f>
        <v>872</v>
      </c>
      <c r="L49" s="3" t="str">
        <f>IF(I49&gt;=3.5,"Excellent",IF(I49&gt;=3,"Good",IF(I49&gt;=2,"Average","Poor")))</f>
        <v>Good</v>
      </c>
      <c r="M49" s="3" t="str">
        <v>Dr.Roy</v>
      </c>
      <c r="N49" s="3" t="str">
        <f>IF(H49 &gt; (G49*50%), "Yes", "No")</f>
        <v>Yes</v>
      </c>
      <c r="O49" s="16">
        <f>G49-H49</f>
        <v>-5031</v>
      </c>
      <c r="P49" s="16">
        <f>SUMIFS(O49:O49,E49:E49,"Science",F49:F49,"Completed")</f>
        <v>0</v>
      </c>
      <c r="Q49" s="3" t="str">
        <f>IF(MONTH(E49)&gt;=7, YEAR(E49)&amp;"-"&amp;YEAR(E49)+1, YEAR(E49)-1&amp;"-"&amp;YEAR(E49))</f>
        <v>2023-2024</v>
      </c>
      <c r="R49" s="3"/>
      <c r="S49" s="3"/>
      <c r="T49" s="15" t="str">
        <f t="shared" ca="1" si="0"/>
        <v>0</v>
      </c>
      <c r="U49" s="3"/>
    </row>
    <row r="50" spans="1:21" x14ac:dyDescent="0.35">
      <c r="A50" s="3" t="s">
        <v>121</v>
      </c>
      <c r="B50" s="3" t="s">
        <v>122</v>
      </c>
      <c r="C50" s="3" t="s">
        <v>22</v>
      </c>
      <c r="D50" s="3" t="s">
        <v>13</v>
      </c>
      <c r="E50" s="6">
        <v>45042</v>
      </c>
      <c r="F50" s="3" t="s">
        <v>19</v>
      </c>
      <c r="G50" s="3">
        <v>6227</v>
      </c>
      <c r="H50" s="3">
        <v>5349</v>
      </c>
      <c r="I50" s="3">
        <v>3.85</v>
      </c>
      <c r="J50" s="3">
        <v>75</v>
      </c>
      <c r="K50" s="15" t="str">
        <f ca="1">IF(F50="Enrolled",TODAY()-E50,"0")</f>
        <v>0</v>
      </c>
      <c r="L50" s="3" t="str">
        <f>IF(I50&gt;=3.5,"Excellent",IF(I50&gt;=3,"Good",IF(I50&gt;=2,"Average","Poor")))</f>
        <v>Excellent</v>
      </c>
      <c r="M50" s="3" t="str">
        <v>Dr.Mehta</v>
      </c>
      <c r="N50" s="3" t="str">
        <f>IF(H50 &gt; (G50*50%), "Yes", "No")</f>
        <v>Yes</v>
      </c>
      <c r="O50" s="16">
        <f>G50-H50</f>
        <v>878</v>
      </c>
      <c r="P50" s="16">
        <f>SUMIFS(O50:O50,E50:E50,"Science",F50:F50,"Completed")</f>
        <v>0</v>
      </c>
      <c r="Q50" s="3" t="str">
        <f>IF(MONTH(E50)&gt;=7, YEAR(E50)&amp;"-"&amp;YEAR(E50)+1, YEAR(E50)-1&amp;"-"&amp;YEAR(E50))</f>
        <v>2022-2023</v>
      </c>
      <c r="R50" s="3"/>
      <c r="S50" s="3"/>
      <c r="T50" s="15">
        <f t="shared" ca="1" si="0"/>
        <v>1012</v>
      </c>
      <c r="U50" s="3"/>
    </row>
    <row r="51" spans="1:21" x14ac:dyDescent="0.35">
      <c r="A51" s="3" t="s">
        <v>123</v>
      </c>
      <c r="B51" s="3" t="s">
        <v>124</v>
      </c>
      <c r="C51" s="3" t="s">
        <v>28</v>
      </c>
      <c r="D51" s="3" t="s">
        <v>13</v>
      </c>
      <c r="E51" s="6">
        <v>44599</v>
      </c>
      <c r="F51" s="3" t="s">
        <v>14</v>
      </c>
      <c r="G51" s="3">
        <v>4500</v>
      </c>
      <c r="H51" s="3">
        <v>1352</v>
      </c>
      <c r="I51" s="3">
        <v>2.91</v>
      </c>
      <c r="J51" s="3">
        <v>87</v>
      </c>
      <c r="K51" s="15">
        <f ca="1">IF(F51="Enrolled",TODAY()-E51,"0")</f>
        <v>1455</v>
      </c>
      <c r="L51" s="3" t="str">
        <f>IF(I51&gt;=3.5,"Excellent",IF(I51&gt;=3,"Good",IF(I51&gt;=2,"Average","Poor")))</f>
        <v>Average</v>
      </c>
      <c r="M51" s="3" t="str">
        <v>Dr.Mehta</v>
      </c>
      <c r="N51" s="3" t="str">
        <f>IF(H51 &gt; (G51*50%), "Yes", "No")</f>
        <v>No</v>
      </c>
      <c r="O51" s="16">
        <f>G51-H51</f>
        <v>3148</v>
      </c>
      <c r="P51" s="16">
        <f>SUMIFS(O51:O51,E51:E51,"Science",F51:F51,"Completed")</f>
        <v>0</v>
      </c>
      <c r="Q51" s="3" t="str">
        <f>IF(MONTH(E51)&gt;=7, YEAR(E51)&amp;"-"&amp;YEAR(E51)+1, YEAR(E51)-1&amp;"-"&amp;YEAR(E51))</f>
        <v>2021-2022</v>
      </c>
      <c r="R51" s="3"/>
      <c r="S51" s="3"/>
      <c r="T51" s="15" t="str">
        <f t="shared" ca="1" si="0"/>
        <v>0</v>
      </c>
      <c r="U51" s="3"/>
    </row>
    <row r="52" spans="1:21" x14ac:dyDescent="0.35">
      <c r="A52" s="3" t="s">
        <v>125</v>
      </c>
      <c r="B52" s="3" t="s">
        <v>126</v>
      </c>
      <c r="C52" s="3" t="s">
        <v>36</v>
      </c>
      <c r="D52" s="3" t="s">
        <v>18</v>
      </c>
      <c r="E52" s="6">
        <v>45353</v>
      </c>
      <c r="F52" s="3" t="s">
        <v>14</v>
      </c>
      <c r="G52" s="3">
        <v>4615</v>
      </c>
      <c r="H52" s="3">
        <v>3667</v>
      </c>
      <c r="I52" s="3">
        <v>3.61</v>
      </c>
      <c r="J52" s="3">
        <v>41</v>
      </c>
      <c r="K52" s="15">
        <f ca="1">IF(F52="Enrolled",TODAY()-E52,"0")</f>
        <v>701</v>
      </c>
      <c r="L52" s="3" t="str">
        <f>IF(I52&gt;=3.5,"Excellent",IF(I52&gt;=3,"Good",IF(I52&gt;=2,"Average","Poor")))</f>
        <v>Excellent</v>
      </c>
      <c r="M52" s="3" t="str">
        <v>Dr.Roy</v>
      </c>
      <c r="N52" s="3" t="str">
        <f>IF(H52 &gt; (G52*50%), "Yes", "No")</f>
        <v>Yes</v>
      </c>
      <c r="O52" s="16">
        <f>G52-H52</f>
        <v>948</v>
      </c>
      <c r="P52" s="16">
        <f>SUMIFS(O52:O52,E52:E52,"Science",F52:F52,"Completed")</f>
        <v>0</v>
      </c>
      <c r="Q52" s="3" t="str">
        <f>IF(MONTH(E52)&gt;=7, YEAR(E52)&amp;"-"&amp;YEAR(E52)+1, YEAR(E52)-1&amp;"-"&amp;YEAR(E52))</f>
        <v>2023-2024</v>
      </c>
      <c r="R52" s="3"/>
      <c r="S52" s="3"/>
      <c r="T52" s="15" t="str">
        <f t="shared" ca="1" si="0"/>
        <v>0</v>
      </c>
      <c r="U52" s="3"/>
    </row>
    <row r="53" spans="1:21" x14ac:dyDescent="0.35">
      <c r="A53" s="3" t="s">
        <v>127</v>
      </c>
      <c r="B53" s="3" t="s">
        <v>128</v>
      </c>
      <c r="C53" s="3" t="s">
        <v>28</v>
      </c>
      <c r="D53" s="3" t="s">
        <v>62</v>
      </c>
      <c r="E53" s="6">
        <v>44705</v>
      </c>
      <c r="F53" s="3" t="s">
        <v>14</v>
      </c>
      <c r="G53" s="3">
        <v>11879</v>
      </c>
      <c r="H53" s="3">
        <v>1955</v>
      </c>
      <c r="I53" s="3">
        <v>3.1</v>
      </c>
      <c r="J53" s="3">
        <v>7</v>
      </c>
      <c r="K53" s="15">
        <f ca="1">IF(F53="Enrolled",TODAY()-E53,"0")</f>
        <v>1349</v>
      </c>
      <c r="L53" s="3" t="str">
        <f>IF(I53&gt;=3.5,"Excellent",IF(I53&gt;=3,"Good",IF(I53&gt;=2,"Average","Poor")))</f>
        <v>Good</v>
      </c>
      <c r="M53" s="3" t="str">
        <v>Dr.Sinha</v>
      </c>
      <c r="N53" s="3" t="str">
        <f>IF(H53 &gt; (G53*50%), "Yes", "No")</f>
        <v>No</v>
      </c>
      <c r="O53" s="16">
        <f>G53-H53</f>
        <v>9924</v>
      </c>
      <c r="P53" s="16">
        <f>SUMIFS(O53:O53,E53:E53,"Science",F53:F53,"Completed")</f>
        <v>0</v>
      </c>
      <c r="Q53" s="3" t="str">
        <f>IF(MONTH(E53)&gt;=7, YEAR(E53)&amp;"-"&amp;YEAR(E53)+1, YEAR(E53)-1&amp;"-"&amp;YEAR(E53))</f>
        <v>2021-2022</v>
      </c>
      <c r="R53" s="3"/>
      <c r="S53" s="3"/>
      <c r="T53" s="15" t="str">
        <f t="shared" ca="1" si="0"/>
        <v>0</v>
      </c>
      <c r="U53" s="3"/>
    </row>
    <row r="54" spans="1:21" x14ac:dyDescent="0.35">
      <c r="A54" s="3" t="s">
        <v>129</v>
      </c>
      <c r="B54" s="3" t="s">
        <v>130</v>
      </c>
      <c r="C54" s="3" t="s">
        <v>36</v>
      </c>
      <c r="D54" s="3" t="s">
        <v>62</v>
      </c>
      <c r="E54" s="6">
        <v>44893</v>
      </c>
      <c r="F54" s="3" t="s">
        <v>14</v>
      </c>
      <c r="G54" s="3">
        <v>4067</v>
      </c>
      <c r="H54" s="3">
        <v>6992</v>
      </c>
      <c r="I54" s="3">
        <v>2.34</v>
      </c>
      <c r="J54" s="3">
        <v>20</v>
      </c>
      <c r="K54" s="15">
        <f ca="1">IF(F54="Enrolled",TODAY()-E54,"0")</f>
        <v>1161</v>
      </c>
      <c r="L54" s="3" t="str">
        <f>IF(I54&gt;=3.5,"Excellent",IF(I54&gt;=3,"Good",IF(I54&gt;=2,"Average","Poor")))</f>
        <v>Average</v>
      </c>
      <c r="M54" s="3" t="str">
        <v>Dr.Sinha</v>
      </c>
      <c r="N54" s="3" t="str">
        <f>IF(H54 &gt; (G54*50%), "Yes", "No")</f>
        <v>Yes</v>
      </c>
      <c r="O54" s="16">
        <f>G54-H54</f>
        <v>-2925</v>
      </c>
      <c r="P54" s="16">
        <f>SUMIFS(O54:O54,E54:E54,"Science",F54:F54,"Completed")</f>
        <v>0</v>
      </c>
      <c r="Q54" s="3" t="str">
        <f>IF(MONTH(E54)&gt;=7, YEAR(E54)&amp;"-"&amp;YEAR(E54)+1, YEAR(E54)-1&amp;"-"&amp;YEAR(E54))</f>
        <v>2022-2023</v>
      </c>
      <c r="R54" s="3"/>
      <c r="S54" s="3"/>
      <c r="T54" s="15" t="str">
        <f t="shared" ca="1" si="0"/>
        <v>0</v>
      </c>
      <c r="U54" s="3"/>
    </row>
    <row r="55" spans="1:21" x14ac:dyDescent="0.35">
      <c r="A55" s="3" t="s">
        <v>131</v>
      </c>
      <c r="B55" s="3" t="s">
        <v>132</v>
      </c>
      <c r="C55" s="3" t="s">
        <v>25</v>
      </c>
      <c r="D55" s="3" t="s">
        <v>18</v>
      </c>
      <c r="E55" s="6">
        <v>44998</v>
      </c>
      <c r="F55" s="3" t="s">
        <v>19</v>
      </c>
      <c r="G55" s="3">
        <v>4873</v>
      </c>
      <c r="H55" s="3">
        <v>4377</v>
      </c>
      <c r="I55" s="3">
        <v>3.78</v>
      </c>
      <c r="J55" s="3">
        <v>80</v>
      </c>
      <c r="K55" s="15" t="str">
        <f ca="1">IF(F55="Enrolled",TODAY()-E55,"0")</f>
        <v>0</v>
      </c>
      <c r="L55" s="3" t="str">
        <f>IF(I55&gt;=3.5,"Excellent",IF(I55&gt;=3,"Good",IF(I55&gt;=2,"Average","Poor")))</f>
        <v>Excellent</v>
      </c>
      <c r="M55" s="3" t="str">
        <v>Dr.Roy</v>
      </c>
      <c r="N55" s="3" t="str">
        <f>IF(H55 &gt; (G55*50%), "Yes", "No")</f>
        <v>Yes</v>
      </c>
      <c r="O55" s="16">
        <f>G55-H55</f>
        <v>496</v>
      </c>
      <c r="P55" s="16">
        <f>SUMIFS(O55:O55,E55:E55,"Science",F55:F55,"Completed")</f>
        <v>0</v>
      </c>
      <c r="Q55" s="3" t="str">
        <f>IF(MONTH(E55)&gt;=7, YEAR(E55)&amp;"-"&amp;YEAR(E55)+1, YEAR(E55)-1&amp;"-"&amp;YEAR(E55))</f>
        <v>2022-2023</v>
      </c>
      <c r="R55" s="3"/>
      <c r="S55" s="3"/>
      <c r="T55" s="15">
        <f t="shared" ca="1" si="0"/>
        <v>1056</v>
      </c>
      <c r="U55" s="3"/>
    </row>
    <row r="56" spans="1:21" x14ac:dyDescent="0.35">
      <c r="A56" s="3" t="s">
        <v>133</v>
      </c>
      <c r="B56" s="3" t="s">
        <v>134</v>
      </c>
      <c r="C56" s="3" t="s">
        <v>17</v>
      </c>
      <c r="D56" s="3" t="s">
        <v>62</v>
      </c>
      <c r="E56" s="6">
        <v>44930</v>
      </c>
      <c r="F56" s="3" t="s">
        <v>14</v>
      </c>
      <c r="G56" s="3">
        <v>3391</v>
      </c>
      <c r="H56" s="3">
        <v>8884</v>
      </c>
      <c r="I56" s="3">
        <v>3.88</v>
      </c>
      <c r="J56" s="3">
        <v>59</v>
      </c>
      <c r="K56" s="15">
        <f ca="1">IF(F56="Enrolled",TODAY()-E56,"0")</f>
        <v>1124</v>
      </c>
      <c r="L56" s="3" t="str">
        <f>IF(I56&gt;=3.5,"Excellent",IF(I56&gt;=3,"Good",IF(I56&gt;=2,"Average","Poor")))</f>
        <v>Excellent</v>
      </c>
      <c r="M56" s="3" t="str">
        <v>Dr.Sinha</v>
      </c>
      <c r="N56" s="3" t="str">
        <f>IF(H56 &gt; (G56*50%), "Yes", "No")</f>
        <v>Yes</v>
      </c>
      <c r="O56" s="16">
        <f>G56-H56</f>
        <v>-5493</v>
      </c>
      <c r="P56" s="16">
        <f>SUMIFS(O56:O56,E56:E56,"Science",F56:F56,"Completed")</f>
        <v>0</v>
      </c>
      <c r="Q56" s="3" t="str">
        <f>IF(MONTH(E56)&gt;=7, YEAR(E56)&amp;"-"&amp;YEAR(E56)+1, YEAR(E56)-1&amp;"-"&amp;YEAR(E56))</f>
        <v>2022-2023</v>
      </c>
      <c r="R56" s="3"/>
      <c r="S56" s="3"/>
      <c r="T56" s="15" t="str">
        <f t="shared" ca="1" si="0"/>
        <v>0</v>
      </c>
      <c r="U56" s="3"/>
    </row>
    <row r="57" spans="1:21" x14ac:dyDescent="0.35">
      <c r="A57" s="3" t="s">
        <v>135</v>
      </c>
      <c r="B57" s="3" t="s">
        <v>136</v>
      </c>
      <c r="C57" s="3" t="s">
        <v>25</v>
      </c>
      <c r="D57" s="3" t="s">
        <v>62</v>
      </c>
      <c r="E57" s="6">
        <v>45300</v>
      </c>
      <c r="F57" s="3" t="s">
        <v>14</v>
      </c>
      <c r="G57" s="3">
        <v>10808</v>
      </c>
      <c r="H57" s="3">
        <v>8868</v>
      </c>
      <c r="I57" s="3">
        <v>2.4300000000000002</v>
      </c>
      <c r="J57" s="3">
        <v>18</v>
      </c>
      <c r="K57" s="15">
        <f ca="1">IF(F57="Enrolled",TODAY()-E57,"0")</f>
        <v>754</v>
      </c>
      <c r="L57" s="3" t="str">
        <f>IF(I57&gt;=3.5,"Excellent",IF(I57&gt;=3,"Good",IF(I57&gt;=2,"Average","Poor")))</f>
        <v>Average</v>
      </c>
      <c r="M57" s="3" t="str">
        <v>Dr.Sinha</v>
      </c>
      <c r="N57" s="3" t="str">
        <f>IF(H57 &gt; (G57*50%), "Yes", "No")</f>
        <v>Yes</v>
      </c>
      <c r="O57" s="16">
        <f>G57-H57</f>
        <v>1940</v>
      </c>
      <c r="P57" s="16">
        <f>SUMIFS(O57:O57,E57:E57,"Science",F57:F57,"Completed")</f>
        <v>0</v>
      </c>
      <c r="Q57" s="3" t="str">
        <f>IF(MONTH(E57)&gt;=7, YEAR(E57)&amp;"-"&amp;YEAR(E57)+1, YEAR(E57)-1&amp;"-"&amp;YEAR(E57))</f>
        <v>2023-2024</v>
      </c>
      <c r="R57" s="3"/>
      <c r="S57" s="3"/>
      <c r="T57" s="15" t="str">
        <f t="shared" ca="1" si="0"/>
        <v>0</v>
      </c>
      <c r="U57" s="3"/>
    </row>
    <row r="58" spans="1:21" x14ac:dyDescent="0.35">
      <c r="A58" s="3" t="s">
        <v>137</v>
      </c>
      <c r="B58" s="3" t="s">
        <v>138</v>
      </c>
      <c r="C58" s="3" t="s">
        <v>54</v>
      </c>
      <c r="D58" s="3" t="s">
        <v>13</v>
      </c>
      <c r="E58" s="6">
        <v>44785</v>
      </c>
      <c r="F58" s="3" t="s">
        <v>14</v>
      </c>
      <c r="G58" s="3">
        <v>5739</v>
      </c>
      <c r="H58" s="3">
        <v>9881</v>
      </c>
      <c r="I58" s="3">
        <v>2.42</v>
      </c>
      <c r="J58" s="3">
        <v>78</v>
      </c>
      <c r="K58" s="15">
        <f ca="1">IF(F58="Enrolled",TODAY()-E58,"0")</f>
        <v>1269</v>
      </c>
      <c r="L58" s="3" t="str">
        <f>IF(I58&gt;=3.5,"Excellent",IF(I58&gt;=3,"Good",IF(I58&gt;=2,"Average","Poor")))</f>
        <v>Average</v>
      </c>
      <c r="M58" s="3" t="str">
        <v>Dr.Mehta</v>
      </c>
      <c r="N58" s="3" t="str">
        <f>IF(H58 &gt; (G58*50%), "Yes", "No")</f>
        <v>Yes</v>
      </c>
      <c r="O58" s="16">
        <f>G58-H58</f>
        <v>-4142</v>
      </c>
      <c r="P58" s="16">
        <f>SUMIFS(O58:O58,E58:E58,"Science",F58:F58,"Completed")</f>
        <v>0</v>
      </c>
      <c r="Q58" s="3" t="str">
        <f>IF(MONTH(E58)&gt;=7, YEAR(E58)&amp;"-"&amp;YEAR(E58)+1, YEAR(E58)-1&amp;"-"&amp;YEAR(E58))</f>
        <v>2022-2023</v>
      </c>
      <c r="R58" s="3"/>
      <c r="S58" s="3"/>
      <c r="T58" s="15" t="str">
        <f t="shared" ca="1" si="0"/>
        <v>0</v>
      </c>
      <c r="U58" s="3"/>
    </row>
    <row r="59" spans="1:21" x14ac:dyDescent="0.35">
      <c r="A59" s="3" t="s">
        <v>139</v>
      </c>
      <c r="B59" s="3" t="s">
        <v>140</v>
      </c>
      <c r="C59" s="3" t="s">
        <v>22</v>
      </c>
      <c r="D59" s="3" t="s">
        <v>31</v>
      </c>
      <c r="E59" s="6">
        <v>45086</v>
      </c>
      <c r="F59" s="3" t="s">
        <v>14</v>
      </c>
      <c r="G59" s="3">
        <v>4317</v>
      </c>
      <c r="H59" s="3">
        <v>4541</v>
      </c>
      <c r="I59" s="3">
        <v>3.49</v>
      </c>
      <c r="J59" s="3">
        <v>107</v>
      </c>
      <c r="K59" s="15">
        <f ca="1">IF(F59="Enrolled",TODAY()-E59,"0")</f>
        <v>968</v>
      </c>
      <c r="L59" s="3" t="str">
        <f>IF(I59&gt;=3.5,"Excellent",IF(I59&gt;=3,"Good",IF(I59&gt;=2,"Average","Poor")))</f>
        <v>Good</v>
      </c>
      <c r="M59" s="3" t="str">
        <v>Dr.Sharma</v>
      </c>
      <c r="N59" s="3" t="str">
        <f>IF(H59 &gt; (G59*50%), "Yes", "No")</f>
        <v>Yes</v>
      </c>
      <c r="O59" s="16">
        <f>G59-H59</f>
        <v>-224</v>
      </c>
      <c r="P59" s="16">
        <f>SUMIFS(O59:O59,E59:E59,"Science",F59:F59,"Completed")</f>
        <v>0</v>
      </c>
      <c r="Q59" s="3" t="str">
        <f>IF(MONTH(E59)&gt;=7, YEAR(E59)&amp;"-"&amp;YEAR(E59)+1, YEAR(E59)-1&amp;"-"&amp;YEAR(E59))</f>
        <v>2022-2023</v>
      </c>
      <c r="R59" s="3"/>
      <c r="S59" s="3"/>
      <c r="T59" s="15" t="str">
        <f t="shared" ca="1" si="0"/>
        <v>0</v>
      </c>
      <c r="U59" s="3"/>
    </row>
    <row r="60" spans="1:21" x14ac:dyDescent="0.35">
      <c r="A60" s="3" t="s">
        <v>141</v>
      </c>
      <c r="B60" s="3" t="s">
        <v>142</v>
      </c>
      <c r="C60" s="3" t="s">
        <v>17</v>
      </c>
      <c r="D60" s="3" t="s">
        <v>18</v>
      </c>
      <c r="E60" s="6">
        <v>45255</v>
      </c>
      <c r="F60" s="3" t="s">
        <v>39</v>
      </c>
      <c r="G60" s="3">
        <v>7954</v>
      </c>
      <c r="H60" s="3">
        <v>9329</v>
      </c>
      <c r="I60" s="3">
        <v>3.4</v>
      </c>
      <c r="J60" s="3">
        <v>64</v>
      </c>
      <c r="K60" s="15" t="str">
        <f ca="1">IF(F60="Enrolled",TODAY()-E60,"0")</f>
        <v>0</v>
      </c>
      <c r="L60" s="3" t="str">
        <f>IF(I60&gt;=3.5,"Excellent",IF(I60&gt;=3,"Good",IF(I60&gt;=2,"Average","Poor")))</f>
        <v>Good</v>
      </c>
      <c r="M60" s="3" t="str">
        <v>Dr.Roy</v>
      </c>
      <c r="N60" s="3" t="str">
        <f>IF(H60 &gt; (G60*50%), "Yes", "No")</f>
        <v>Yes</v>
      </c>
      <c r="O60" s="16">
        <f>G60-H60</f>
        <v>-1375</v>
      </c>
      <c r="P60" s="16">
        <f>SUMIFS(O60:O60,E60:E60,"Science",F60:F60,"Completed")</f>
        <v>0</v>
      </c>
      <c r="Q60" s="3" t="str">
        <f>IF(MONTH(E60)&gt;=7, YEAR(E60)&amp;"-"&amp;YEAR(E60)+1, YEAR(E60)-1&amp;"-"&amp;YEAR(E60))</f>
        <v>2023-2024</v>
      </c>
      <c r="R60" s="3"/>
      <c r="S60" s="3"/>
      <c r="T60" s="15" t="str">
        <f t="shared" ca="1" si="0"/>
        <v>0</v>
      </c>
      <c r="U60" s="3"/>
    </row>
    <row r="61" spans="1:21" x14ac:dyDescent="0.35">
      <c r="A61" s="3" t="s">
        <v>143</v>
      </c>
      <c r="B61" s="3" t="s">
        <v>144</v>
      </c>
      <c r="C61" s="3" t="s">
        <v>54</v>
      </c>
      <c r="D61" s="3" t="s">
        <v>18</v>
      </c>
      <c r="E61" s="6">
        <v>44786</v>
      </c>
      <c r="F61" s="3" t="s">
        <v>39</v>
      </c>
      <c r="G61" s="3">
        <v>10043</v>
      </c>
      <c r="H61" s="3">
        <v>631</v>
      </c>
      <c r="I61" s="3">
        <v>2.68</v>
      </c>
      <c r="J61" s="3">
        <v>77</v>
      </c>
      <c r="K61" s="15" t="str">
        <f ca="1">IF(F61="Enrolled",TODAY()-E61,"0")</f>
        <v>0</v>
      </c>
      <c r="L61" s="3" t="str">
        <f>IF(I61&gt;=3.5,"Excellent",IF(I61&gt;=3,"Good",IF(I61&gt;=2,"Average","Poor")))</f>
        <v>Average</v>
      </c>
      <c r="M61" s="3" t="str">
        <v>Dr.Roy</v>
      </c>
      <c r="N61" s="3" t="str">
        <f>IF(H61 &gt; (G61*50%), "Yes", "No")</f>
        <v>No</v>
      </c>
      <c r="O61" s="16">
        <f>G61-H61</f>
        <v>9412</v>
      </c>
      <c r="P61" s="16">
        <f>SUMIFS(O61:O61,E61:E61,"Science",F61:F61,"Completed")</f>
        <v>0</v>
      </c>
      <c r="Q61" s="3" t="str">
        <f>IF(MONTH(E61)&gt;=7, YEAR(E61)&amp;"-"&amp;YEAR(E61)+1, YEAR(E61)-1&amp;"-"&amp;YEAR(E61))</f>
        <v>2022-2023</v>
      </c>
      <c r="R61" s="3"/>
      <c r="S61" s="3"/>
      <c r="T61" s="15" t="str">
        <f t="shared" ca="1" si="0"/>
        <v>0</v>
      </c>
      <c r="U61" s="3"/>
    </row>
    <row r="62" spans="1:21" x14ac:dyDescent="0.35">
      <c r="A62" s="3" t="s">
        <v>145</v>
      </c>
      <c r="B62" s="3" t="s">
        <v>146</v>
      </c>
      <c r="C62" s="3" t="s">
        <v>36</v>
      </c>
      <c r="D62" s="3" t="s">
        <v>62</v>
      </c>
      <c r="E62" s="6">
        <v>44870</v>
      </c>
      <c r="F62" s="3" t="s">
        <v>14</v>
      </c>
      <c r="G62" s="3">
        <v>6418</v>
      </c>
      <c r="H62" s="3">
        <v>3384</v>
      </c>
      <c r="I62" s="3">
        <v>2</v>
      </c>
      <c r="J62" s="3">
        <v>93</v>
      </c>
      <c r="K62" s="15">
        <f ca="1">IF(F62="Enrolled",TODAY()-E62,"0")</f>
        <v>1184</v>
      </c>
      <c r="L62" s="3" t="str">
        <f>IF(I62&gt;=3.5,"Excellent",IF(I62&gt;=3,"Good",IF(I62&gt;=2,"Average","Poor")))</f>
        <v>Average</v>
      </c>
      <c r="M62" s="3" t="str">
        <v>Dr.Sinha</v>
      </c>
      <c r="N62" s="3" t="str">
        <f>IF(H62 &gt; (G62*50%), "Yes", "No")</f>
        <v>Yes</v>
      </c>
      <c r="O62" s="16">
        <f>G62-H62</f>
        <v>3034</v>
      </c>
      <c r="P62" s="16">
        <f>SUMIFS(O62:O62,E62:E62,"Science",F62:F62,"Completed")</f>
        <v>0</v>
      </c>
      <c r="Q62" s="3" t="str">
        <f>IF(MONTH(E62)&gt;=7, YEAR(E62)&amp;"-"&amp;YEAR(E62)+1, YEAR(E62)-1&amp;"-"&amp;YEAR(E62))</f>
        <v>2022-2023</v>
      </c>
      <c r="R62" s="3"/>
      <c r="S62" s="3"/>
      <c r="T62" s="15" t="str">
        <f t="shared" ca="1" si="0"/>
        <v>0</v>
      </c>
      <c r="U62" s="3"/>
    </row>
    <row r="63" spans="1:21" x14ac:dyDescent="0.35">
      <c r="A63" s="3" t="s">
        <v>147</v>
      </c>
      <c r="B63" s="3" t="s">
        <v>148</v>
      </c>
      <c r="C63" s="3" t="s">
        <v>36</v>
      </c>
      <c r="D63" s="3" t="s">
        <v>62</v>
      </c>
      <c r="E63" s="6">
        <v>45256</v>
      </c>
      <c r="F63" s="3" t="s">
        <v>14</v>
      </c>
      <c r="G63" s="3">
        <v>4274</v>
      </c>
      <c r="H63" s="3">
        <v>2777</v>
      </c>
      <c r="I63" s="3">
        <v>3.53</v>
      </c>
      <c r="J63" s="3">
        <v>22</v>
      </c>
      <c r="K63" s="15">
        <f ca="1">IF(F63="Enrolled",TODAY()-E63,"0")</f>
        <v>798</v>
      </c>
      <c r="L63" s="3" t="str">
        <f>IF(I63&gt;=3.5,"Excellent",IF(I63&gt;=3,"Good",IF(I63&gt;=2,"Average","Poor")))</f>
        <v>Excellent</v>
      </c>
      <c r="M63" s="3" t="str">
        <v>Dr.Sinha</v>
      </c>
      <c r="N63" s="3" t="str">
        <f>IF(H63 &gt; (G63*50%), "Yes", "No")</f>
        <v>Yes</v>
      </c>
      <c r="O63" s="16">
        <f>G63-H63</f>
        <v>1497</v>
      </c>
      <c r="P63" s="16">
        <f>SUMIFS(O63:O63,E63:E63,"Science",F63:F63,"Completed")</f>
        <v>0</v>
      </c>
      <c r="Q63" s="3" t="str">
        <f>IF(MONTH(E63)&gt;=7, YEAR(E63)&amp;"-"&amp;YEAR(E63)+1, YEAR(E63)-1&amp;"-"&amp;YEAR(E63))</f>
        <v>2023-2024</v>
      </c>
      <c r="R63" s="3"/>
      <c r="S63" s="3"/>
      <c r="T63" s="15" t="str">
        <f t="shared" ca="1" si="0"/>
        <v>0</v>
      </c>
      <c r="U63" s="3"/>
    </row>
    <row r="64" spans="1:21" x14ac:dyDescent="0.35">
      <c r="A64" s="3" t="s">
        <v>149</v>
      </c>
      <c r="B64" s="3" t="s">
        <v>150</v>
      </c>
      <c r="C64" s="3" t="s">
        <v>25</v>
      </c>
      <c r="D64" s="3" t="s">
        <v>62</v>
      </c>
      <c r="E64" s="6">
        <v>44736</v>
      </c>
      <c r="F64" s="3" t="s">
        <v>14</v>
      </c>
      <c r="G64" s="3">
        <v>14423</v>
      </c>
      <c r="H64" s="3">
        <v>883</v>
      </c>
      <c r="I64" s="3">
        <v>2.12</v>
      </c>
      <c r="J64" s="3">
        <v>84</v>
      </c>
      <c r="K64" s="15">
        <f ca="1">IF(F64="Enrolled",TODAY()-E64,"0")</f>
        <v>1318</v>
      </c>
      <c r="L64" s="3" t="str">
        <f>IF(I64&gt;=3.5,"Excellent",IF(I64&gt;=3,"Good",IF(I64&gt;=2,"Average","Poor")))</f>
        <v>Average</v>
      </c>
      <c r="M64" s="3" t="str">
        <v>Dr.Sinha</v>
      </c>
      <c r="N64" s="3" t="str">
        <f>IF(H64 &gt; (G64*50%), "Yes", "No")</f>
        <v>No</v>
      </c>
      <c r="O64" s="16">
        <f>G64-H64</f>
        <v>13540</v>
      </c>
      <c r="P64" s="16">
        <f>SUMIFS(O64:O64,E64:E64,"Science",F64:F64,"Completed")</f>
        <v>0</v>
      </c>
      <c r="Q64" s="3" t="str">
        <f>IF(MONTH(E64)&gt;=7, YEAR(E64)&amp;"-"&amp;YEAR(E64)+1, YEAR(E64)-1&amp;"-"&amp;YEAR(E64))</f>
        <v>2021-2022</v>
      </c>
      <c r="R64" s="3"/>
      <c r="S64" s="3"/>
      <c r="T64" s="15" t="str">
        <f t="shared" ca="1" si="0"/>
        <v>0</v>
      </c>
      <c r="U64" s="3"/>
    </row>
    <row r="65" spans="1:21" x14ac:dyDescent="0.35">
      <c r="A65" s="3" t="s">
        <v>151</v>
      </c>
      <c r="B65" s="3" t="s">
        <v>152</v>
      </c>
      <c r="C65" s="3" t="s">
        <v>12</v>
      </c>
      <c r="D65" s="3" t="s">
        <v>18</v>
      </c>
      <c r="E65" s="6">
        <v>44801</v>
      </c>
      <c r="F65" s="3" t="s">
        <v>19</v>
      </c>
      <c r="G65" s="3">
        <v>5263</v>
      </c>
      <c r="H65" s="3">
        <v>8683</v>
      </c>
      <c r="I65" s="3">
        <v>2.31</v>
      </c>
      <c r="J65" s="3">
        <v>45</v>
      </c>
      <c r="K65" s="15" t="str">
        <f ca="1">IF(F65="Enrolled",TODAY()-E65,"0")</f>
        <v>0</v>
      </c>
      <c r="L65" s="3" t="str">
        <f>IF(I65&gt;=3.5,"Excellent",IF(I65&gt;=3,"Good",IF(I65&gt;=2,"Average","Poor")))</f>
        <v>Average</v>
      </c>
      <c r="M65" s="3" t="str">
        <v>Dr.Roy</v>
      </c>
      <c r="N65" s="3" t="str">
        <f>IF(H65 &gt; (G65*50%), "Yes", "No")</f>
        <v>Yes</v>
      </c>
      <c r="O65" s="16">
        <f>G65-H65</f>
        <v>-3420</v>
      </c>
      <c r="P65" s="16">
        <f>SUMIFS(O65:O65,E65:E65,"Science",F65:F65,"Completed")</f>
        <v>0</v>
      </c>
      <c r="Q65" s="3" t="str">
        <f>IF(MONTH(E65)&gt;=7, YEAR(E65)&amp;"-"&amp;YEAR(E65)+1, YEAR(E65)-1&amp;"-"&amp;YEAR(E65))</f>
        <v>2022-2023</v>
      </c>
      <c r="R65" s="3"/>
      <c r="S65" s="3"/>
      <c r="T65" s="15">
        <f t="shared" ca="1" si="0"/>
        <v>1253</v>
      </c>
      <c r="U65" s="3"/>
    </row>
    <row r="66" spans="1:21" x14ac:dyDescent="0.35">
      <c r="A66" s="3" t="s">
        <v>153</v>
      </c>
      <c r="B66" s="3" t="s">
        <v>154</v>
      </c>
      <c r="C66" s="3" t="s">
        <v>22</v>
      </c>
      <c r="D66" s="3" t="s">
        <v>18</v>
      </c>
      <c r="E66" s="6">
        <v>44884</v>
      </c>
      <c r="F66" s="3" t="s">
        <v>14</v>
      </c>
      <c r="G66" s="3">
        <v>11418</v>
      </c>
      <c r="H66" s="3">
        <v>7383</v>
      </c>
      <c r="I66" s="3">
        <v>2.23</v>
      </c>
      <c r="J66" s="3">
        <v>98</v>
      </c>
      <c r="K66" s="15">
        <f ca="1">IF(F66="Enrolled",TODAY()-E66,"0")</f>
        <v>1170</v>
      </c>
      <c r="L66" s="3" t="str">
        <f>IF(I66&gt;=3.5,"Excellent",IF(I66&gt;=3,"Good",IF(I66&gt;=2,"Average","Poor")))</f>
        <v>Average</v>
      </c>
      <c r="M66" s="3" t="str">
        <v>Dr.Roy</v>
      </c>
      <c r="N66" s="3" t="str">
        <f>IF(H66 &gt; (G66*50%), "Yes", "No")</f>
        <v>Yes</v>
      </c>
      <c r="O66" s="16">
        <f>G66-H66</f>
        <v>4035</v>
      </c>
      <c r="P66" s="16">
        <f>SUMIFS(O66:O66,E66:E66,"Science",F66:F66,"Completed")</f>
        <v>0</v>
      </c>
      <c r="Q66" s="3" t="str">
        <f>IF(MONTH(E66)&gt;=7, YEAR(E66)&amp;"-"&amp;YEAR(E66)+1, YEAR(E66)-1&amp;"-"&amp;YEAR(E66))</f>
        <v>2022-2023</v>
      </c>
      <c r="R66" s="3"/>
      <c r="S66" s="3"/>
      <c r="T66" s="15" t="str">
        <f t="shared" ca="1" si="0"/>
        <v>0</v>
      </c>
      <c r="U66" s="3"/>
    </row>
    <row r="67" spans="1:21" x14ac:dyDescent="0.35">
      <c r="A67" s="3" t="s">
        <v>155</v>
      </c>
      <c r="B67" s="3" t="s">
        <v>156</v>
      </c>
      <c r="C67" s="3" t="s">
        <v>17</v>
      </c>
      <c r="D67" s="3" t="s">
        <v>62</v>
      </c>
      <c r="E67" s="6">
        <v>45102</v>
      </c>
      <c r="F67" s="3" t="s">
        <v>14</v>
      </c>
      <c r="G67" s="3">
        <v>12257</v>
      </c>
      <c r="H67" s="3">
        <v>1265</v>
      </c>
      <c r="I67" s="3">
        <v>2.67</v>
      </c>
      <c r="J67" s="3">
        <v>77</v>
      </c>
      <c r="K67" s="15">
        <f ca="1">IF(F67="Enrolled",TODAY()-E67,"0")</f>
        <v>952</v>
      </c>
      <c r="L67" s="3" t="str">
        <f>IF(I67&gt;=3.5,"Excellent",IF(I67&gt;=3,"Good",IF(I67&gt;=2,"Average","Poor")))</f>
        <v>Average</v>
      </c>
      <c r="M67" s="3" t="str">
        <v>Dr.Sinha</v>
      </c>
      <c r="N67" s="3" t="str">
        <f>IF(H67 &gt; (G67*50%), "Yes", "No")</f>
        <v>No</v>
      </c>
      <c r="O67" s="16">
        <f>G67-H67</f>
        <v>10992</v>
      </c>
      <c r="P67" s="16">
        <f>SUMIFS(O67:O67,E67:E67,"Science",F67:F67,"Completed")</f>
        <v>0</v>
      </c>
      <c r="Q67" s="3" t="str">
        <f>IF(MONTH(E67)&gt;=7, YEAR(E67)&amp;"-"&amp;YEAR(E67)+1, YEAR(E67)-1&amp;"-"&amp;YEAR(E67))</f>
        <v>2022-2023</v>
      </c>
      <c r="R67" s="3"/>
      <c r="S67" s="3"/>
      <c r="T67" s="15" t="str">
        <f t="shared" ref="T67:T130" ca="1" si="1">IF(F67="Completed",TODAY()-E67,"0")</f>
        <v>0</v>
      </c>
      <c r="U67" s="3"/>
    </row>
    <row r="68" spans="1:21" x14ac:dyDescent="0.35">
      <c r="A68" s="3" t="s">
        <v>157</v>
      </c>
      <c r="B68" s="3" t="s">
        <v>158</v>
      </c>
      <c r="C68" s="3" t="s">
        <v>28</v>
      </c>
      <c r="D68" s="3" t="s">
        <v>31</v>
      </c>
      <c r="E68" s="6">
        <v>45061</v>
      </c>
      <c r="F68" s="3" t="s">
        <v>14</v>
      </c>
      <c r="G68" s="3">
        <v>11963</v>
      </c>
      <c r="H68" s="3">
        <v>6042</v>
      </c>
      <c r="I68" s="3">
        <v>3.93</v>
      </c>
      <c r="J68" s="3">
        <v>15</v>
      </c>
      <c r="K68" s="15">
        <f ca="1">IF(F68="Enrolled",TODAY()-E68,"0")</f>
        <v>993</v>
      </c>
      <c r="L68" s="3" t="str">
        <f>IF(I68&gt;=3.5,"Excellent",IF(I68&gt;=3,"Good",IF(I68&gt;=2,"Average","Poor")))</f>
        <v>Excellent</v>
      </c>
      <c r="M68" s="3" t="str">
        <v>Dr.Sharma</v>
      </c>
      <c r="N68" s="3" t="str">
        <f>IF(H68 &gt; (G68*50%), "Yes", "No")</f>
        <v>Yes</v>
      </c>
      <c r="O68" s="16">
        <f>G68-H68</f>
        <v>5921</v>
      </c>
      <c r="P68" s="16">
        <f>SUMIFS(O68:O68,E68:E68,"Science",F68:F68,"Completed")</f>
        <v>0</v>
      </c>
      <c r="Q68" s="3" t="str">
        <f>IF(MONTH(E68)&gt;=7, YEAR(E68)&amp;"-"&amp;YEAR(E68)+1, YEAR(E68)-1&amp;"-"&amp;YEAR(E68))</f>
        <v>2022-2023</v>
      </c>
      <c r="R68" s="3"/>
      <c r="S68" s="3"/>
      <c r="T68" s="15" t="str">
        <f t="shared" ca="1" si="1"/>
        <v>0</v>
      </c>
      <c r="U68" s="3"/>
    </row>
    <row r="69" spans="1:21" x14ac:dyDescent="0.35">
      <c r="A69" s="3" t="s">
        <v>159</v>
      </c>
      <c r="B69" s="3" t="s">
        <v>160</v>
      </c>
      <c r="C69" s="3" t="s">
        <v>28</v>
      </c>
      <c r="D69" s="3" t="s">
        <v>31</v>
      </c>
      <c r="E69" s="6">
        <v>45185</v>
      </c>
      <c r="F69" s="3" t="s">
        <v>14</v>
      </c>
      <c r="G69" s="3">
        <v>14287</v>
      </c>
      <c r="H69" s="3">
        <v>7031</v>
      </c>
      <c r="I69" s="3">
        <v>3.57</v>
      </c>
      <c r="J69" s="3">
        <v>47</v>
      </c>
      <c r="K69" s="15">
        <f ca="1">IF(F69="Enrolled",TODAY()-E69,"0")</f>
        <v>869</v>
      </c>
      <c r="L69" s="3" t="str">
        <f>IF(I69&gt;=3.5,"Excellent",IF(I69&gt;=3,"Good",IF(I69&gt;=2,"Average","Poor")))</f>
        <v>Excellent</v>
      </c>
      <c r="M69" s="3" t="str">
        <v>Dr.Sharma</v>
      </c>
      <c r="N69" s="3" t="str">
        <f>IF(H69 &gt; (G69*50%), "Yes", "No")</f>
        <v>No</v>
      </c>
      <c r="O69" s="16">
        <f>G69-H69</f>
        <v>7256</v>
      </c>
      <c r="P69" s="16">
        <f>SUMIFS(O69:O69,E69:E69,"Science",F69:F69,"Completed")</f>
        <v>0</v>
      </c>
      <c r="Q69" s="3" t="str">
        <f>IF(MONTH(E69)&gt;=7, YEAR(E69)&amp;"-"&amp;YEAR(E69)+1, YEAR(E69)-1&amp;"-"&amp;YEAR(E69))</f>
        <v>2023-2024</v>
      </c>
      <c r="R69" s="3"/>
      <c r="S69" s="3"/>
      <c r="T69" s="15" t="str">
        <f t="shared" ca="1" si="1"/>
        <v>0</v>
      </c>
      <c r="U69" s="3"/>
    </row>
    <row r="70" spans="1:21" x14ac:dyDescent="0.35">
      <c r="A70" s="3" t="s">
        <v>161</v>
      </c>
      <c r="B70" s="3" t="s">
        <v>162</v>
      </c>
      <c r="C70" s="3" t="s">
        <v>22</v>
      </c>
      <c r="D70" s="3" t="s">
        <v>18</v>
      </c>
      <c r="E70" s="6">
        <v>45097</v>
      </c>
      <c r="F70" s="3" t="s">
        <v>14</v>
      </c>
      <c r="G70" s="3">
        <v>13017</v>
      </c>
      <c r="H70" s="3">
        <v>5214</v>
      </c>
      <c r="I70" s="3">
        <v>3.64</v>
      </c>
      <c r="J70" s="3">
        <v>1</v>
      </c>
      <c r="K70" s="15">
        <f ca="1">IF(F70="Enrolled",TODAY()-E70,"0")</f>
        <v>957</v>
      </c>
      <c r="L70" s="3" t="str">
        <f>IF(I70&gt;=3.5,"Excellent",IF(I70&gt;=3,"Good",IF(I70&gt;=2,"Average","Poor")))</f>
        <v>Excellent</v>
      </c>
      <c r="M70" s="3" t="str">
        <v>Dr.Roy</v>
      </c>
      <c r="N70" s="3" t="str">
        <f>IF(H70 &gt; (G70*50%), "Yes", "No")</f>
        <v>No</v>
      </c>
      <c r="O70" s="16">
        <f>G70-H70</f>
        <v>7803</v>
      </c>
      <c r="P70" s="16">
        <f>SUMIFS(O70:O70,E70:E70,"Science",F70:F70,"Completed")</f>
        <v>0</v>
      </c>
      <c r="Q70" s="3" t="str">
        <f>IF(MONTH(E70)&gt;=7, YEAR(E70)&amp;"-"&amp;YEAR(E70)+1, YEAR(E70)-1&amp;"-"&amp;YEAR(E70))</f>
        <v>2022-2023</v>
      </c>
      <c r="R70" s="3"/>
      <c r="S70" s="3"/>
      <c r="T70" s="15" t="str">
        <f t="shared" ca="1" si="1"/>
        <v>0</v>
      </c>
      <c r="U70" s="3"/>
    </row>
    <row r="71" spans="1:21" x14ac:dyDescent="0.35">
      <c r="A71" s="3" t="s">
        <v>163</v>
      </c>
      <c r="B71" s="3" t="s">
        <v>164</v>
      </c>
      <c r="C71" s="3" t="s">
        <v>36</v>
      </c>
      <c r="D71" s="3" t="s">
        <v>13</v>
      </c>
      <c r="E71" s="6">
        <v>44858</v>
      </c>
      <c r="F71" s="3" t="s">
        <v>14</v>
      </c>
      <c r="G71" s="3">
        <v>5312</v>
      </c>
      <c r="H71" s="3">
        <v>9048</v>
      </c>
      <c r="I71" s="3">
        <v>3.35</v>
      </c>
      <c r="J71" s="3">
        <v>66</v>
      </c>
      <c r="K71" s="15">
        <f ca="1">IF(F71="Enrolled",TODAY()-E71,"0")</f>
        <v>1196</v>
      </c>
      <c r="L71" s="3" t="str">
        <f>IF(I71&gt;=3.5,"Excellent",IF(I71&gt;=3,"Good",IF(I71&gt;=2,"Average","Poor")))</f>
        <v>Good</v>
      </c>
      <c r="M71" s="3" t="str">
        <v>Dr.Mehta</v>
      </c>
      <c r="N71" s="3" t="str">
        <f>IF(H71 &gt; (G71*50%), "Yes", "No")</f>
        <v>Yes</v>
      </c>
      <c r="O71" s="16">
        <f>G71-H71</f>
        <v>-3736</v>
      </c>
      <c r="P71" s="16">
        <f>SUMIFS(O71:O71,E71:E71,"Science",F71:F71,"Completed")</f>
        <v>0</v>
      </c>
      <c r="Q71" s="3" t="str">
        <f>IF(MONTH(E71)&gt;=7, YEAR(E71)&amp;"-"&amp;YEAR(E71)+1, YEAR(E71)-1&amp;"-"&amp;YEAR(E71))</f>
        <v>2022-2023</v>
      </c>
      <c r="R71" s="3"/>
      <c r="S71" s="3"/>
      <c r="T71" s="15" t="str">
        <f t="shared" ca="1" si="1"/>
        <v>0</v>
      </c>
      <c r="U71" s="3"/>
    </row>
    <row r="72" spans="1:21" x14ac:dyDescent="0.35">
      <c r="A72" s="3" t="s">
        <v>165</v>
      </c>
      <c r="B72" s="3" t="s">
        <v>166</v>
      </c>
      <c r="C72" s="3" t="s">
        <v>17</v>
      </c>
      <c r="D72" s="3" t="s">
        <v>62</v>
      </c>
      <c r="E72" s="6">
        <v>45156</v>
      </c>
      <c r="F72" s="3" t="s">
        <v>14</v>
      </c>
      <c r="G72" s="3">
        <v>3888</v>
      </c>
      <c r="H72" s="3">
        <v>3552</v>
      </c>
      <c r="I72" s="3">
        <v>3.89</v>
      </c>
      <c r="J72" s="3">
        <v>104</v>
      </c>
      <c r="K72" s="15">
        <f ca="1">IF(F72="Enrolled",TODAY()-E72,"0")</f>
        <v>898</v>
      </c>
      <c r="L72" s="3" t="str">
        <f>IF(I72&gt;=3.5,"Excellent",IF(I72&gt;=3,"Good",IF(I72&gt;=2,"Average","Poor")))</f>
        <v>Excellent</v>
      </c>
      <c r="M72" s="3" t="str">
        <v>Dr.Sinha</v>
      </c>
      <c r="N72" s="3" t="str">
        <f>IF(H72 &gt; (G72*50%), "Yes", "No")</f>
        <v>Yes</v>
      </c>
      <c r="O72" s="16">
        <f>G72-H72</f>
        <v>336</v>
      </c>
      <c r="P72" s="16">
        <f>SUMIFS(O72:O72,E72:E72,"Science",F72:F72,"Completed")</f>
        <v>0</v>
      </c>
      <c r="Q72" s="3" t="str">
        <f>IF(MONTH(E72)&gt;=7, YEAR(E72)&amp;"-"&amp;YEAR(E72)+1, YEAR(E72)-1&amp;"-"&amp;YEAR(E72))</f>
        <v>2023-2024</v>
      </c>
      <c r="R72" s="3"/>
      <c r="S72" s="3"/>
      <c r="T72" s="15" t="str">
        <f t="shared" ca="1" si="1"/>
        <v>0</v>
      </c>
      <c r="U72" s="3"/>
    </row>
    <row r="73" spans="1:21" x14ac:dyDescent="0.35">
      <c r="A73" s="3" t="s">
        <v>167</v>
      </c>
      <c r="B73" s="3" t="s">
        <v>168</v>
      </c>
      <c r="C73" s="3" t="s">
        <v>17</v>
      </c>
      <c r="D73" s="3" t="s">
        <v>18</v>
      </c>
      <c r="E73" s="6">
        <v>44599</v>
      </c>
      <c r="F73" s="3" t="s">
        <v>14</v>
      </c>
      <c r="G73" s="3">
        <v>5609</v>
      </c>
      <c r="H73" s="3">
        <v>3376</v>
      </c>
      <c r="I73" s="3">
        <v>2.75</v>
      </c>
      <c r="J73" s="3">
        <v>105</v>
      </c>
      <c r="K73" s="15">
        <f ca="1">IF(F73="Enrolled",TODAY()-E73,"0")</f>
        <v>1455</v>
      </c>
      <c r="L73" s="3" t="str">
        <f>IF(I73&gt;=3.5,"Excellent",IF(I73&gt;=3,"Good",IF(I73&gt;=2,"Average","Poor")))</f>
        <v>Average</v>
      </c>
      <c r="M73" s="3" t="str">
        <v>Dr.Roy</v>
      </c>
      <c r="N73" s="3" t="str">
        <f>IF(H73 &gt; (G73*50%), "Yes", "No")</f>
        <v>Yes</v>
      </c>
      <c r="O73" s="16">
        <f>G73-H73</f>
        <v>2233</v>
      </c>
      <c r="P73" s="16">
        <f>SUMIFS(O73:O73,E73:E73,"Science",F73:F73,"Completed")</f>
        <v>0</v>
      </c>
      <c r="Q73" s="3" t="str">
        <f>IF(MONTH(E73)&gt;=7, YEAR(E73)&amp;"-"&amp;YEAR(E73)+1, YEAR(E73)-1&amp;"-"&amp;YEAR(E73))</f>
        <v>2021-2022</v>
      </c>
      <c r="R73" s="3"/>
      <c r="S73" s="3"/>
      <c r="T73" s="15" t="str">
        <f t="shared" ca="1" si="1"/>
        <v>0</v>
      </c>
      <c r="U73" s="3"/>
    </row>
    <row r="74" spans="1:21" x14ac:dyDescent="0.35">
      <c r="A74" s="3" t="s">
        <v>169</v>
      </c>
      <c r="B74" s="3" t="s">
        <v>170</v>
      </c>
      <c r="C74" s="3" t="s">
        <v>28</v>
      </c>
      <c r="D74" s="3" t="s">
        <v>18</v>
      </c>
      <c r="E74" s="6">
        <v>44672</v>
      </c>
      <c r="F74" s="3" t="s">
        <v>14</v>
      </c>
      <c r="G74" s="3">
        <v>12778</v>
      </c>
      <c r="H74" s="3">
        <v>4343</v>
      </c>
      <c r="I74" s="3">
        <v>2.79</v>
      </c>
      <c r="J74" s="3">
        <v>109</v>
      </c>
      <c r="K74" s="15">
        <f ca="1">IF(F74="Enrolled",TODAY()-E74,"0")</f>
        <v>1382</v>
      </c>
      <c r="L74" s="3" t="str">
        <f>IF(I74&gt;=3.5,"Excellent",IF(I74&gt;=3,"Good",IF(I74&gt;=2,"Average","Poor")))</f>
        <v>Average</v>
      </c>
      <c r="M74" s="3" t="str">
        <v>Dr.Roy</v>
      </c>
      <c r="N74" s="3" t="str">
        <f>IF(H74 &gt; (G74*50%), "Yes", "No")</f>
        <v>No</v>
      </c>
      <c r="O74" s="16">
        <f>G74-H74</f>
        <v>8435</v>
      </c>
      <c r="P74" s="16">
        <f>SUMIFS(O74:O74,E74:E74,"Science",F74:F74,"Completed")</f>
        <v>0</v>
      </c>
      <c r="Q74" s="3" t="str">
        <f>IF(MONTH(E74)&gt;=7, YEAR(E74)&amp;"-"&amp;YEAR(E74)+1, YEAR(E74)-1&amp;"-"&amp;YEAR(E74))</f>
        <v>2021-2022</v>
      </c>
      <c r="R74" s="3"/>
      <c r="S74" s="3"/>
      <c r="T74" s="15" t="str">
        <f t="shared" ca="1" si="1"/>
        <v>0</v>
      </c>
      <c r="U74" s="3"/>
    </row>
    <row r="75" spans="1:21" x14ac:dyDescent="0.35">
      <c r="A75" s="3" t="s">
        <v>171</v>
      </c>
      <c r="B75" s="3" t="s">
        <v>172</v>
      </c>
      <c r="C75" s="3" t="s">
        <v>36</v>
      </c>
      <c r="D75" s="3" t="s">
        <v>13</v>
      </c>
      <c r="E75" s="6">
        <v>45237</v>
      </c>
      <c r="F75" s="3" t="s">
        <v>19</v>
      </c>
      <c r="G75" s="3">
        <v>13270</v>
      </c>
      <c r="H75" s="3">
        <v>5520</v>
      </c>
      <c r="I75" s="3">
        <v>2.12</v>
      </c>
      <c r="J75" s="3">
        <v>111</v>
      </c>
      <c r="K75" s="15" t="str">
        <f ca="1">IF(F75="Enrolled",TODAY()-E75,"0")</f>
        <v>0</v>
      </c>
      <c r="L75" s="3" t="str">
        <f>IF(I75&gt;=3.5,"Excellent",IF(I75&gt;=3,"Good",IF(I75&gt;=2,"Average","Poor")))</f>
        <v>Average</v>
      </c>
      <c r="M75" s="3" t="str">
        <v>Dr.Mehta</v>
      </c>
      <c r="N75" s="3" t="str">
        <f>IF(H75 &gt; (G75*50%), "Yes", "No")</f>
        <v>No</v>
      </c>
      <c r="O75" s="16">
        <f>G75-H75</f>
        <v>7750</v>
      </c>
      <c r="P75" s="16">
        <f>SUMIFS(O75:O75,E75:E75,"Science",F75:F75,"Completed")</f>
        <v>0</v>
      </c>
      <c r="Q75" s="3" t="str">
        <f>IF(MONTH(E75)&gt;=7, YEAR(E75)&amp;"-"&amp;YEAR(E75)+1, YEAR(E75)-1&amp;"-"&amp;YEAR(E75))</f>
        <v>2023-2024</v>
      </c>
      <c r="R75" s="3"/>
      <c r="S75" s="3"/>
      <c r="T75" s="15">
        <f t="shared" ca="1" si="1"/>
        <v>817</v>
      </c>
      <c r="U75" s="3"/>
    </row>
    <row r="76" spans="1:21" x14ac:dyDescent="0.35">
      <c r="A76" s="3" t="s">
        <v>173</v>
      </c>
      <c r="B76" s="3" t="s">
        <v>174</v>
      </c>
      <c r="C76" s="3" t="s">
        <v>25</v>
      </c>
      <c r="D76" s="3" t="s">
        <v>18</v>
      </c>
      <c r="E76" s="6">
        <v>44745</v>
      </c>
      <c r="F76" s="3" t="s">
        <v>14</v>
      </c>
      <c r="G76" s="3">
        <v>13617</v>
      </c>
      <c r="H76" s="3">
        <v>7511</v>
      </c>
      <c r="I76" s="3">
        <v>3.37</v>
      </c>
      <c r="J76" s="3">
        <v>72</v>
      </c>
      <c r="K76" s="15">
        <f ca="1">IF(F76="Enrolled",TODAY()-E76,"0")</f>
        <v>1309</v>
      </c>
      <c r="L76" s="3" t="str">
        <f>IF(I76&gt;=3.5,"Excellent",IF(I76&gt;=3,"Good",IF(I76&gt;=2,"Average","Poor")))</f>
        <v>Good</v>
      </c>
      <c r="M76" s="3" t="str">
        <v>Dr.Roy</v>
      </c>
      <c r="N76" s="3" t="str">
        <f>IF(H76 &gt; (G76*50%), "Yes", "No")</f>
        <v>Yes</v>
      </c>
      <c r="O76" s="16">
        <f>G76-H76</f>
        <v>6106</v>
      </c>
      <c r="P76" s="16">
        <f>SUMIFS(O76:O76,E76:E76,"Science",F76:F76,"Completed")</f>
        <v>0</v>
      </c>
      <c r="Q76" s="3" t="str">
        <f>IF(MONTH(E76)&gt;=7, YEAR(E76)&amp;"-"&amp;YEAR(E76)+1, YEAR(E76)-1&amp;"-"&amp;YEAR(E76))</f>
        <v>2022-2023</v>
      </c>
      <c r="R76" s="3"/>
      <c r="S76" s="3"/>
      <c r="T76" s="15" t="str">
        <f t="shared" ca="1" si="1"/>
        <v>0</v>
      </c>
      <c r="U76" s="3"/>
    </row>
    <row r="77" spans="1:21" x14ac:dyDescent="0.35">
      <c r="A77" s="3" t="s">
        <v>175</v>
      </c>
      <c r="B77" s="3" t="s">
        <v>176</v>
      </c>
      <c r="C77" s="3" t="s">
        <v>22</v>
      </c>
      <c r="D77" s="3" t="s">
        <v>31</v>
      </c>
      <c r="E77" s="6">
        <v>44750</v>
      </c>
      <c r="F77" s="3" t="s">
        <v>39</v>
      </c>
      <c r="G77" s="3">
        <v>5155</v>
      </c>
      <c r="H77" s="3">
        <v>596</v>
      </c>
      <c r="I77" s="3">
        <v>3.34</v>
      </c>
      <c r="J77" s="3">
        <v>18</v>
      </c>
      <c r="K77" s="15" t="str">
        <f ca="1">IF(F77="Enrolled",TODAY()-E77,"0")</f>
        <v>0</v>
      </c>
      <c r="L77" s="3" t="str">
        <f>IF(I77&gt;=3.5,"Excellent",IF(I77&gt;=3,"Good",IF(I77&gt;=2,"Average","Poor")))</f>
        <v>Good</v>
      </c>
      <c r="M77" s="3" t="str">
        <v>Dr.Sharma</v>
      </c>
      <c r="N77" s="3" t="str">
        <f>IF(H77 &gt; (G77*50%), "Yes", "No")</f>
        <v>No</v>
      </c>
      <c r="O77" s="16">
        <f>G77-H77</f>
        <v>4559</v>
      </c>
      <c r="P77" s="16">
        <f>SUMIFS(O77:O77,E77:E77,"Science",F77:F77,"Completed")</f>
        <v>0</v>
      </c>
      <c r="Q77" s="3" t="str">
        <f>IF(MONTH(E77)&gt;=7, YEAR(E77)&amp;"-"&amp;YEAR(E77)+1, YEAR(E77)-1&amp;"-"&amp;YEAR(E77))</f>
        <v>2022-2023</v>
      </c>
      <c r="R77" s="3"/>
      <c r="S77" s="3"/>
      <c r="T77" s="15" t="str">
        <f t="shared" ca="1" si="1"/>
        <v>0</v>
      </c>
      <c r="U77" s="3"/>
    </row>
    <row r="78" spans="1:21" x14ac:dyDescent="0.35">
      <c r="A78" s="3" t="s">
        <v>177</v>
      </c>
      <c r="B78" s="3" t="s">
        <v>178</v>
      </c>
      <c r="C78" s="3" t="s">
        <v>17</v>
      </c>
      <c r="D78" s="3" t="s">
        <v>62</v>
      </c>
      <c r="E78" s="6">
        <v>44896</v>
      </c>
      <c r="F78" s="3" t="s">
        <v>14</v>
      </c>
      <c r="G78" s="3">
        <v>14298</v>
      </c>
      <c r="H78" s="3">
        <v>5064</v>
      </c>
      <c r="I78" s="3">
        <v>3.83</v>
      </c>
      <c r="J78" s="3">
        <v>17</v>
      </c>
      <c r="K78" s="15">
        <f ca="1">IF(F78="Enrolled",TODAY()-E78,"0")</f>
        <v>1158</v>
      </c>
      <c r="L78" s="3" t="str">
        <f>IF(I78&gt;=3.5,"Excellent",IF(I78&gt;=3,"Good",IF(I78&gt;=2,"Average","Poor")))</f>
        <v>Excellent</v>
      </c>
      <c r="M78" s="3" t="str">
        <v>Dr.Sinha</v>
      </c>
      <c r="N78" s="3" t="str">
        <f>IF(H78 &gt; (G78*50%), "Yes", "No")</f>
        <v>No</v>
      </c>
      <c r="O78" s="16">
        <f>G78-H78</f>
        <v>9234</v>
      </c>
      <c r="P78" s="16">
        <f>SUMIFS(O78:O78,E78:E78,"Science",F78:F78,"Completed")</f>
        <v>0</v>
      </c>
      <c r="Q78" s="3" t="str">
        <f>IF(MONTH(E78)&gt;=7, YEAR(E78)&amp;"-"&amp;YEAR(E78)+1, YEAR(E78)-1&amp;"-"&amp;YEAR(E78))</f>
        <v>2022-2023</v>
      </c>
      <c r="R78" s="3"/>
      <c r="S78" s="3"/>
      <c r="T78" s="15" t="str">
        <f t="shared" ca="1" si="1"/>
        <v>0</v>
      </c>
      <c r="U78" s="3"/>
    </row>
    <row r="79" spans="1:21" x14ac:dyDescent="0.35">
      <c r="A79" s="3" t="s">
        <v>179</v>
      </c>
      <c r="B79" s="3" t="s">
        <v>180</v>
      </c>
      <c r="C79" s="3" t="s">
        <v>17</v>
      </c>
      <c r="D79" s="3" t="s">
        <v>13</v>
      </c>
      <c r="E79" s="6">
        <v>45058</v>
      </c>
      <c r="F79" s="3" t="s">
        <v>14</v>
      </c>
      <c r="G79" s="3">
        <v>4932</v>
      </c>
      <c r="H79" s="3">
        <v>9149</v>
      </c>
      <c r="I79" s="3">
        <v>2.38</v>
      </c>
      <c r="J79" s="3">
        <v>32</v>
      </c>
      <c r="K79" s="15">
        <f ca="1">IF(F79="Enrolled",TODAY()-E79,"0")</f>
        <v>996</v>
      </c>
      <c r="L79" s="3" t="str">
        <f>IF(I79&gt;=3.5,"Excellent",IF(I79&gt;=3,"Good",IF(I79&gt;=2,"Average","Poor")))</f>
        <v>Average</v>
      </c>
      <c r="M79" s="3" t="str">
        <v>Dr.Mehta</v>
      </c>
      <c r="N79" s="3" t="str">
        <f>IF(H79 &gt; (G79*50%), "Yes", "No")</f>
        <v>Yes</v>
      </c>
      <c r="O79" s="16">
        <f>G79-H79</f>
        <v>-4217</v>
      </c>
      <c r="P79" s="16">
        <f>SUMIFS(O79:O79,E79:E79,"Science",F79:F79,"Completed")</f>
        <v>0</v>
      </c>
      <c r="Q79" s="3" t="str">
        <f>IF(MONTH(E79)&gt;=7, YEAR(E79)&amp;"-"&amp;YEAR(E79)+1, YEAR(E79)-1&amp;"-"&amp;YEAR(E79))</f>
        <v>2022-2023</v>
      </c>
      <c r="R79" s="3"/>
      <c r="S79" s="3"/>
      <c r="T79" s="15" t="str">
        <f t="shared" ca="1" si="1"/>
        <v>0</v>
      </c>
      <c r="U79" s="3"/>
    </row>
    <row r="80" spans="1:21" x14ac:dyDescent="0.35">
      <c r="A80" s="3" t="s">
        <v>181</v>
      </c>
      <c r="B80" s="3" t="s">
        <v>182</v>
      </c>
      <c r="C80" s="3" t="s">
        <v>54</v>
      </c>
      <c r="D80" s="3" t="s">
        <v>18</v>
      </c>
      <c r="E80" s="6">
        <v>45287</v>
      </c>
      <c r="F80" s="3" t="s">
        <v>14</v>
      </c>
      <c r="G80" s="3">
        <v>14685</v>
      </c>
      <c r="H80" s="3">
        <v>9078</v>
      </c>
      <c r="I80" s="3">
        <v>2.02</v>
      </c>
      <c r="J80" s="3">
        <v>27</v>
      </c>
      <c r="K80" s="15">
        <f ca="1">IF(F80="Enrolled",TODAY()-E80,"0")</f>
        <v>767</v>
      </c>
      <c r="L80" s="3" t="str">
        <f>IF(I80&gt;=3.5,"Excellent",IF(I80&gt;=3,"Good",IF(I80&gt;=2,"Average","Poor")))</f>
        <v>Average</v>
      </c>
      <c r="M80" s="3" t="str">
        <v>Dr.Roy</v>
      </c>
      <c r="N80" s="3" t="str">
        <f>IF(H80 &gt; (G80*50%), "Yes", "No")</f>
        <v>Yes</v>
      </c>
      <c r="O80" s="16">
        <f>G80-H80</f>
        <v>5607</v>
      </c>
      <c r="P80" s="16">
        <f>SUMIFS(O80:O80,E80:E80,"Science",F80:F80,"Completed")</f>
        <v>0</v>
      </c>
      <c r="Q80" s="3" t="str">
        <f>IF(MONTH(E80)&gt;=7, YEAR(E80)&amp;"-"&amp;YEAR(E80)+1, YEAR(E80)-1&amp;"-"&amp;YEAR(E80))</f>
        <v>2023-2024</v>
      </c>
      <c r="R80" s="3"/>
      <c r="S80" s="3"/>
      <c r="T80" s="15" t="str">
        <f t="shared" ca="1" si="1"/>
        <v>0</v>
      </c>
      <c r="U80" s="3"/>
    </row>
    <row r="81" spans="1:21" x14ac:dyDescent="0.35">
      <c r="A81" s="3" t="s">
        <v>183</v>
      </c>
      <c r="B81" s="3" t="s">
        <v>184</v>
      </c>
      <c r="C81" s="3" t="s">
        <v>22</v>
      </c>
      <c r="D81" s="3" t="s">
        <v>13</v>
      </c>
      <c r="E81" s="6">
        <v>45438</v>
      </c>
      <c r="F81" s="3" t="s">
        <v>14</v>
      </c>
      <c r="G81" s="3">
        <v>4021</v>
      </c>
      <c r="H81" s="3">
        <v>9984</v>
      </c>
      <c r="I81" s="3">
        <v>2.65</v>
      </c>
      <c r="J81" s="3">
        <v>55</v>
      </c>
      <c r="K81" s="15">
        <f ca="1">IF(F81="Enrolled",TODAY()-E81,"0")</f>
        <v>616</v>
      </c>
      <c r="L81" s="3" t="str">
        <f>IF(I81&gt;=3.5,"Excellent",IF(I81&gt;=3,"Good",IF(I81&gt;=2,"Average","Poor")))</f>
        <v>Average</v>
      </c>
      <c r="M81" s="3" t="str">
        <v>Dr.Mehta</v>
      </c>
      <c r="N81" s="3" t="str">
        <f>IF(H81 &gt; (G81*50%), "Yes", "No")</f>
        <v>Yes</v>
      </c>
      <c r="O81" s="16">
        <f>G81-H81</f>
        <v>-5963</v>
      </c>
      <c r="P81" s="16">
        <f>SUMIFS(O81:O81,E81:E81,"Science",F81:F81,"Completed")</f>
        <v>0</v>
      </c>
      <c r="Q81" s="3" t="str">
        <f>IF(MONTH(E81)&gt;=7, YEAR(E81)&amp;"-"&amp;YEAR(E81)+1, YEAR(E81)-1&amp;"-"&amp;YEAR(E81))</f>
        <v>2023-2024</v>
      </c>
      <c r="R81" s="3"/>
      <c r="S81" s="3"/>
      <c r="T81" s="15" t="str">
        <f t="shared" ca="1" si="1"/>
        <v>0</v>
      </c>
      <c r="U81" s="3"/>
    </row>
    <row r="82" spans="1:21" x14ac:dyDescent="0.35">
      <c r="A82" s="3" t="s">
        <v>185</v>
      </c>
      <c r="B82" s="3" t="s">
        <v>186</v>
      </c>
      <c r="C82" s="3" t="s">
        <v>22</v>
      </c>
      <c r="D82" s="3" t="s">
        <v>31</v>
      </c>
      <c r="E82" s="6">
        <v>45172</v>
      </c>
      <c r="F82" s="3" t="s">
        <v>14</v>
      </c>
      <c r="G82" s="3">
        <v>14754</v>
      </c>
      <c r="H82" s="3">
        <v>8580</v>
      </c>
      <c r="I82" s="3">
        <v>3.89</v>
      </c>
      <c r="J82" s="3">
        <v>68</v>
      </c>
      <c r="K82" s="15">
        <f ca="1">IF(F82="Enrolled",TODAY()-E82,"0")</f>
        <v>882</v>
      </c>
      <c r="L82" s="3" t="str">
        <f>IF(I82&gt;=3.5,"Excellent",IF(I82&gt;=3,"Good",IF(I82&gt;=2,"Average","Poor")))</f>
        <v>Excellent</v>
      </c>
      <c r="M82" s="3" t="str">
        <v>Dr.Sharma</v>
      </c>
      <c r="N82" s="3" t="str">
        <f>IF(H82 &gt; (G82*50%), "Yes", "No")</f>
        <v>Yes</v>
      </c>
      <c r="O82" s="16">
        <f>G82-H82</f>
        <v>6174</v>
      </c>
      <c r="P82" s="16">
        <f>SUMIFS(O82:O82,E82:E82,"Science",F82:F82,"Completed")</f>
        <v>0</v>
      </c>
      <c r="Q82" s="3" t="str">
        <f>IF(MONTH(E82)&gt;=7, YEAR(E82)&amp;"-"&amp;YEAR(E82)+1, YEAR(E82)-1&amp;"-"&amp;YEAR(E82))</f>
        <v>2023-2024</v>
      </c>
      <c r="R82" s="3"/>
      <c r="S82" s="3"/>
      <c r="T82" s="15" t="str">
        <f t="shared" ca="1" si="1"/>
        <v>0</v>
      </c>
      <c r="U82" s="3"/>
    </row>
    <row r="83" spans="1:21" x14ac:dyDescent="0.35">
      <c r="A83" s="3" t="s">
        <v>187</v>
      </c>
      <c r="B83" s="3" t="s">
        <v>188</v>
      </c>
      <c r="C83" s="3" t="s">
        <v>57</v>
      </c>
      <c r="D83" s="3" t="s">
        <v>62</v>
      </c>
      <c r="E83" s="6">
        <v>44824</v>
      </c>
      <c r="F83" s="3" t="s">
        <v>39</v>
      </c>
      <c r="G83" s="3">
        <v>7359</v>
      </c>
      <c r="H83" s="3">
        <v>9908</v>
      </c>
      <c r="I83" s="3">
        <v>3.53</v>
      </c>
      <c r="J83" s="3">
        <v>35</v>
      </c>
      <c r="K83" s="15" t="str">
        <f ca="1">IF(F83="Enrolled",TODAY()-E83,"0")</f>
        <v>0</v>
      </c>
      <c r="L83" s="3" t="str">
        <f>IF(I83&gt;=3.5,"Excellent",IF(I83&gt;=3,"Good",IF(I83&gt;=2,"Average","Poor")))</f>
        <v>Excellent</v>
      </c>
      <c r="M83" s="3" t="str">
        <v>Dr.Sinha</v>
      </c>
      <c r="N83" s="3" t="str">
        <f>IF(H83 &gt; (G83*50%), "Yes", "No")</f>
        <v>Yes</v>
      </c>
      <c r="O83" s="16">
        <f>G83-H83</f>
        <v>-2549</v>
      </c>
      <c r="P83" s="16">
        <f>SUMIFS(O83:O83,E83:E83,"Science",F83:F83,"Completed")</f>
        <v>0</v>
      </c>
      <c r="Q83" s="3" t="str">
        <f>IF(MONTH(E83)&gt;=7, YEAR(E83)&amp;"-"&amp;YEAR(E83)+1, YEAR(E83)-1&amp;"-"&amp;YEAR(E83))</f>
        <v>2022-2023</v>
      </c>
      <c r="R83" s="3"/>
      <c r="S83" s="3"/>
      <c r="T83" s="15" t="str">
        <f t="shared" ca="1" si="1"/>
        <v>0</v>
      </c>
      <c r="U83" s="3"/>
    </row>
    <row r="84" spans="1:21" x14ac:dyDescent="0.35">
      <c r="A84" s="3" t="s">
        <v>189</v>
      </c>
      <c r="B84" s="3" t="s">
        <v>190</v>
      </c>
      <c r="C84" s="3" t="s">
        <v>36</v>
      </c>
      <c r="D84" s="3" t="s">
        <v>62</v>
      </c>
      <c r="E84" s="6">
        <v>44653</v>
      </c>
      <c r="F84" s="3" t="s">
        <v>14</v>
      </c>
      <c r="G84" s="3">
        <v>9833</v>
      </c>
      <c r="H84" s="3">
        <v>1595</v>
      </c>
      <c r="I84" s="3">
        <v>3.64</v>
      </c>
      <c r="J84" s="3">
        <v>28</v>
      </c>
      <c r="K84" s="15">
        <f ca="1">IF(F84="Enrolled",TODAY()-E84,"0")</f>
        <v>1401</v>
      </c>
      <c r="L84" s="3" t="str">
        <f>IF(I84&gt;=3.5,"Excellent",IF(I84&gt;=3,"Good",IF(I84&gt;=2,"Average","Poor")))</f>
        <v>Excellent</v>
      </c>
      <c r="M84" s="3" t="str">
        <v>Dr.Sinha</v>
      </c>
      <c r="N84" s="3" t="str">
        <f>IF(H84 &gt; (G84*50%), "Yes", "No")</f>
        <v>No</v>
      </c>
      <c r="O84" s="16">
        <f>G84-H84</f>
        <v>8238</v>
      </c>
      <c r="P84" s="16">
        <f>SUMIFS(O84:O84,E84:E84,"Science",F84:F84,"Completed")</f>
        <v>0</v>
      </c>
      <c r="Q84" s="3" t="str">
        <f>IF(MONTH(E84)&gt;=7, YEAR(E84)&amp;"-"&amp;YEAR(E84)+1, YEAR(E84)-1&amp;"-"&amp;YEAR(E84))</f>
        <v>2021-2022</v>
      </c>
      <c r="R84" s="3"/>
      <c r="S84" s="3"/>
      <c r="T84" s="15" t="str">
        <f t="shared" ca="1" si="1"/>
        <v>0</v>
      </c>
      <c r="U84" s="3"/>
    </row>
    <row r="85" spans="1:21" x14ac:dyDescent="0.35">
      <c r="A85" s="3" t="s">
        <v>191</v>
      </c>
      <c r="B85" s="3" t="s">
        <v>192</v>
      </c>
      <c r="C85" s="3" t="s">
        <v>25</v>
      </c>
      <c r="D85" s="3" t="s">
        <v>31</v>
      </c>
      <c r="E85" s="6">
        <v>45186</v>
      </c>
      <c r="F85" s="3" t="s">
        <v>19</v>
      </c>
      <c r="G85" s="3">
        <v>9039</v>
      </c>
      <c r="H85" s="3">
        <v>6799</v>
      </c>
      <c r="I85" s="3">
        <v>2.57</v>
      </c>
      <c r="J85" s="3">
        <v>74</v>
      </c>
      <c r="K85" s="15" t="str">
        <f ca="1">IF(F85="Enrolled",TODAY()-E85,"0")</f>
        <v>0</v>
      </c>
      <c r="L85" s="3" t="str">
        <f>IF(I85&gt;=3.5,"Excellent",IF(I85&gt;=3,"Good",IF(I85&gt;=2,"Average","Poor")))</f>
        <v>Average</v>
      </c>
      <c r="M85" s="3" t="str">
        <v>Dr.Sharma</v>
      </c>
      <c r="N85" s="3" t="str">
        <f>IF(H85 &gt; (G85*50%), "Yes", "No")</f>
        <v>Yes</v>
      </c>
      <c r="O85" s="16">
        <f>G85-H85</f>
        <v>2240</v>
      </c>
      <c r="P85" s="16">
        <f>SUMIFS(O85:O85,E85:E85,"Science",F85:F85,"Completed")</f>
        <v>0</v>
      </c>
      <c r="Q85" s="3" t="str">
        <f>IF(MONTH(E85)&gt;=7, YEAR(E85)&amp;"-"&amp;YEAR(E85)+1, YEAR(E85)-1&amp;"-"&amp;YEAR(E85))</f>
        <v>2023-2024</v>
      </c>
      <c r="R85" s="3"/>
      <c r="S85" s="3"/>
      <c r="T85" s="15">
        <f t="shared" ca="1" si="1"/>
        <v>868</v>
      </c>
      <c r="U85" s="3"/>
    </row>
    <row r="86" spans="1:21" x14ac:dyDescent="0.35">
      <c r="A86" s="3" t="s">
        <v>193</v>
      </c>
      <c r="B86" s="3" t="s">
        <v>194</v>
      </c>
      <c r="C86" s="3" t="s">
        <v>25</v>
      </c>
      <c r="D86" s="3" t="s">
        <v>13</v>
      </c>
      <c r="E86" s="6">
        <v>44627</v>
      </c>
      <c r="F86" s="3" t="s">
        <v>19</v>
      </c>
      <c r="G86" s="3">
        <v>7072</v>
      </c>
      <c r="H86" s="3">
        <v>3108</v>
      </c>
      <c r="I86" s="3">
        <v>3.66</v>
      </c>
      <c r="J86" s="3">
        <v>82</v>
      </c>
      <c r="K86" s="15" t="str">
        <f ca="1">IF(F86="Enrolled",TODAY()-E86,"0")</f>
        <v>0</v>
      </c>
      <c r="L86" s="3" t="str">
        <f>IF(I86&gt;=3.5,"Excellent",IF(I86&gt;=3,"Good",IF(I86&gt;=2,"Average","Poor")))</f>
        <v>Excellent</v>
      </c>
      <c r="M86" s="3" t="str">
        <v>Dr.Mehta</v>
      </c>
      <c r="N86" s="3" t="str">
        <f>IF(H86 &gt; (G86*50%), "Yes", "No")</f>
        <v>No</v>
      </c>
      <c r="O86" s="16">
        <f>G86-H86</f>
        <v>3964</v>
      </c>
      <c r="P86" s="16">
        <f>SUMIFS(O86:O86,E86:E86,"Science",F86:F86,"Completed")</f>
        <v>0</v>
      </c>
      <c r="Q86" s="3" t="str">
        <f>IF(MONTH(E86)&gt;=7, YEAR(E86)&amp;"-"&amp;YEAR(E86)+1, YEAR(E86)-1&amp;"-"&amp;YEAR(E86))</f>
        <v>2021-2022</v>
      </c>
      <c r="R86" s="3"/>
      <c r="S86" s="3"/>
      <c r="T86" s="15">
        <f t="shared" ca="1" si="1"/>
        <v>1427</v>
      </c>
      <c r="U86" s="3"/>
    </row>
    <row r="87" spans="1:21" x14ac:dyDescent="0.35">
      <c r="A87" s="3" t="s">
        <v>195</v>
      </c>
      <c r="B87" s="3" t="s">
        <v>196</v>
      </c>
      <c r="C87" s="3" t="s">
        <v>36</v>
      </c>
      <c r="D87" s="3" t="s">
        <v>31</v>
      </c>
      <c r="E87" s="6">
        <v>44894</v>
      </c>
      <c r="F87" s="3" t="s">
        <v>14</v>
      </c>
      <c r="G87" s="3">
        <v>14564</v>
      </c>
      <c r="H87" s="3">
        <v>9872</v>
      </c>
      <c r="I87" s="3">
        <v>2.64</v>
      </c>
      <c r="J87" s="3">
        <v>81</v>
      </c>
      <c r="K87" s="15">
        <f ca="1">IF(F87="Enrolled",TODAY()-E87,"0")</f>
        <v>1160</v>
      </c>
      <c r="L87" s="3" t="str">
        <f>IF(I87&gt;=3.5,"Excellent",IF(I87&gt;=3,"Good",IF(I87&gt;=2,"Average","Poor")))</f>
        <v>Average</v>
      </c>
      <c r="M87" s="3" t="str">
        <v>Dr.Sharma</v>
      </c>
      <c r="N87" s="3" t="str">
        <f>IF(H87 &gt; (G87*50%), "Yes", "No")</f>
        <v>Yes</v>
      </c>
      <c r="O87" s="16">
        <f>G87-H87</f>
        <v>4692</v>
      </c>
      <c r="P87" s="16">
        <f>SUMIFS(O87:O87,E87:E87,"Science",F87:F87,"Completed")</f>
        <v>0</v>
      </c>
      <c r="Q87" s="3" t="str">
        <f>IF(MONTH(E87)&gt;=7, YEAR(E87)&amp;"-"&amp;YEAR(E87)+1, YEAR(E87)-1&amp;"-"&amp;YEAR(E87))</f>
        <v>2022-2023</v>
      </c>
      <c r="R87" s="3"/>
      <c r="S87" s="3"/>
      <c r="T87" s="15" t="str">
        <f t="shared" ca="1" si="1"/>
        <v>0</v>
      </c>
      <c r="U87" s="3"/>
    </row>
    <row r="88" spans="1:21" x14ac:dyDescent="0.35">
      <c r="A88" s="3" t="s">
        <v>197</v>
      </c>
      <c r="B88" s="3" t="s">
        <v>198</v>
      </c>
      <c r="C88" s="3" t="s">
        <v>54</v>
      </c>
      <c r="D88" s="3" t="s">
        <v>18</v>
      </c>
      <c r="E88" s="6">
        <v>44839</v>
      </c>
      <c r="F88" s="3" t="s">
        <v>14</v>
      </c>
      <c r="G88" s="3">
        <v>9580</v>
      </c>
      <c r="H88" s="3">
        <v>3701</v>
      </c>
      <c r="I88" s="3">
        <v>2.27</v>
      </c>
      <c r="J88" s="3">
        <v>14</v>
      </c>
      <c r="K88" s="15">
        <f ca="1">IF(F88="Enrolled",TODAY()-E88,"0")</f>
        <v>1215</v>
      </c>
      <c r="L88" s="3" t="str">
        <f>IF(I88&gt;=3.5,"Excellent",IF(I88&gt;=3,"Good",IF(I88&gt;=2,"Average","Poor")))</f>
        <v>Average</v>
      </c>
      <c r="M88" s="3" t="str">
        <v>Dr.Roy</v>
      </c>
      <c r="N88" s="3" t="str">
        <f>IF(H88 &gt; (G88*50%), "Yes", "No")</f>
        <v>No</v>
      </c>
      <c r="O88" s="16">
        <f>G88-H88</f>
        <v>5879</v>
      </c>
      <c r="P88" s="16">
        <f>SUMIFS(O88:O88,E88:E88,"Science",F88:F88,"Completed")</f>
        <v>0</v>
      </c>
      <c r="Q88" s="3" t="str">
        <f>IF(MONTH(E88)&gt;=7, YEAR(E88)&amp;"-"&amp;YEAR(E88)+1, YEAR(E88)-1&amp;"-"&amp;YEAR(E88))</f>
        <v>2022-2023</v>
      </c>
      <c r="R88" s="3"/>
      <c r="S88" s="3"/>
      <c r="T88" s="15" t="str">
        <f t="shared" ca="1" si="1"/>
        <v>0</v>
      </c>
      <c r="U88" s="3"/>
    </row>
    <row r="89" spans="1:21" x14ac:dyDescent="0.35">
      <c r="A89" s="3" t="s">
        <v>199</v>
      </c>
      <c r="B89" s="3" t="s">
        <v>200</v>
      </c>
      <c r="C89" s="3" t="s">
        <v>22</v>
      </c>
      <c r="D89" s="3" t="s">
        <v>62</v>
      </c>
      <c r="E89" s="6">
        <v>44801</v>
      </c>
      <c r="F89" s="3" t="s">
        <v>14</v>
      </c>
      <c r="G89" s="3">
        <v>13295</v>
      </c>
      <c r="H89" s="3">
        <v>1841</v>
      </c>
      <c r="I89" s="3">
        <v>2.4</v>
      </c>
      <c r="J89" s="3">
        <v>41</v>
      </c>
      <c r="K89" s="15">
        <f ca="1">IF(F89="Enrolled",TODAY()-E89,"0")</f>
        <v>1253</v>
      </c>
      <c r="L89" s="3" t="str">
        <f>IF(I89&gt;=3.5,"Excellent",IF(I89&gt;=3,"Good",IF(I89&gt;=2,"Average","Poor")))</f>
        <v>Average</v>
      </c>
      <c r="M89" s="3" t="str">
        <v>Dr.Sinha</v>
      </c>
      <c r="N89" s="3" t="str">
        <f>IF(H89 &gt; (G89*50%), "Yes", "No")</f>
        <v>No</v>
      </c>
      <c r="O89" s="16">
        <f>G89-H89</f>
        <v>11454</v>
      </c>
      <c r="P89" s="16">
        <f>SUMIFS(O89:O89,E89:E89,"Science",F89:F89,"Completed")</f>
        <v>0</v>
      </c>
      <c r="Q89" s="3" t="str">
        <f>IF(MONTH(E89)&gt;=7, YEAR(E89)&amp;"-"&amp;YEAR(E89)+1, YEAR(E89)-1&amp;"-"&amp;YEAR(E89))</f>
        <v>2022-2023</v>
      </c>
      <c r="R89" s="3"/>
      <c r="S89" s="3"/>
      <c r="T89" s="15" t="str">
        <f t="shared" ca="1" si="1"/>
        <v>0</v>
      </c>
      <c r="U89" s="3"/>
    </row>
    <row r="90" spans="1:21" x14ac:dyDescent="0.35">
      <c r="A90" s="3" t="s">
        <v>201</v>
      </c>
      <c r="B90" s="3" t="s">
        <v>202</v>
      </c>
      <c r="C90" s="3" t="s">
        <v>36</v>
      </c>
      <c r="D90" s="3" t="s">
        <v>13</v>
      </c>
      <c r="E90" s="6">
        <v>45073</v>
      </c>
      <c r="F90" s="3" t="s">
        <v>14</v>
      </c>
      <c r="G90" s="3">
        <v>13755</v>
      </c>
      <c r="H90" s="3">
        <v>1211</v>
      </c>
      <c r="I90" s="3">
        <v>2.92</v>
      </c>
      <c r="J90" s="3">
        <v>95</v>
      </c>
      <c r="K90" s="15">
        <f ca="1">IF(F90="Enrolled",TODAY()-E90,"0")</f>
        <v>981</v>
      </c>
      <c r="L90" s="3" t="str">
        <f>IF(I90&gt;=3.5,"Excellent",IF(I90&gt;=3,"Good",IF(I90&gt;=2,"Average","Poor")))</f>
        <v>Average</v>
      </c>
      <c r="M90" s="3" t="str">
        <v>Dr.Mehta</v>
      </c>
      <c r="N90" s="3" t="str">
        <f>IF(H90 &gt; (G90*50%), "Yes", "No")</f>
        <v>No</v>
      </c>
      <c r="O90" s="16">
        <f>G90-H90</f>
        <v>12544</v>
      </c>
      <c r="P90" s="16">
        <f>SUMIFS(O90:O90,E90:E90,"Science",F90:F90,"Completed")</f>
        <v>0</v>
      </c>
      <c r="Q90" s="3" t="str">
        <f>IF(MONTH(E90)&gt;=7, YEAR(E90)&amp;"-"&amp;YEAR(E90)+1, YEAR(E90)-1&amp;"-"&amp;YEAR(E90))</f>
        <v>2022-2023</v>
      </c>
      <c r="R90" s="3"/>
      <c r="S90" s="3"/>
      <c r="T90" s="15" t="str">
        <f t="shared" ca="1" si="1"/>
        <v>0</v>
      </c>
      <c r="U90" s="3"/>
    </row>
    <row r="91" spans="1:21" x14ac:dyDescent="0.35">
      <c r="A91" s="3" t="s">
        <v>203</v>
      </c>
      <c r="B91" s="3" t="s">
        <v>204</v>
      </c>
      <c r="C91" s="3" t="s">
        <v>22</v>
      </c>
      <c r="D91" s="3" t="s">
        <v>62</v>
      </c>
      <c r="E91" s="6">
        <v>44946</v>
      </c>
      <c r="F91" s="3" t="s">
        <v>19</v>
      </c>
      <c r="G91" s="3">
        <v>5803</v>
      </c>
      <c r="H91" s="3">
        <v>4278</v>
      </c>
      <c r="I91" s="3">
        <v>3.56</v>
      </c>
      <c r="J91" s="3">
        <v>54</v>
      </c>
      <c r="K91" s="15" t="str">
        <f ca="1">IF(F91="Enrolled",TODAY()-E91,"0")</f>
        <v>0</v>
      </c>
      <c r="L91" s="3" t="str">
        <f>IF(I91&gt;=3.5,"Excellent",IF(I91&gt;=3,"Good",IF(I91&gt;=2,"Average","Poor")))</f>
        <v>Excellent</v>
      </c>
      <c r="M91" s="3" t="str">
        <v>Dr.Sinha</v>
      </c>
      <c r="N91" s="3" t="str">
        <f>IF(H91 &gt; (G91*50%), "Yes", "No")</f>
        <v>Yes</v>
      </c>
      <c r="O91" s="16">
        <f>G91-H91</f>
        <v>1525</v>
      </c>
      <c r="P91" s="16">
        <f>SUMIFS(O91:O91,E91:E91,"Science",F91:F91,"Completed")</f>
        <v>0</v>
      </c>
      <c r="Q91" s="3" t="str">
        <f>IF(MONTH(E91)&gt;=7, YEAR(E91)&amp;"-"&amp;YEAR(E91)+1, YEAR(E91)-1&amp;"-"&amp;YEAR(E91))</f>
        <v>2022-2023</v>
      </c>
      <c r="R91" s="3"/>
      <c r="S91" s="3"/>
      <c r="T91" s="15">
        <f t="shared" ca="1" si="1"/>
        <v>1108</v>
      </c>
      <c r="U91" s="3"/>
    </row>
    <row r="92" spans="1:21" x14ac:dyDescent="0.35">
      <c r="A92" s="3" t="s">
        <v>205</v>
      </c>
      <c r="B92" s="3" t="s">
        <v>206</v>
      </c>
      <c r="C92" s="3" t="s">
        <v>25</v>
      </c>
      <c r="D92" s="3" t="s">
        <v>13</v>
      </c>
      <c r="E92" s="6">
        <v>44620</v>
      </c>
      <c r="F92" s="3" t="s">
        <v>19</v>
      </c>
      <c r="G92" s="3">
        <v>4425</v>
      </c>
      <c r="H92" s="3">
        <v>3762</v>
      </c>
      <c r="I92" s="3">
        <v>3.25</v>
      </c>
      <c r="J92" s="3">
        <v>88</v>
      </c>
      <c r="K92" s="15" t="str">
        <f ca="1">IF(F92="Enrolled",TODAY()-E92,"0")</f>
        <v>0</v>
      </c>
      <c r="L92" s="3" t="str">
        <f>IF(I92&gt;=3.5,"Excellent",IF(I92&gt;=3,"Good",IF(I92&gt;=2,"Average","Poor")))</f>
        <v>Good</v>
      </c>
      <c r="M92" s="3" t="str">
        <v>Dr.Mehta</v>
      </c>
      <c r="N92" s="3" t="str">
        <f>IF(H92 &gt; (G92*50%), "Yes", "No")</f>
        <v>Yes</v>
      </c>
      <c r="O92" s="16">
        <f>G92-H92</f>
        <v>663</v>
      </c>
      <c r="P92" s="16">
        <f>SUMIFS(O92:O92,E92:E92,"Science",F92:F92,"Completed")</f>
        <v>0</v>
      </c>
      <c r="Q92" s="3" t="str">
        <f>IF(MONTH(E92)&gt;=7, YEAR(E92)&amp;"-"&amp;YEAR(E92)+1, YEAR(E92)-1&amp;"-"&amp;YEAR(E92))</f>
        <v>2021-2022</v>
      </c>
      <c r="R92" s="3"/>
      <c r="S92" s="3"/>
      <c r="T92" s="15">
        <f t="shared" ca="1" si="1"/>
        <v>1434</v>
      </c>
      <c r="U92" s="3"/>
    </row>
    <row r="93" spans="1:21" x14ac:dyDescent="0.35">
      <c r="A93" s="3" t="s">
        <v>207</v>
      </c>
      <c r="B93" s="3" t="s">
        <v>208</v>
      </c>
      <c r="C93" s="3" t="s">
        <v>57</v>
      </c>
      <c r="D93" s="3" t="s">
        <v>31</v>
      </c>
      <c r="E93" s="6">
        <v>45013</v>
      </c>
      <c r="F93" s="3" t="s">
        <v>14</v>
      </c>
      <c r="G93" s="3">
        <v>10595</v>
      </c>
      <c r="H93" s="3">
        <v>583</v>
      </c>
      <c r="I93" s="3">
        <v>2.06</v>
      </c>
      <c r="J93" s="3">
        <v>53</v>
      </c>
      <c r="K93" s="15">
        <f ca="1">IF(F93="Enrolled",TODAY()-E93,"0")</f>
        <v>1041</v>
      </c>
      <c r="L93" s="3" t="str">
        <f>IF(I93&gt;=3.5,"Excellent",IF(I93&gt;=3,"Good",IF(I93&gt;=2,"Average","Poor")))</f>
        <v>Average</v>
      </c>
      <c r="M93" s="3" t="str">
        <v>Dr.Sharma</v>
      </c>
      <c r="N93" s="3" t="str">
        <f>IF(H93 &gt; (G93*50%), "Yes", "No")</f>
        <v>No</v>
      </c>
      <c r="O93" s="16">
        <f>G93-H93</f>
        <v>10012</v>
      </c>
      <c r="P93" s="16">
        <f>SUMIFS(O93:O93,E93:E93,"Science",F93:F93,"Completed")</f>
        <v>0</v>
      </c>
      <c r="Q93" s="3" t="str">
        <f>IF(MONTH(E93)&gt;=7, YEAR(E93)&amp;"-"&amp;YEAR(E93)+1, YEAR(E93)-1&amp;"-"&amp;YEAR(E93))</f>
        <v>2022-2023</v>
      </c>
      <c r="R93" s="3"/>
      <c r="S93" s="3"/>
      <c r="T93" s="15" t="str">
        <f t="shared" ca="1" si="1"/>
        <v>0</v>
      </c>
      <c r="U93" s="3"/>
    </row>
    <row r="94" spans="1:21" x14ac:dyDescent="0.35">
      <c r="A94" s="3" t="s">
        <v>209</v>
      </c>
      <c r="B94" s="3" t="s">
        <v>210</v>
      </c>
      <c r="C94" s="3" t="s">
        <v>54</v>
      </c>
      <c r="D94" s="3" t="s">
        <v>62</v>
      </c>
      <c r="E94" s="6">
        <v>44877</v>
      </c>
      <c r="F94" s="3" t="s">
        <v>14</v>
      </c>
      <c r="G94" s="3">
        <v>4640</v>
      </c>
      <c r="H94" s="3">
        <v>9029</v>
      </c>
      <c r="I94" s="3">
        <v>2.2000000000000002</v>
      </c>
      <c r="J94" s="3">
        <v>49</v>
      </c>
      <c r="K94" s="15">
        <f ca="1">IF(F94="Enrolled",TODAY()-E94,"0")</f>
        <v>1177</v>
      </c>
      <c r="L94" s="3" t="str">
        <f>IF(I94&gt;=3.5,"Excellent",IF(I94&gt;=3,"Good",IF(I94&gt;=2,"Average","Poor")))</f>
        <v>Average</v>
      </c>
      <c r="M94" s="3" t="str">
        <v>Dr.Sinha</v>
      </c>
      <c r="N94" s="3" t="str">
        <f>IF(H94 &gt; (G94*50%), "Yes", "No")</f>
        <v>Yes</v>
      </c>
      <c r="O94" s="16">
        <f>G94-H94</f>
        <v>-4389</v>
      </c>
      <c r="P94" s="16">
        <f>SUMIFS(O94:O94,E94:E94,"Science",F94:F94,"Completed")</f>
        <v>0</v>
      </c>
      <c r="Q94" s="3" t="str">
        <f>IF(MONTH(E94)&gt;=7, YEAR(E94)&amp;"-"&amp;YEAR(E94)+1, YEAR(E94)-1&amp;"-"&amp;YEAR(E94))</f>
        <v>2022-2023</v>
      </c>
      <c r="R94" s="3"/>
      <c r="S94" s="3"/>
      <c r="T94" s="15" t="str">
        <f t="shared" ca="1" si="1"/>
        <v>0</v>
      </c>
      <c r="U94" s="3"/>
    </row>
    <row r="95" spans="1:21" x14ac:dyDescent="0.35">
      <c r="A95" s="3" t="s">
        <v>211</v>
      </c>
      <c r="B95" s="3" t="s">
        <v>212</v>
      </c>
      <c r="C95" s="3" t="s">
        <v>22</v>
      </c>
      <c r="D95" s="3" t="s">
        <v>18</v>
      </c>
      <c r="E95" s="6">
        <v>44934</v>
      </c>
      <c r="F95" s="3" t="s">
        <v>14</v>
      </c>
      <c r="G95" s="3">
        <v>10193</v>
      </c>
      <c r="H95" s="3">
        <v>2692</v>
      </c>
      <c r="I95" s="3">
        <v>2.72</v>
      </c>
      <c r="J95" s="3">
        <v>65</v>
      </c>
      <c r="K95" s="15">
        <f ca="1">IF(F95="Enrolled",TODAY()-E95,"0")</f>
        <v>1120</v>
      </c>
      <c r="L95" s="3" t="str">
        <f>IF(I95&gt;=3.5,"Excellent",IF(I95&gt;=3,"Good",IF(I95&gt;=2,"Average","Poor")))</f>
        <v>Average</v>
      </c>
      <c r="M95" s="3" t="str">
        <v>Dr.Roy</v>
      </c>
      <c r="N95" s="3" t="str">
        <f>IF(H95 &gt; (G95*50%), "Yes", "No")</f>
        <v>No</v>
      </c>
      <c r="O95" s="16">
        <f>G95-H95</f>
        <v>7501</v>
      </c>
      <c r="P95" s="16">
        <f>SUMIFS(O95:O95,E95:E95,"Science",F95:F95,"Completed")</f>
        <v>0</v>
      </c>
      <c r="Q95" s="3" t="str">
        <f>IF(MONTH(E95)&gt;=7, YEAR(E95)&amp;"-"&amp;YEAR(E95)+1, YEAR(E95)-1&amp;"-"&amp;YEAR(E95))</f>
        <v>2022-2023</v>
      </c>
      <c r="R95" s="3"/>
      <c r="S95" s="3"/>
      <c r="T95" s="15" t="str">
        <f t="shared" ca="1" si="1"/>
        <v>0</v>
      </c>
      <c r="U95" s="3"/>
    </row>
    <row r="96" spans="1:21" x14ac:dyDescent="0.35">
      <c r="A96" s="3" t="s">
        <v>213</v>
      </c>
      <c r="B96" s="3" t="s">
        <v>214</v>
      </c>
      <c r="C96" s="3" t="s">
        <v>25</v>
      </c>
      <c r="D96" s="3" t="s">
        <v>13</v>
      </c>
      <c r="E96" s="6">
        <v>45293</v>
      </c>
      <c r="F96" s="3" t="s">
        <v>19</v>
      </c>
      <c r="G96" s="3">
        <v>8635</v>
      </c>
      <c r="H96" s="3">
        <v>4086</v>
      </c>
      <c r="I96" s="3">
        <v>3.63</v>
      </c>
      <c r="J96" s="3">
        <v>15</v>
      </c>
      <c r="K96" s="15" t="str">
        <f ca="1">IF(F96="Enrolled",TODAY()-E96,"0")</f>
        <v>0</v>
      </c>
      <c r="L96" s="3" t="str">
        <f>IF(I96&gt;=3.5,"Excellent",IF(I96&gt;=3,"Good",IF(I96&gt;=2,"Average","Poor")))</f>
        <v>Excellent</v>
      </c>
      <c r="M96" s="3" t="str">
        <v>Dr.Mehta</v>
      </c>
      <c r="N96" s="3" t="str">
        <f>IF(H96 &gt; (G96*50%), "Yes", "No")</f>
        <v>No</v>
      </c>
      <c r="O96" s="16">
        <f>G96-H96</f>
        <v>4549</v>
      </c>
      <c r="P96" s="16">
        <f>SUMIFS(O96:O96,E96:E96,"Science",F96:F96,"Completed")</f>
        <v>0</v>
      </c>
      <c r="Q96" s="3" t="str">
        <f>IF(MONTH(E96)&gt;=7, YEAR(E96)&amp;"-"&amp;YEAR(E96)+1, YEAR(E96)-1&amp;"-"&amp;YEAR(E96))</f>
        <v>2023-2024</v>
      </c>
      <c r="R96" s="3"/>
      <c r="S96" s="3"/>
      <c r="T96" s="15">
        <f t="shared" ca="1" si="1"/>
        <v>761</v>
      </c>
      <c r="U96" s="3"/>
    </row>
    <row r="97" spans="1:21" x14ac:dyDescent="0.35">
      <c r="A97" s="3" t="s">
        <v>215</v>
      </c>
      <c r="B97" s="3" t="s">
        <v>216</v>
      </c>
      <c r="C97" s="3" t="s">
        <v>36</v>
      </c>
      <c r="D97" s="3" t="s">
        <v>62</v>
      </c>
      <c r="E97" s="6">
        <v>44632</v>
      </c>
      <c r="F97" s="3" t="s">
        <v>19</v>
      </c>
      <c r="G97" s="3">
        <v>14890</v>
      </c>
      <c r="H97" s="3">
        <v>2674</v>
      </c>
      <c r="I97" s="3">
        <v>3.17</v>
      </c>
      <c r="J97" s="3">
        <v>93</v>
      </c>
      <c r="K97" s="15" t="str">
        <f ca="1">IF(F97="Enrolled",TODAY()-E97,"0")</f>
        <v>0</v>
      </c>
      <c r="L97" s="3" t="str">
        <f>IF(I97&gt;=3.5,"Excellent",IF(I97&gt;=3,"Good",IF(I97&gt;=2,"Average","Poor")))</f>
        <v>Good</v>
      </c>
      <c r="M97" s="3" t="str">
        <v>Dr.Sinha</v>
      </c>
      <c r="N97" s="3" t="str">
        <f>IF(H97 &gt; (G97*50%), "Yes", "No")</f>
        <v>No</v>
      </c>
      <c r="O97" s="16">
        <f>G97-H97</f>
        <v>12216</v>
      </c>
      <c r="P97" s="16">
        <f>SUMIFS(O97:O97,E97:E97,"Science",F97:F97,"Completed")</f>
        <v>0</v>
      </c>
      <c r="Q97" s="3" t="str">
        <f>IF(MONTH(E97)&gt;=7, YEAR(E97)&amp;"-"&amp;YEAR(E97)+1, YEAR(E97)-1&amp;"-"&amp;YEAR(E97))</f>
        <v>2021-2022</v>
      </c>
      <c r="R97" s="3"/>
      <c r="S97" s="3"/>
      <c r="T97" s="15">
        <f t="shared" ca="1" si="1"/>
        <v>1422</v>
      </c>
      <c r="U97" s="3"/>
    </row>
    <row r="98" spans="1:21" x14ac:dyDescent="0.35">
      <c r="A98" s="3" t="s">
        <v>217</v>
      </c>
      <c r="B98" s="3" t="s">
        <v>218</v>
      </c>
      <c r="C98" s="3" t="s">
        <v>17</v>
      </c>
      <c r="D98" s="3" t="s">
        <v>62</v>
      </c>
      <c r="E98" s="6">
        <v>44630</v>
      </c>
      <c r="F98" s="3" t="s">
        <v>14</v>
      </c>
      <c r="G98" s="3">
        <v>4942</v>
      </c>
      <c r="H98" s="3">
        <v>4382</v>
      </c>
      <c r="I98" s="3">
        <v>3.43</v>
      </c>
      <c r="J98" s="3">
        <v>39</v>
      </c>
      <c r="K98" s="15">
        <f ca="1">IF(F98="Enrolled",TODAY()-E98,"0")</f>
        <v>1424</v>
      </c>
      <c r="L98" s="3" t="str">
        <f>IF(I98&gt;=3.5,"Excellent",IF(I98&gt;=3,"Good",IF(I98&gt;=2,"Average","Poor")))</f>
        <v>Good</v>
      </c>
      <c r="M98" s="3" t="str">
        <v>Dr.Sinha</v>
      </c>
      <c r="N98" s="3" t="str">
        <f>IF(H98 &gt; (G98*50%), "Yes", "No")</f>
        <v>Yes</v>
      </c>
      <c r="O98" s="16">
        <f>G98-H98</f>
        <v>560</v>
      </c>
      <c r="P98" s="16">
        <f>SUMIFS(O98:O98,E98:E98,"Science",F98:F98,"Completed")</f>
        <v>0</v>
      </c>
      <c r="Q98" s="3" t="str">
        <f>IF(MONTH(E98)&gt;=7, YEAR(E98)&amp;"-"&amp;YEAR(E98)+1, YEAR(E98)-1&amp;"-"&amp;YEAR(E98))</f>
        <v>2021-2022</v>
      </c>
      <c r="R98" s="3"/>
      <c r="S98" s="3"/>
      <c r="T98" s="15" t="str">
        <f t="shared" ca="1" si="1"/>
        <v>0</v>
      </c>
      <c r="U98" s="3"/>
    </row>
    <row r="99" spans="1:21" x14ac:dyDescent="0.35">
      <c r="A99" s="3" t="s">
        <v>219</v>
      </c>
      <c r="B99" s="3" t="s">
        <v>220</v>
      </c>
      <c r="C99" s="3" t="s">
        <v>28</v>
      </c>
      <c r="D99" s="3" t="s">
        <v>13</v>
      </c>
      <c r="E99" s="6">
        <v>45214</v>
      </c>
      <c r="F99" s="3" t="s">
        <v>14</v>
      </c>
      <c r="G99" s="3">
        <v>12134</v>
      </c>
      <c r="H99" s="3">
        <v>838</v>
      </c>
      <c r="I99" s="3">
        <v>3.48</v>
      </c>
      <c r="J99" s="3">
        <v>20</v>
      </c>
      <c r="K99" s="15">
        <f ca="1">IF(F99="Enrolled",TODAY()-E99,"0")</f>
        <v>840</v>
      </c>
      <c r="L99" s="3" t="str">
        <f>IF(I99&gt;=3.5,"Excellent",IF(I99&gt;=3,"Good",IF(I99&gt;=2,"Average","Poor")))</f>
        <v>Good</v>
      </c>
      <c r="M99" s="3" t="str">
        <v>Dr.Mehta</v>
      </c>
      <c r="N99" s="3" t="str">
        <f>IF(H99 &gt; (G99*50%), "Yes", "No")</f>
        <v>No</v>
      </c>
      <c r="O99" s="16">
        <f>G99-H99</f>
        <v>11296</v>
      </c>
      <c r="P99" s="16">
        <f>SUMIFS(O99:O99,E99:E99,"Science",F99:F99,"Completed")</f>
        <v>0</v>
      </c>
      <c r="Q99" s="3" t="str">
        <f>IF(MONTH(E99)&gt;=7, YEAR(E99)&amp;"-"&amp;YEAR(E99)+1, YEAR(E99)-1&amp;"-"&amp;YEAR(E99))</f>
        <v>2023-2024</v>
      </c>
      <c r="R99" s="3"/>
      <c r="S99" s="3"/>
      <c r="T99" s="15" t="str">
        <f t="shared" ca="1" si="1"/>
        <v>0</v>
      </c>
      <c r="U99" s="3"/>
    </row>
    <row r="100" spans="1:21" x14ac:dyDescent="0.35">
      <c r="A100" s="3" t="s">
        <v>221</v>
      </c>
      <c r="B100" s="3" t="s">
        <v>222</v>
      </c>
      <c r="C100" s="3" t="s">
        <v>36</v>
      </c>
      <c r="D100" s="3" t="s">
        <v>13</v>
      </c>
      <c r="E100" s="6">
        <v>44936</v>
      </c>
      <c r="F100" s="3" t="s">
        <v>14</v>
      </c>
      <c r="G100" s="3">
        <v>5970</v>
      </c>
      <c r="H100" s="3">
        <v>5622</v>
      </c>
      <c r="I100" s="3">
        <v>3.22</v>
      </c>
      <c r="J100" s="3">
        <v>118</v>
      </c>
      <c r="K100" s="15">
        <f ca="1">IF(F100="Enrolled",TODAY()-E100,"0")</f>
        <v>1118</v>
      </c>
      <c r="L100" s="3" t="str">
        <f>IF(I100&gt;=3.5,"Excellent",IF(I100&gt;=3,"Good",IF(I100&gt;=2,"Average","Poor")))</f>
        <v>Good</v>
      </c>
      <c r="M100" s="3" t="str">
        <v>Dr.Mehta</v>
      </c>
      <c r="N100" s="3" t="str">
        <f>IF(H100 &gt; (G100*50%), "Yes", "No")</f>
        <v>Yes</v>
      </c>
      <c r="O100" s="16">
        <f>G100-H100</f>
        <v>348</v>
      </c>
      <c r="P100" s="16">
        <f>SUMIFS(O100:O100,E100:E100,"Science",F100:F100,"Completed")</f>
        <v>0</v>
      </c>
      <c r="Q100" s="3" t="str">
        <f>IF(MONTH(E100)&gt;=7, YEAR(E100)&amp;"-"&amp;YEAR(E100)+1, YEAR(E100)-1&amp;"-"&amp;YEAR(E100))</f>
        <v>2022-2023</v>
      </c>
      <c r="R100" s="3"/>
      <c r="S100" s="3"/>
      <c r="T100" s="15" t="str">
        <f t="shared" ca="1" si="1"/>
        <v>0</v>
      </c>
      <c r="U100" s="3"/>
    </row>
    <row r="101" spans="1:21" x14ac:dyDescent="0.35">
      <c r="A101" s="3" t="s">
        <v>223</v>
      </c>
      <c r="B101" s="3" t="s">
        <v>224</v>
      </c>
      <c r="C101" s="3" t="s">
        <v>54</v>
      </c>
      <c r="D101" s="3" t="s">
        <v>31</v>
      </c>
      <c r="E101" s="6">
        <v>45200</v>
      </c>
      <c r="F101" s="3" t="s">
        <v>14</v>
      </c>
      <c r="G101" s="3">
        <v>4576</v>
      </c>
      <c r="H101" s="3">
        <v>8102</v>
      </c>
      <c r="I101" s="3">
        <v>2.91</v>
      </c>
      <c r="J101" s="3">
        <v>111</v>
      </c>
      <c r="K101" s="15">
        <f ca="1">IF(F101="Enrolled",TODAY()-E101,"0")</f>
        <v>854</v>
      </c>
      <c r="L101" s="3" t="str">
        <f>IF(I101&gt;=3.5,"Excellent",IF(I101&gt;=3,"Good",IF(I101&gt;=2,"Average","Poor")))</f>
        <v>Average</v>
      </c>
      <c r="M101" s="3" t="str">
        <v>Dr.Sharma</v>
      </c>
      <c r="N101" s="3" t="str">
        <f>IF(H101 &gt; (G101*50%), "Yes", "No")</f>
        <v>Yes</v>
      </c>
      <c r="O101" s="16">
        <f>G101-H101</f>
        <v>-3526</v>
      </c>
      <c r="P101" s="16">
        <f>SUMIFS(O101:O101,E101:E101,"Science",F101:F101,"Completed")</f>
        <v>0</v>
      </c>
      <c r="Q101" s="3" t="str">
        <f>IF(MONTH(E101)&gt;=7, YEAR(E101)&amp;"-"&amp;YEAR(E101)+1, YEAR(E101)-1&amp;"-"&amp;YEAR(E101))</f>
        <v>2023-2024</v>
      </c>
      <c r="R101" s="3"/>
      <c r="S101" s="3"/>
      <c r="T101" s="15" t="str">
        <f t="shared" ca="1" si="1"/>
        <v>0</v>
      </c>
      <c r="U101" s="3"/>
    </row>
    <row r="102" spans="1:21" x14ac:dyDescent="0.35">
      <c r="A102" s="3" t="s">
        <v>225</v>
      </c>
      <c r="B102" s="3" t="s">
        <v>226</v>
      </c>
      <c r="C102" s="3" t="s">
        <v>54</v>
      </c>
      <c r="D102" s="3" t="s">
        <v>62</v>
      </c>
      <c r="E102" s="6">
        <v>44673</v>
      </c>
      <c r="F102" s="3" t="s">
        <v>19</v>
      </c>
      <c r="G102" s="3">
        <v>4673</v>
      </c>
      <c r="H102" s="3">
        <v>5393</v>
      </c>
      <c r="I102" s="3">
        <v>2.2799999999999998</v>
      </c>
      <c r="J102" s="3">
        <v>35</v>
      </c>
      <c r="K102" s="15" t="str">
        <f ca="1">IF(F102="Enrolled",TODAY()-E102,"0")</f>
        <v>0</v>
      </c>
      <c r="L102" s="3" t="str">
        <f>IF(I102&gt;=3.5,"Excellent",IF(I102&gt;=3,"Good",IF(I102&gt;=2,"Average","Poor")))</f>
        <v>Average</v>
      </c>
      <c r="M102" s="3" t="str">
        <v>Dr.Sinha</v>
      </c>
      <c r="N102" s="3" t="str">
        <f>IF(H102 &gt; (G102*50%), "Yes", "No")</f>
        <v>Yes</v>
      </c>
      <c r="O102" s="16">
        <f>G102-H102</f>
        <v>-720</v>
      </c>
      <c r="P102" s="16">
        <f>SUMIFS(O102:O102,E102:E102,"Science",F102:F102,"Completed")</f>
        <v>0</v>
      </c>
      <c r="Q102" s="3" t="str">
        <f>IF(MONTH(E102)&gt;=7, YEAR(E102)&amp;"-"&amp;YEAR(E102)+1, YEAR(E102)-1&amp;"-"&amp;YEAR(E102))</f>
        <v>2021-2022</v>
      </c>
      <c r="R102" s="3"/>
      <c r="S102" s="3"/>
      <c r="T102" s="15">
        <f t="shared" ca="1" si="1"/>
        <v>1381</v>
      </c>
      <c r="U102" s="3"/>
    </row>
    <row r="103" spans="1:21" x14ac:dyDescent="0.35">
      <c r="A103" s="3" t="s">
        <v>227</v>
      </c>
      <c r="B103" s="3" t="s">
        <v>228</v>
      </c>
      <c r="C103" s="3" t="s">
        <v>22</v>
      </c>
      <c r="D103" s="3" t="s">
        <v>31</v>
      </c>
      <c r="E103" s="6">
        <v>44883</v>
      </c>
      <c r="F103" s="3" t="s">
        <v>19</v>
      </c>
      <c r="G103" s="3">
        <v>11777</v>
      </c>
      <c r="H103" s="3">
        <v>5757</v>
      </c>
      <c r="I103" s="3">
        <v>3.22</v>
      </c>
      <c r="J103" s="3">
        <v>19</v>
      </c>
      <c r="K103" s="15" t="str">
        <f ca="1">IF(F103="Enrolled",TODAY()-E103,"0")</f>
        <v>0</v>
      </c>
      <c r="L103" s="3" t="str">
        <f>IF(I103&gt;=3.5,"Excellent",IF(I103&gt;=3,"Good",IF(I103&gt;=2,"Average","Poor")))</f>
        <v>Good</v>
      </c>
      <c r="M103" s="3" t="str">
        <v>Dr.Sharma</v>
      </c>
      <c r="N103" s="3" t="str">
        <f>IF(H103 &gt; (G103*50%), "Yes", "No")</f>
        <v>No</v>
      </c>
      <c r="O103" s="16">
        <f>G103-H103</f>
        <v>6020</v>
      </c>
      <c r="P103" s="16">
        <f>SUMIFS(O103:O103,E103:E103,"Science",F103:F103,"Completed")</f>
        <v>0</v>
      </c>
      <c r="Q103" s="3" t="str">
        <f>IF(MONTH(E103)&gt;=7, YEAR(E103)&amp;"-"&amp;YEAR(E103)+1, YEAR(E103)-1&amp;"-"&amp;YEAR(E103))</f>
        <v>2022-2023</v>
      </c>
      <c r="R103" s="3"/>
      <c r="S103" s="3"/>
      <c r="T103" s="15">
        <f t="shared" ca="1" si="1"/>
        <v>1171</v>
      </c>
      <c r="U103" s="3"/>
    </row>
    <row r="104" spans="1:21" x14ac:dyDescent="0.35">
      <c r="A104" s="3" t="s">
        <v>229</v>
      </c>
      <c r="B104" s="3" t="s">
        <v>230</v>
      </c>
      <c r="C104" s="3" t="s">
        <v>36</v>
      </c>
      <c r="D104" s="3" t="s">
        <v>18</v>
      </c>
      <c r="E104" s="6">
        <v>45415</v>
      </c>
      <c r="F104" s="3" t="s">
        <v>14</v>
      </c>
      <c r="G104" s="3">
        <v>3948</v>
      </c>
      <c r="H104" s="3">
        <v>913</v>
      </c>
      <c r="I104" s="3">
        <v>3.44</v>
      </c>
      <c r="J104" s="3">
        <v>101</v>
      </c>
      <c r="K104" s="15">
        <f ca="1">IF(F104="Enrolled",TODAY()-E104,"0")</f>
        <v>639</v>
      </c>
      <c r="L104" s="3" t="str">
        <f>IF(I104&gt;=3.5,"Excellent",IF(I104&gt;=3,"Good",IF(I104&gt;=2,"Average","Poor")))</f>
        <v>Good</v>
      </c>
      <c r="M104" s="3" t="str">
        <v>Dr.Roy</v>
      </c>
      <c r="N104" s="3" t="str">
        <f>IF(H104 &gt; (G104*50%), "Yes", "No")</f>
        <v>No</v>
      </c>
      <c r="O104" s="16">
        <f>G104-H104</f>
        <v>3035</v>
      </c>
      <c r="P104" s="16">
        <f>SUMIFS(O104:O104,E104:E104,"Science",F104:F104,"Completed")</f>
        <v>0</v>
      </c>
      <c r="Q104" s="3" t="str">
        <f>IF(MONTH(E104)&gt;=7, YEAR(E104)&amp;"-"&amp;YEAR(E104)+1, YEAR(E104)-1&amp;"-"&amp;YEAR(E104))</f>
        <v>2023-2024</v>
      </c>
      <c r="R104" s="3"/>
      <c r="S104" s="3"/>
      <c r="T104" s="15" t="str">
        <f t="shared" ca="1" si="1"/>
        <v>0</v>
      </c>
      <c r="U104" s="3"/>
    </row>
    <row r="105" spans="1:21" x14ac:dyDescent="0.35">
      <c r="A105" s="3" t="s">
        <v>231</v>
      </c>
      <c r="B105" s="3" t="s">
        <v>232</v>
      </c>
      <c r="C105" s="3" t="s">
        <v>57</v>
      </c>
      <c r="D105" s="3" t="s">
        <v>31</v>
      </c>
      <c r="E105" s="6">
        <v>45150</v>
      </c>
      <c r="F105" s="3" t="s">
        <v>19</v>
      </c>
      <c r="G105" s="3">
        <v>3512</v>
      </c>
      <c r="H105" s="3">
        <v>4473</v>
      </c>
      <c r="I105" s="3">
        <v>2.92</v>
      </c>
      <c r="J105" s="3">
        <v>63</v>
      </c>
      <c r="K105" s="15" t="str">
        <f ca="1">IF(F105="Enrolled",TODAY()-E105,"0")</f>
        <v>0</v>
      </c>
      <c r="L105" s="3" t="str">
        <f>IF(I105&gt;=3.5,"Excellent",IF(I105&gt;=3,"Good",IF(I105&gt;=2,"Average","Poor")))</f>
        <v>Average</v>
      </c>
      <c r="M105" s="3" t="str">
        <v>Dr.Sharma</v>
      </c>
      <c r="N105" s="3" t="str">
        <f>IF(H105 &gt; (G105*50%), "Yes", "No")</f>
        <v>Yes</v>
      </c>
      <c r="O105" s="16">
        <f>G105-H105</f>
        <v>-961</v>
      </c>
      <c r="P105" s="16">
        <f>SUMIFS(O105:O105,E105:E105,"Science",F105:F105,"Completed")</f>
        <v>0</v>
      </c>
      <c r="Q105" s="3" t="str">
        <f>IF(MONTH(E105)&gt;=7, YEAR(E105)&amp;"-"&amp;YEAR(E105)+1, YEAR(E105)-1&amp;"-"&amp;YEAR(E105))</f>
        <v>2023-2024</v>
      </c>
      <c r="R105" s="3"/>
      <c r="S105" s="3"/>
      <c r="T105" s="15">
        <f t="shared" ca="1" si="1"/>
        <v>904</v>
      </c>
      <c r="U105" s="3"/>
    </row>
    <row r="106" spans="1:21" x14ac:dyDescent="0.35">
      <c r="A106" s="3" t="s">
        <v>233</v>
      </c>
      <c r="B106" s="3" t="s">
        <v>234</v>
      </c>
      <c r="C106" s="3" t="s">
        <v>17</v>
      </c>
      <c r="D106" s="3" t="s">
        <v>31</v>
      </c>
      <c r="E106" s="6">
        <v>45456</v>
      </c>
      <c r="F106" s="3" t="s">
        <v>14</v>
      </c>
      <c r="G106" s="3">
        <v>4717</v>
      </c>
      <c r="H106" s="3">
        <v>7462</v>
      </c>
      <c r="I106" s="3">
        <v>3.58</v>
      </c>
      <c r="J106" s="3">
        <v>1</v>
      </c>
      <c r="K106" s="15">
        <f ca="1">IF(F106="Enrolled",TODAY()-E106,"0")</f>
        <v>598</v>
      </c>
      <c r="L106" s="3" t="str">
        <f>IF(I106&gt;=3.5,"Excellent",IF(I106&gt;=3,"Good",IF(I106&gt;=2,"Average","Poor")))</f>
        <v>Excellent</v>
      </c>
      <c r="M106" s="3" t="str">
        <v>Dr.Sharma</v>
      </c>
      <c r="N106" s="3" t="str">
        <f>IF(H106 &gt; (G106*50%), "Yes", "No")</f>
        <v>Yes</v>
      </c>
      <c r="O106" s="16">
        <f>G106-H106</f>
        <v>-2745</v>
      </c>
      <c r="P106" s="16">
        <f>SUMIFS(O106:O106,E106:E106,"Science",F106:F106,"Completed")</f>
        <v>0</v>
      </c>
      <c r="Q106" s="3" t="str">
        <f>IF(MONTH(E106)&gt;=7, YEAR(E106)&amp;"-"&amp;YEAR(E106)+1, YEAR(E106)-1&amp;"-"&amp;YEAR(E106))</f>
        <v>2023-2024</v>
      </c>
      <c r="R106" s="3"/>
      <c r="S106" s="3"/>
      <c r="T106" s="15" t="str">
        <f t="shared" ca="1" si="1"/>
        <v>0</v>
      </c>
      <c r="U106" s="3"/>
    </row>
    <row r="107" spans="1:21" x14ac:dyDescent="0.35">
      <c r="A107" s="3" t="s">
        <v>235</v>
      </c>
      <c r="B107" s="3" t="s">
        <v>236</v>
      </c>
      <c r="C107" s="3" t="s">
        <v>22</v>
      </c>
      <c r="D107" s="3" t="s">
        <v>13</v>
      </c>
      <c r="E107" s="6">
        <v>45092</v>
      </c>
      <c r="F107" s="3" t="s">
        <v>39</v>
      </c>
      <c r="G107" s="3">
        <v>2717</v>
      </c>
      <c r="H107" s="3">
        <v>9601</v>
      </c>
      <c r="I107" s="3">
        <v>2.14</v>
      </c>
      <c r="J107" s="3">
        <v>11</v>
      </c>
      <c r="K107" s="15" t="str">
        <f ca="1">IF(F107="Enrolled",TODAY()-E107,"0")</f>
        <v>0</v>
      </c>
      <c r="L107" s="3" t="str">
        <f>IF(I107&gt;=3.5,"Excellent",IF(I107&gt;=3,"Good",IF(I107&gt;=2,"Average","Poor")))</f>
        <v>Average</v>
      </c>
      <c r="M107" s="3" t="str">
        <v>Dr.Mehta</v>
      </c>
      <c r="N107" s="3" t="str">
        <f>IF(H107 &gt; (G107*50%), "Yes", "No")</f>
        <v>Yes</v>
      </c>
      <c r="O107" s="16">
        <f>G107-H107</f>
        <v>-6884</v>
      </c>
      <c r="P107" s="16">
        <f>SUMIFS(O107:O107,E107:E107,"Science",F107:F107,"Completed")</f>
        <v>0</v>
      </c>
      <c r="Q107" s="3" t="str">
        <f>IF(MONTH(E107)&gt;=7, YEAR(E107)&amp;"-"&amp;YEAR(E107)+1, YEAR(E107)-1&amp;"-"&amp;YEAR(E107))</f>
        <v>2022-2023</v>
      </c>
      <c r="R107" s="3"/>
      <c r="S107" s="3"/>
      <c r="T107" s="15" t="str">
        <f t="shared" ca="1" si="1"/>
        <v>0</v>
      </c>
      <c r="U107" s="3"/>
    </row>
    <row r="108" spans="1:21" x14ac:dyDescent="0.35">
      <c r="A108" s="3" t="s">
        <v>237</v>
      </c>
      <c r="B108" s="3" t="s">
        <v>238</v>
      </c>
      <c r="C108" s="3" t="s">
        <v>17</v>
      </c>
      <c r="D108" s="3" t="s">
        <v>31</v>
      </c>
      <c r="E108" s="6">
        <v>44601</v>
      </c>
      <c r="F108" s="3" t="s">
        <v>19</v>
      </c>
      <c r="G108" s="3">
        <v>9160</v>
      </c>
      <c r="H108" s="3">
        <v>3049</v>
      </c>
      <c r="I108" s="3">
        <v>3.59</v>
      </c>
      <c r="J108" s="3">
        <v>2</v>
      </c>
      <c r="K108" s="15" t="str">
        <f ca="1">IF(F108="Enrolled",TODAY()-E108,"0")</f>
        <v>0</v>
      </c>
      <c r="L108" s="3" t="str">
        <f>IF(I108&gt;=3.5,"Excellent",IF(I108&gt;=3,"Good",IF(I108&gt;=2,"Average","Poor")))</f>
        <v>Excellent</v>
      </c>
      <c r="M108" s="3" t="str">
        <v>Dr.Sharma</v>
      </c>
      <c r="N108" s="3" t="str">
        <f>IF(H108 &gt; (G108*50%), "Yes", "No")</f>
        <v>No</v>
      </c>
      <c r="O108" s="16">
        <f>G108-H108</f>
        <v>6111</v>
      </c>
      <c r="P108" s="16">
        <f>SUMIFS(O108:O108,E108:E108,"Science",F108:F108,"Completed")</f>
        <v>0</v>
      </c>
      <c r="Q108" s="3" t="str">
        <f>IF(MONTH(E108)&gt;=7, YEAR(E108)&amp;"-"&amp;YEAR(E108)+1, YEAR(E108)-1&amp;"-"&amp;YEAR(E108))</f>
        <v>2021-2022</v>
      </c>
      <c r="R108" s="3"/>
      <c r="S108" s="3"/>
      <c r="T108" s="15">
        <f t="shared" ca="1" si="1"/>
        <v>1453</v>
      </c>
      <c r="U108" s="3"/>
    </row>
    <row r="109" spans="1:21" x14ac:dyDescent="0.35">
      <c r="A109" s="3" t="s">
        <v>239</v>
      </c>
      <c r="B109" s="3" t="s">
        <v>240</v>
      </c>
      <c r="C109" s="3" t="s">
        <v>57</v>
      </c>
      <c r="D109" s="3" t="s">
        <v>13</v>
      </c>
      <c r="E109" s="6">
        <v>45019</v>
      </c>
      <c r="F109" s="3" t="s">
        <v>14</v>
      </c>
      <c r="G109" s="3">
        <v>3268</v>
      </c>
      <c r="H109" s="3">
        <v>424</v>
      </c>
      <c r="I109" s="3">
        <v>2.85</v>
      </c>
      <c r="J109" s="3">
        <v>59</v>
      </c>
      <c r="K109" s="15">
        <f ca="1">IF(F109="Enrolled",TODAY()-E109,"0")</f>
        <v>1035</v>
      </c>
      <c r="L109" s="3" t="str">
        <f>IF(I109&gt;=3.5,"Excellent",IF(I109&gt;=3,"Good",IF(I109&gt;=2,"Average","Poor")))</f>
        <v>Average</v>
      </c>
      <c r="M109" s="3" t="str">
        <v>Dr.Mehta</v>
      </c>
      <c r="N109" s="3" t="str">
        <f>IF(H109 &gt; (G109*50%), "Yes", "No")</f>
        <v>No</v>
      </c>
      <c r="O109" s="16">
        <f>G109-H109</f>
        <v>2844</v>
      </c>
      <c r="P109" s="16">
        <f>SUMIFS(O109:O109,E109:E109,"Science",F109:F109,"Completed")</f>
        <v>0</v>
      </c>
      <c r="Q109" s="3" t="str">
        <f>IF(MONTH(E109)&gt;=7, YEAR(E109)&amp;"-"&amp;YEAR(E109)+1, YEAR(E109)-1&amp;"-"&amp;YEAR(E109))</f>
        <v>2022-2023</v>
      </c>
      <c r="R109" s="3"/>
      <c r="S109" s="3"/>
      <c r="T109" s="15" t="str">
        <f t="shared" ca="1" si="1"/>
        <v>0</v>
      </c>
      <c r="U109" s="3"/>
    </row>
    <row r="110" spans="1:21" x14ac:dyDescent="0.35">
      <c r="A110" s="3" t="s">
        <v>241</v>
      </c>
      <c r="B110" s="3" t="s">
        <v>242</v>
      </c>
      <c r="C110" s="3" t="s">
        <v>25</v>
      </c>
      <c r="D110" s="3" t="s">
        <v>31</v>
      </c>
      <c r="E110" s="6">
        <v>44932</v>
      </c>
      <c r="F110" s="3" t="s">
        <v>14</v>
      </c>
      <c r="G110" s="3">
        <v>4636</v>
      </c>
      <c r="H110" s="3">
        <v>2544</v>
      </c>
      <c r="I110" s="3">
        <v>3.31</v>
      </c>
      <c r="J110" s="3">
        <v>60</v>
      </c>
      <c r="K110" s="15">
        <f ca="1">IF(F110="Enrolled",TODAY()-E110,"0")</f>
        <v>1122</v>
      </c>
      <c r="L110" s="3" t="str">
        <f>IF(I110&gt;=3.5,"Excellent",IF(I110&gt;=3,"Good",IF(I110&gt;=2,"Average","Poor")))</f>
        <v>Good</v>
      </c>
      <c r="M110" s="3" t="str">
        <v>Dr.Sharma</v>
      </c>
      <c r="N110" s="3" t="str">
        <f>IF(H110 &gt; (G110*50%), "Yes", "No")</f>
        <v>Yes</v>
      </c>
      <c r="O110" s="16">
        <f>G110-H110</f>
        <v>2092</v>
      </c>
      <c r="P110" s="16">
        <f>SUMIFS(O110:O110,E110:E110,"Science",F110:F110,"Completed")</f>
        <v>0</v>
      </c>
      <c r="Q110" s="3" t="str">
        <f>IF(MONTH(E110)&gt;=7, YEAR(E110)&amp;"-"&amp;YEAR(E110)+1, YEAR(E110)-1&amp;"-"&amp;YEAR(E110))</f>
        <v>2022-2023</v>
      </c>
      <c r="R110" s="3"/>
      <c r="S110" s="3"/>
      <c r="T110" s="15" t="str">
        <f t="shared" ca="1" si="1"/>
        <v>0</v>
      </c>
      <c r="U110" s="3"/>
    </row>
    <row r="111" spans="1:21" x14ac:dyDescent="0.35">
      <c r="A111" s="3" t="s">
        <v>243</v>
      </c>
      <c r="B111" s="3" t="s">
        <v>244</v>
      </c>
      <c r="C111" s="3" t="s">
        <v>28</v>
      </c>
      <c r="D111" s="3" t="s">
        <v>31</v>
      </c>
      <c r="E111" s="6">
        <v>45223</v>
      </c>
      <c r="F111" s="3" t="s">
        <v>14</v>
      </c>
      <c r="G111" s="3">
        <v>10654</v>
      </c>
      <c r="H111" s="3">
        <v>4738</v>
      </c>
      <c r="I111" s="3">
        <v>2.67</v>
      </c>
      <c r="J111" s="3">
        <v>53</v>
      </c>
      <c r="K111" s="15">
        <f ca="1">IF(F111="Enrolled",TODAY()-E111,"0")</f>
        <v>831</v>
      </c>
      <c r="L111" s="3" t="str">
        <f>IF(I111&gt;=3.5,"Excellent",IF(I111&gt;=3,"Good",IF(I111&gt;=2,"Average","Poor")))</f>
        <v>Average</v>
      </c>
      <c r="M111" s="3" t="str">
        <v>Dr.Sharma</v>
      </c>
      <c r="N111" s="3" t="str">
        <f>IF(H111 &gt; (G111*50%), "Yes", "No")</f>
        <v>No</v>
      </c>
      <c r="O111" s="16">
        <f>G111-H111</f>
        <v>5916</v>
      </c>
      <c r="P111" s="16">
        <f>SUMIFS(O111:O111,E111:E111,"Science",F111:F111,"Completed")</f>
        <v>0</v>
      </c>
      <c r="Q111" s="3" t="str">
        <f>IF(MONTH(E111)&gt;=7, YEAR(E111)&amp;"-"&amp;YEAR(E111)+1, YEAR(E111)-1&amp;"-"&amp;YEAR(E111))</f>
        <v>2023-2024</v>
      </c>
      <c r="R111" s="3"/>
      <c r="S111" s="3"/>
      <c r="T111" s="15" t="str">
        <f t="shared" ca="1" si="1"/>
        <v>0</v>
      </c>
      <c r="U111" s="3"/>
    </row>
    <row r="112" spans="1:21" x14ac:dyDescent="0.35">
      <c r="A112" s="3" t="s">
        <v>245</v>
      </c>
      <c r="B112" s="3" t="s">
        <v>246</v>
      </c>
      <c r="C112" s="3" t="s">
        <v>28</v>
      </c>
      <c r="D112" s="3" t="s">
        <v>31</v>
      </c>
      <c r="E112" s="6">
        <v>45036</v>
      </c>
      <c r="F112" s="3" t="s">
        <v>14</v>
      </c>
      <c r="G112" s="3">
        <v>9355</v>
      </c>
      <c r="H112" s="3">
        <v>8250</v>
      </c>
      <c r="I112" s="3">
        <v>3.02</v>
      </c>
      <c r="J112" s="3">
        <v>92</v>
      </c>
      <c r="K112" s="15">
        <f ca="1">IF(F112="Enrolled",TODAY()-E112,"0")</f>
        <v>1018</v>
      </c>
      <c r="L112" s="3" t="str">
        <f>IF(I112&gt;=3.5,"Excellent",IF(I112&gt;=3,"Good",IF(I112&gt;=2,"Average","Poor")))</f>
        <v>Good</v>
      </c>
      <c r="M112" s="3" t="str">
        <v>Dr.Sharma</v>
      </c>
      <c r="N112" s="3" t="str">
        <f>IF(H112 &gt; (G112*50%), "Yes", "No")</f>
        <v>Yes</v>
      </c>
      <c r="O112" s="16">
        <f>G112-H112</f>
        <v>1105</v>
      </c>
      <c r="P112" s="16">
        <f>SUMIFS(O112:O112,E112:E112,"Science",F112:F112,"Completed")</f>
        <v>0</v>
      </c>
      <c r="Q112" s="3" t="str">
        <f>IF(MONTH(E112)&gt;=7, YEAR(E112)&amp;"-"&amp;YEAR(E112)+1, YEAR(E112)-1&amp;"-"&amp;YEAR(E112))</f>
        <v>2022-2023</v>
      </c>
      <c r="R112" s="3"/>
      <c r="S112" s="3"/>
      <c r="T112" s="15" t="str">
        <f t="shared" ca="1" si="1"/>
        <v>0</v>
      </c>
      <c r="U112" s="3"/>
    </row>
    <row r="113" spans="1:21" x14ac:dyDescent="0.35">
      <c r="A113" s="3" t="s">
        <v>247</v>
      </c>
      <c r="B113" s="3" t="s">
        <v>248</v>
      </c>
      <c r="C113" s="3" t="s">
        <v>36</v>
      </c>
      <c r="D113" s="3" t="s">
        <v>18</v>
      </c>
      <c r="E113" s="6">
        <v>44864</v>
      </c>
      <c r="F113" s="3" t="s">
        <v>14</v>
      </c>
      <c r="G113" s="3">
        <v>12309</v>
      </c>
      <c r="H113" s="3">
        <v>1062</v>
      </c>
      <c r="I113" s="3">
        <v>2.71</v>
      </c>
      <c r="J113" s="3">
        <v>116</v>
      </c>
      <c r="K113" s="15">
        <f ca="1">IF(F113="Enrolled",TODAY()-E113,"0")</f>
        <v>1190</v>
      </c>
      <c r="L113" s="3" t="str">
        <f>IF(I113&gt;=3.5,"Excellent",IF(I113&gt;=3,"Good",IF(I113&gt;=2,"Average","Poor")))</f>
        <v>Average</v>
      </c>
      <c r="M113" s="3" t="str">
        <v>Dr.Roy</v>
      </c>
      <c r="N113" s="3" t="str">
        <f>IF(H113 &gt; (G113*50%), "Yes", "No")</f>
        <v>No</v>
      </c>
      <c r="O113" s="16">
        <f>G113-H113</f>
        <v>11247</v>
      </c>
      <c r="P113" s="16">
        <f>SUMIFS(O113:O113,E113:E113,"Science",F113:F113,"Completed")</f>
        <v>0</v>
      </c>
      <c r="Q113" s="3" t="str">
        <f>IF(MONTH(E113)&gt;=7, YEAR(E113)&amp;"-"&amp;YEAR(E113)+1, YEAR(E113)-1&amp;"-"&amp;YEAR(E113))</f>
        <v>2022-2023</v>
      </c>
      <c r="R113" s="3"/>
      <c r="S113" s="3"/>
      <c r="T113" s="15" t="str">
        <f t="shared" ca="1" si="1"/>
        <v>0</v>
      </c>
      <c r="U113" s="3"/>
    </row>
    <row r="114" spans="1:21" x14ac:dyDescent="0.35">
      <c r="A114" s="3" t="s">
        <v>249</v>
      </c>
      <c r="B114" s="3" t="s">
        <v>250</v>
      </c>
      <c r="C114" s="3" t="s">
        <v>25</v>
      </c>
      <c r="D114" s="3" t="s">
        <v>31</v>
      </c>
      <c r="E114" s="6">
        <v>45333</v>
      </c>
      <c r="F114" s="3" t="s">
        <v>14</v>
      </c>
      <c r="G114" s="3">
        <v>8529</v>
      </c>
      <c r="H114" s="3">
        <v>5629</v>
      </c>
      <c r="I114" s="3">
        <v>3.62</v>
      </c>
      <c r="J114" s="3">
        <v>95</v>
      </c>
      <c r="K114" s="15">
        <f ca="1">IF(F114="Enrolled",TODAY()-E114,"0")</f>
        <v>721</v>
      </c>
      <c r="L114" s="3" t="str">
        <f>IF(I114&gt;=3.5,"Excellent",IF(I114&gt;=3,"Good",IF(I114&gt;=2,"Average","Poor")))</f>
        <v>Excellent</v>
      </c>
      <c r="M114" s="3" t="str">
        <v>Dr.Sharma</v>
      </c>
      <c r="N114" s="3" t="str">
        <f>IF(H114 &gt; (G114*50%), "Yes", "No")</f>
        <v>Yes</v>
      </c>
      <c r="O114" s="16">
        <f>G114-H114</f>
        <v>2900</v>
      </c>
      <c r="P114" s="16">
        <f>SUMIFS(O114:O114,E114:E114,"Science",F114:F114,"Completed")</f>
        <v>0</v>
      </c>
      <c r="Q114" s="3" t="str">
        <f>IF(MONTH(E114)&gt;=7, YEAR(E114)&amp;"-"&amp;YEAR(E114)+1, YEAR(E114)-1&amp;"-"&amp;YEAR(E114))</f>
        <v>2023-2024</v>
      </c>
      <c r="R114" s="3"/>
      <c r="S114" s="3"/>
      <c r="T114" s="15" t="str">
        <f t="shared" ca="1" si="1"/>
        <v>0</v>
      </c>
      <c r="U114" s="3"/>
    </row>
    <row r="115" spans="1:21" x14ac:dyDescent="0.35">
      <c r="A115" s="3" t="s">
        <v>251</v>
      </c>
      <c r="B115" s="3" t="s">
        <v>252</v>
      </c>
      <c r="C115" s="3" t="s">
        <v>12</v>
      </c>
      <c r="D115" s="3" t="s">
        <v>62</v>
      </c>
      <c r="E115" s="6">
        <v>44835</v>
      </c>
      <c r="F115" s="3" t="s">
        <v>14</v>
      </c>
      <c r="G115" s="3">
        <v>7580</v>
      </c>
      <c r="H115" s="3">
        <v>7611</v>
      </c>
      <c r="I115" s="3">
        <v>3.77</v>
      </c>
      <c r="J115" s="3">
        <v>82</v>
      </c>
      <c r="K115" s="15">
        <f ca="1">IF(F115="Enrolled",TODAY()-E115,"0")</f>
        <v>1219</v>
      </c>
      <c r="L115" s="3" t="str">
        <f>IF(I115&gt;=3.5,"Excellent",IF(I115&gt;=3,"Good",IF(I115&gt;=2,"Average","Poor")))</f>
        <v>Excellent</v>
      </c>
      <c r="M115" s="3" t="str">
        <v>Dr.Sinha</v>
      </c>
      <c r="N115" s="3" t="str">
        <f>IF(H115 &gt; (G115*50%), "Yes", "No")</f>
        <v>Yes</v>
      </c>
      <c r="O115" s="16">
        <f>G115-H115</f>
        <v>-31</v>
      </c>
      <c r="P115" s="16">
        <f>SUMIFS(O115:O115,E115:E115,"Science",F115:F115,"Completed")</f>
        <v>0</v>
      </c>
      <c r="Q115" s="3" t="str">
        <f>IF(MONTH(E115)&gt;=7, YEAR(E115)&amp;"-"&amp;YEAR(E115)+1, YEAR(E115)-1&amp;"-"&amp;YEAR(E115))</f>
        <v>2022-2023</v>
      </c>
      <c r="R115" s="3"/>
      <c r="S115" s="3"/>
      <c r="T115" s="15" t="str">
        <f t="shared" ca="1" si="1"/>
        <v>0</v>
      </c>
      <c r="U115" s="3"/>
    </row>
    <row r="116" spans="1:21" x14ac:dyDescent="0.35">
      <c r="A116" s="3" t="s">
        <v>253</v>
      </c>
      <c r="B116" s="3" t="s">
        <v>254</v>
      </c>
      <c r="C116" s="3" t="s">
        <v>36</v>
      </c>
      <c r="D116" s="3" t="s">
        <v>62</v>
      </c>
      <c r="E116" s="6">
        <v>44594</v>
      </c>
      <c r="F116" s="3" t="s">
        <v>14</v>
      </c>
      <c r="G116" s="3">
        <v>4713</v>
      </c>
      <c r="H116" s="3">
        <v>8232</v>
      </c>
      <c r="I116" s="3">
        <v>2.87</v>
      </c>
      <c r="J116" s="3">
        <v>98</v>
      </c>
      <c r="K116" s="15">
        <f ca="1">IF(F116="Enrolled",TODAY()-E116,"0")</f>
        <v>1460</v>
      </c>
      <c r="L116" s="3" t="str">
        <f>IF(I116&gt;=3.5,"Excellent",IF(I116&gt;=3,"Good",IF(I116&gt;=2,"Average","Poor")))</f>
        <v>Average</v>
      </c>
      <c r="M116" s="3" t="str">
        <v>Dr.Sinha</v>
      </c>
      <c r="N116" s="3" t="str">
        <f>IF(H116 &gt; (G116*50%), "Yes", "No")</f>
        <v>Yes</v>
      </c>
      <c r="O116" s="16">
        <f>G116-H116</f>
        <v>-3519</v>
      </c>
      <c r="P116" s="16">
        <f>SUMIFS(O116:O116,E116:E116,"Science",F116:F116,"Completed")</f>
        <v>0</v>
      </c>
      <c r="Q116" s="3" t="str">
        <f>IF(MONTH(E116)&gt;=7, YEAR(E116)&amp;"-"&amp;YEAR(E116)+1, YEAR(E116)-1&amp;"-"&amp;YEAR(E116))</f>
        <v>2021-2022</v>
      </c>
      <c r="R116" s="3"/>
      <c r="S116" s="3"/>
      <c r="T116" s="15" t="str">
        <f t="shared" ca="1" si="1"/>
        <v>0</v>
      </c>
      <c r="U116" s="3"/>
    </row>
    <row r="117" spans="1:21" x14ac:dyDescent="0.35">
      <c r="A117" s="3" t="s">
        <v>255</v>
      </c>
      <c r="B117" s="3" t="s">
        <v>256</v>
      </c>
      <c r="C117" s="3" t="s">
        <v>12</v>
      </c>
      <c r="D117" s="3" t="s">
        <v>18</v>
      </c>
      <c r="E117" s="6">
        <v>44596</v>
      </c>
      <c r="F117" s="3" t="s">
        <v>14</v>
      </c>
      <c r="G117" s="3">
        <v>9304</v>
      </c>
      <c r="H117" s="3">
        <v>1312</v>
      </c>
      <c r="I117" s="3">
        <v>2.62</v>
      </c>
      <c r="J117" s="3">
        <v>102</v>
      </c>
      <c r="K117" s="15">
        <f ca="1">IF(F117="Enrolled",TODAY()-E117,"0")</f>
        <v>1458</v>
      </c>
      <c r="L117" s="3" t="str">
        <f>IF(I117&gt;=3.5,"Excellent",IF(I117&gt;=3,"Good",IF(I117&gt;=2,"Average","Poor")))</f>
        <v>Average</v>
      </c>
      <c r="M117" s="3" t="str">
        <v>Dr.Roy</v>
      </c>
      <c r="N117" s="3" t="str">
        <f>IF(H117 &gt; (G117*50%), "Yes", "No")</f>
        <v>No</v>
      </c>
      <c r="O117" s="16">
        <f>G117-H117</f>
        <v>7992</v>
      </c>
      <c r="P117" s="16">
        <f>SUMIFS(O117:O117,E117:E117,"Science",F117:F117,"Completed")</f>
        <v>0</v>
      </c>
      <c r="Q117" s="3" t="str">
        <f>IF(MONTH(E117)&gt;=7, YEAR(E117)&amp;"-"&amp;YEAR(E117)+1, YEAR(E117)-1&amp;"-"&amp;YEAR(E117))</f>
        <v>2021-2022</v>
      </c>
      <c r="R117" s="3"/>
      <c r="S117" s="3"/>
      <c r="T117" s="15" t="str">
        <f t="shared" ca="1" si="1"/>
        <v>0</v>
      </c>
      <c r="U117" s="3"/>
    </row>
    <row r="118" spans="1:21" x14ac:dyDescent="0.35">
      <c r="A118" s="3" t="s">
        <v>257</v>
      </c>
      <c r="B118" s="3" t="s">
        <v>258</v>
      </c>
      <c r="C118" s="3" t="s">
        <v>22</v>
      </c>
      <c r="D118" s="3" t="s">
        <v>18</v>
      </c>
      <c r="E118" s="6">
        <v>45369</v>
      </c>
      <c r="F118" s="3" t="s">
        <v>14</v>
      </c>
      <c r="G118" s="3">
        <v>2599</v>
      </c>
      <c r="H118" s="3">
        <v>6425</v>
      </c>
      <c r="I118" s="3">
        <v>3.62</v>
      </c>
      <c r="J118" s="3">
        <v>5</v>
      </c>
      <c r="K118" s="15">
        <f ca="1">IF(F118="Enrolled",TODAY()-E118,"0")</f>
        <v>685</v>
      </c>
      <c r="L118" s="3" t="str">
        <f>IF(I118&gt;=3.5,"Excellent",IF(I118&gt;=3,"Good",IF(I118&gt;=2,"Average","Poor")))</f>
        <v>Excellent</v>
      </c>
      <c r="M118" s="3" t="str">
        <v>Dr.Roy</v>
      </c>
      <c r="N118" s="3" t="str">
        <f>IF(H118 &gt; (G118*50%), "Yes", "No")</f>
        <v>Yes</v>
      </c>
      <c r="O118" s="16">
        <f>G118-H118</f>
        <v>-3826</v>
      </c>
      <c r="P118" s="16">
        <f>SUMIFS(O118:O118,E118:E118,"Science",F118:F118,"Completed")</f>
        <v>0</v>
      </c>
      <c r="Q118" s="3" t="str">
        <f>IF(MONTH(E118)&gt;=7, YEAR(E118)&amp;"-"&amp;YEAR(E118)+1, YEAR(E118)-1&amp;"-"&amp;YEAR(E118))</f>
        <v>2023-2024</v>
      </c>
      <c r="R118" s="3"/>
      <c r="S118" s="3"/>
      <c r="T118" s="15" t="str">
        <f t="shared" ca="1" si="1"/>
        <v>0</v>
      </c>
      <c r="U118" s="3"/>
    </row>
    <row r="119" spans="1:21" x14ac:dyDescent="0.35">
      <c r="A119" s="3" t="s">
        <v>259</v>
      </c>
      <c r="B119" s="3" t="s">
        <v>260</v>
      </c>
      <c r="C119" s="3" t="s">
        <v>17</v>
      </c>
      <c r="D119" s="3" t="s">
        <v>62</v>
      </c>
      <c r="E119" s="6">
        <v>45202</v>
      </c>
      <c r="F119" s="3" t="s">
        <v>14</v>
      </c>
      <c r="G119" s="3">
        <v>12572</v>
      </c>
      <c r="H119" s="3">
        <v>8587</v>
      </c>
      <c r="I119" s="3">
        <v>3.67</v>
      </c>
      <c r="J119" s="3">
        <v>14</v>
      </c>
      <c r="K119" s="15">
        <f ca="1">IF(F119="Enrolled",TODAY()-E119,"0")</f>
        <v>852</v>
      </c>
      <c r="L119" s="3" t="str">
        <f>IF(I119&gt;=3.5,"Excellent",IF(I119&gt;=3,"Good",IF(I119&gt;=2,"Average","Poor")))</f>
        <v>Excellent</v>
      </c>
      <c r="M119" s="3" t="str">
        <v>Dr.Sinha</v>
      </c>
      <c r="N119" s="3" t="str">
        <f>IF(H119 &gt; (G119*50%), "Yes", "No")</f>
        <v>Yes</v>
      </c>
      <c r="O119" s="16">
        <f>G119-H119</f>
        <v>3985</v>
      </c>
      <c r="P119" s="16">
        <f>SUMIFS(O119:O119,E119:E119,"Science",F119:F119,"Completed")</f>
        <v>0</v>
      </c>
      <c r="Q119" s="3" t="str">
        <f>IF(MONTH(E119)&gt;=7, YEAR(E119)&amp;"-"&amp;YEAR(E119)+1, YEAR(E119)-1&amp;"-"&amp;YEAR(E119))</f>
        <v>2023-2024</v>
      </c>
      <c r="R119" s="3"/>
      <c r="S119" s="3"/>
      <c r="T119" s="15" t="str">
        <f t="shared" ca="1" si="1"/>
        <v>0</v>
      </c>
      <c r="U119" s="3"/>
    </row>
    <row r="120" spans="1:21" x14ac:dyDescent="0.35">
      <c r="A120" s="3" t="s">
        <v>261</v>
      </c>
      <c r="B120" s="3" t="s">
        <v>262</v>
      </c>
      <c r="C120" s="3" t="s">
        <v>22</v>
      </c>
      <c r="D120" s="3" t="s">
        <v>13</v>
      </c>
      <c r="E120" s="6">
        <v>45350</v>
      </c>
      <c r="F120" s="3" t="s">
        <v>14</v>
      </c>
      <c r="G120" s="3">
        <v>10736</v>
      </c>
      <c r="H120" s="3">
        <v>6508</v>
      </c>
      <c r="I120" s="3">
        <v>2.48</v>
      </c>
      <c r="J120" s="3">
        <v>21</v>
      </c>
      <c r="K120" s="15">
        <f ca="1">IF(F120="Enrolled",TODAY()-E120,"0")</f>
        <v>704</v>
      </c>
      <c r="L120" s="3" t="str">
        <f>IF(I120&gt;=3.5,"Excellent",IF(I120&gt;=3,"Good",IF(I120&gt;=2,"Average","Poor")))</f>
        <v>Average</v>
      </c>
      <c r="M120" s="3" t="str">
        <v>Dr.Mehta</v>
      </c>
      <c r="N120" s="3" t="str">
        <f>IF(H120 &gt; (G120*50%), "Yes", "No")</f>
        <v>Yes</v>
      </c>
      <c r="O120" s="16">
        <f>G120-H120</f>
        <v>4228</v>
      </c>
      <c r="P120" s="16">
        <f>SUMIFS(O120:O120,E120:E120,"Science",F120:F120,"Completed")</f>
        <v>0</v>
      </c>
      <c r="Q120" s="3" t="str">
        <f>IF(MONTH(E120)&gt;=7, YEAR(E120)&amp;"-"&amp;YEAR(E120)+1, YEAR(E120)-1&amp;"-"&amp;YEAR(E120))</f>
        <v>2023-2024</v>
      </c>
      <c r="R120" s="3"/>
      <c r="S120" s="3"/>
      <c r="T120" s="15" t="str">
        <f t="shared" ca="1" si="1"/>
        <v>0</v>
      </c>
      <c r="U120" s="3"/>
    </row>
    <row r="121" spans="1:21" x14ac:dyDescent="0.35">
      <c r="A121" s="3" t="s">
        <v>263</v>
      </c>
      <c r="B121" s="3" t="s">
        <v>264</v>
      </c>
      <c r="C121" s="3" t="s">
        <v>54</v>
      </c>
      <c r="D121" s="3" t="s">
        <v>31</v>
      </c>
      <c r="E121" s="6">
        <v>44609</v>
      </c>
      <c r="F121" s="3" t="s">
        <v>14</v>
      </c>
      <c r="G121" s="3">
        <v>11349</v>
      </c>
      <c r="H121" s="3">
        <v>8642</v>
      </c>
      <c r="I121" s="3">
        <v>3.5</v>
      </c>
      <c r="J121" s="3">
        <v>112</v>
      </c>
      <c r="K121" s="15">
        <f ca="1">IF(F121="Enrolled",TODAY()-E121,"0")</f>
        <v>1445</v>
      </c>
      <c r="L121" s="3" t="str">
        <f>IF(I121&gt;=3.5,"Excellent",IF(I121&gt;=3,"Good",IF(I121&gt;=2,"Average","Poor")))</f>
        <v>Excellent</v>
      </c>
      <c r="M121" s="3" t="str">
        <v>Dr.Sharma</v>
      </c>
      <c r="N121" s="3" t="str">
        <f>IF(H121 &gt; (G121*50%), "Yes", "No")</f>
        <v>Yes</v>
      </c>
      <c r="O121" s="16">
        <f>G121-H121</f>
        <v>2707</v>
      </c>
      <c r="P121" s="16">
        <f>SUMIFS(O121:O121,E121:E121,"Science",F121:F121,"Completed")</f>
        <v>0</v>
      </c>
      <c r="Q121" s="3" t="str">
        <f>IF(MONTH(E121)&gt;=7, YEAR(E121)&amp;"-"&amp;YEAR(E121)+1, YEAR(E121)-1&amp;"-"&amp;YEAR(E121))</f>
        <v>2021-2022</v>
      </c>
      <c r="R121" s="3"/>
      <c r="S121" s="3"/>
      <c r="T121" s="15" t="str">
        <f t="shared" ca="1" si="1"/>
        <v>0</v>
      </c>
      <c r="U121" s="3"/>
    </row>
    <row r="122" spans="1:21" x14ac:dyDescent="0.35">
      <c r="A122" s="3" t="s">
        <v>265</v>
      </c>
      <c r="B122" s="3" t="s">
        <v>266</v>
      </c>
      <c r="C122" s="3" t="s">
        <v>25</v>
      </c>
      <c r="D122" s="3" t="s">
        <v>13</v>
      </c>
      <c r="E122" s="6">
        <v>45118</v>
      </c>
      <c r="F122" s="3" t="s">
        <v>14</v>
      </c>
      <c r="G122" s="3">
        <v>2073</v>
      </c>
      <c r="H122" s="3">
        <v>1993</v>
      </c>
      <c r="I122" s="3">
        <v>3.62</v>
      </c>
      <c r="J122" s="3">
        <v>0</v>
      </c>
      <c r="K122" s="15">
        <f ca="1">IF(F122="Enrolled",TODAY()-E122,"0")</f>
        <v>936</v>
      </c>
      <c r="L122" s="3" t="str">
        <f>IF(I122&gt;=3.5,"Excellent",IF(I122&gt;=3,"Good",IF(I122&gt;=2,"Average","Poor")))</f>
        <v>Excellent</v>
      </c>
      <c r="M122" s="3" t="str">
        <v>Dr.Mehta</v>
      </c>
      <c r="N122" s="3" t="str">
        <f>IF(H122 &gt; (G122*50%), "Yes", "No")</f>
        <v>Yes</v>
      </c>
      <c r="O122" s="16">
        <f>G122-H122</f>
        <v>80</v>
      </c>
      <c r="P122" s="16">
        <f>SUMIFS(O122:O122,E122:E122,"Science",F122:F122,"Completed")</f>
        <v>0</v>
      </c>
      <c r="Q122" s="3" t="str">
        <f>IF(MONTH(E122)&gt;=7, YEAR(E122)&amp;"-"&amp;YEAR(E122)+1, YEAR(E122)-1&amp;"-"&amp;YEAR(E122))</f>
        <v>2023-2024</v>
      </c>
      <c r="R122" s="3"/>
      <c r="S122" s="3"/>
      <c r="T122" s="15" t="str">
        <f t="shared" ca="1" si="1"/>
        <v>0</v>
      </c>
      <c r="U122" s="3"/>
    </row>
    <row r="123" spans="1:21" x14ac:dyDescent="0.35">
      <c r="A123" s="3" t="s">
        <v>267</v>
      </c>
      <c r="B123" s="3" t="s">
        <v>268</v>
      </c>
      <c r="C123" s="3" t="s">
        <v>25</v>
      </c>
      <c r="D123" s="3" t="s">
        <v>31</v>
      </c>
      <c r="E123" s="6">
        <v>45236</v>
      </c>
      <c r="F123" s="3" t="s">
        <v>19</v>
      </c>
      <c r="G123" s="3">
        <v>3742</v>
      </c>
      <c r="H123" s="3">
        <v>4389</v>
      </c>
      <c r="I123" s="3">
        <v>2.67</v>
      </c>
      <c r="J123" s="3">
        <v>9</v>
      </c>
      <c r="K123" s="15" t="str">
        <f ca="1">IF(F123="Enrolled",TODAY()-E123,"0")</f>
        <v>0</v>
      </c>
      <c r="L123" s="3" t="str">
        <f>IF(I123&gt;=3.5,"Excellent",IF(I123&gt;=3,"Good",IF(I123&gt;=2,"Average","Poor")))</f>
        <v>Average</v>
      </c>
      <c r="M123" s="3" t="str">
        <v>Dr.Sharma</v>
      </c>
      <c r="N123" s="3" t="str">
        <f>IF(H123 &gt; (G123*50%), "Yes", "No")</f>
        <v>Yes</v>
      </c>
      <c r="O123" s="16">
        <f>G123-H123</f>
        <v>-647</v>
      </c>
      <c r="P123" s="16">
        <f>SUMIFS(O123:O123,E123:E123,"Science",F123:F123,"Completed")</f>
        <v>0</v>
      </c>
      <c r="Q123" s="3" t="str">
        <f>IF(MONTH(E123)&gt;=7, YEAR(E123)&amp;"-"&amp;YEAR(E123)+1, YEAR(E123)-1&amp;"-"&amp;YEAR(E123))</f>
        <v>2023-2024</v>
      </c>
      <c r="R123" s="3"/>
      <c r="S123" s="3"/>
      <c r="T123" s="15">
        <f t="shared" ca="1" si="1"/>
        <v>818</v>
      </c>
      <c r="U123" s="3"/>
    </row>
    <row r="124" spans="1:21" x14ac:dyDescent="0.35">
      <c r="A124" s="3" t="s">
        <v>269</v>
      </c>
      <c r="B124" s="3" t="s">
        <v>270</v>
      </c>
      <c r="C124" s="3" t="s">
        <v>17</v>
      </c>
      <c r="D124" s="3" t="s">
        <v>18</v>
      </c>
      <c r="E124" s="6">
        <v>45299</v>
      </c>
      <c r="F124" s="3" t="s">
        <v>14</v>
      </c>
      <c r="G124" s="3">
        <v>5954</v>
      </c>
      <c r="H124" s="3">
        <v>8075</v>
      </c>
      <c r="I124" s="3">
        <v>2.82</v>
      </c>
      <c r="J124" s="3">
        <v>57</v>
      </c>
      <c r="K124" s="15">
        <f ca="1">IF(F124="Enrolled",TODAY()-E124,"0")</f>
        <v>755</v>
      </c>
      <c r="L124" s="3" t="str">
        <f>IF(I124&gt;=3.5,"Excellent",IF(I124&gt;=3,"Good",IF(I124&gt;=2,"Average","Poor")))</f>
        <v>Average</v>
      </c>
      <c r="M124" s="3" t="str">
        <v>Dr.Roy</v>
      </c>
      <c r="N124" s="3" t="str">
        <f>IF(H124 &gt; (G124*50%), "Yes", "No")</f>
        <v>Yes</v>
      </c>
      <c r="O124" s="16">
        <f>G124-H124</f>
        <v>-2121</v>
      </c>
      <c r="P124" s="16">
        <f>SUMIFS(O124:O124,E124:E124,"Science",F124:F124,"Completed")</f>
        <v>0</v>
      </c>
      <c r="Q124" s="3" t="str">
        <f>IF(MONTH(E124)&gt;=7, YEAR(E124)&amp;"-"&amp;YEAR(E124)+1, YEAR(E124)-1&amp;"-"&amp;YEAR(E124))</f>
        <v>2023-2024</v>
      </c>
      <c r="R124" s="3"/>
      <c r="S124" s="3"/>
      <c r="T124" s="15" t="str">
        <f t="shared" ca="1" si="1"/>
        <v>0</v>
      </c>
      <c r="U124" s="3"/>
    </row>
    <row r="125" spans="1:21" x14ac:dyDescent="0.35">
      <c r="A125" s="3" t="s">
        <v>271</v>
      </c>
      <c r="B125" s="3" t="s">
        <v>272</v>
      </c>
      <c r="C125" s="3" t="s">
        <v>17</v>
      </c>
      <c r="D125" s="3" t="s">
        <v>13</v>
      </c>
      <c r="E125" s="6">
        <v>45256</v>
      </c>
      <c r="F125" s="3" t="s">
        <v>19</v>
      </c>
      <c r="G125" s="3">
        <v>5513</v>
      </c>
      <c r="H125" s="3">
        <v>1545</v>
      </c>
      <c r="I125" s="3">
        <v>2.72</v>
      </c>
      <c r="J125" s="3">
        <v>79</v>
      </c>
      <c r="K125" s="15" t="str">
        <f ca="1">IF(F125="Enrolled",TODAY()-E125,"0")</f>
        <v>0</v>
      </c>
      <c r="L125" s="3" t="str">
        <f>IF(I125&gt;=3.5,"Excellent",IF(I125&gt;=3,"Good",IF(I125&gt;=2,"Average","Poor")))</f>
        <v>Average</v>
      </c>
      <c r="M125" s="3" t="str">
        <v>Dr.Mehta</v>
      </c>
      <c r="N125" s="3" t="str">
        <f>IF(H125 &gt; (G125*50%), "Yes", "No")</f>
        <v>No</v>
      </c>
      <c r="O125" s="16">
        <f>G125-H125</f>
        <v>3968</v>
      </c>
      <c r="P125" s="16">
        <f>SUMIFS(O125:O125,E125:E125,"Science",F125:F125,"Completed")</f>
        <v>0</v>
      </c>
      <c r="Q125" s="3" t="str">
        <f>IF(MONTH(E125)&gt;=7, YEAR(E125)&amp;"-"&amp;YEAR(E125)+1, YEAR(E125)-1&amp;"-"&amp;YEAR(E125))</f>
        <v>2023-2024</v>
      </c>
      <c r="R125" s="3"/>
      <c r="S125" s="3"/>
      <c r="T125" s="15">
        <f t="shared" ca="1" si="1"/>
        <v>798</v>
      </c>
      <c r="U125" s="3"/>
    </row>
    <row r="126" spans="1:21" x14ac:dyDescent="0.35">
      <c r="A126" s="3" t="s">
        <v>273</v>
      </c>
      <c r="B126" s="3" t="s">
        <v>274</v>
      </c>
      <c r="C126" s="3" t="s">
        <v>54</v>
      </c>
      <c r="D126" s="3" t="s">
        <v>13</v>
      </c>
      <c r="E126" s="6">
        <v>45364</v>
      </c>
      <c r="F126" s="3" t="s">
        <v>19</v>
      </c>
      <c r="G126" s="3">
        <v>9374</v>
      </c>
      <c r="H126" s="3">
        <v>3980</v>
      </c>
      <c r="I126" s="3">
        <v>3.9</v>
      </c>
      <c r="J126" s="3">
        <v>92</v>
      </c>
      <c r="K126" s="15" t="str">
        <f ca="1">IF(F126="Enrolled",TODAY()-E126,"0")</f>
        <v>0</v>
      </c>
      <c r="L126" s="3" t="str">
        <f>IF(I126&gt;=3.5,"Excellent",IF(I126&gt;=3,"Good",IF(I126&gt;=2,"Average","Poor")))</f>
        <v>Excellent</v>
      </c>
      <c r="M126" s="3" t="str">
        <v>Dr.Mehta</v>
      </c>
      <c r="N126" s="3" t="str">
        <f>IF(H126 &gt; (G126*50%), "Yes", "No")</f>
        <v>No</v>
      </c>
      <c r="O126" s="16">
        <f>G126-H126</f>
        <v>5394</v>
      </c>
      <c r="P126" s="16">
        <f>SUMIFS(O126:O126,E126:E126,"Science",F126:F126,"Completed")</f>
        <v>0</v>
      </c>
      <c r="Q126" s="3" t="str">
        <f>IF(MONTH(E126)&gt;=7, YEAR(E126)&amp;"-"&amp;YEAR(E126)+1, YEAR(E126)-1&amp;"-"&amp;YEAR(E126))</f>
        <v>2023-2024</v>
      </c>
      <c r="R126" s="3"/>
      <c r="S126" s="3"/>
      <c r="T126" s="15">
        <f t="shared" ca="1" si="1"/>
        <v>690</v>
      </c>
      <c r="U126" s="3"/>
    </row>
    <row r="127" spans="1:21" x14ac:dyDescent="0.35">
      <c r="A127" s="3" t="s">
        <v>275</v>
      </c>
      <c r="B127" s="3" t="s">
        <v>276</v>
      </c>
      <c r="C127" s="3" t="s">
        <v>54</v>
      </c>
      <c r="D127" s="3" t="s">
        <v>62</v>
      </c>
      <c r="E127" s="6">
        <v>44825</v>
      </c>
      <c r="F127" s="3" t="s">
        <v>14</v>
      </c>
      <c r="G127" s="3">
        <v>13694</v>
      </c>
      <c r="H127" s="3">
        <v>5031</v>
      </c>
      <c r="I127" s="3">
        <v>2.2400000000000002</v>
      </c>
      <c r="J127" s="3">
        <v>42</v>
      </c>
      <c r="K127" s="15">
        <f ca="1">IF(F127="Enrolled",TODAY()-E127,"0")</f>
        <v>1229</v>
      </c>
      <c r="L127" s="3" t="str">
        <f>IF(I127&gt;=3.5,"Excellent",IF(I127&gt;=3,"Good",IF(I127&gt;=2,"Average","Poor")))</f>
        <v>Average</v>
      </c>
      <c r="M127" s="3" t="str">
        <v>Dr.Sinha</v>
      </c>
      <c r="N127" s="3" t="str">
        <f>IF(H127 &gt; (G127*50%), "Yes", "No")</f>
        <v>No</v>
      </c>
      <c r="O127" s="16">
        <f>G127-H127</f>
        <v>8663</v>
      </c>
      <c r="P127" s="16">
        <f>SUMIFS(O127:O127,E127:E127,"Science",F127:F127,"Completed")</f>
        <v>0</v>
      </c>
      <c r="Q127" s="3" t="str">
        <f>IF(MONTH(E127)&gt;=7, YEAR(E127)&amp;"-"&amp;YEAR(E127)+1, YEAR(E127)-1&amp;"-"&amp;YEAR(E127))</f>
        <v>2022-2023</v>
      </c>
      <c r="R127" s="3"/>
      <c r="S127" s="3"/>
      <c r="T127" s="15" t="str">
        <f t="shared" ca="1" si="1"/>
        <v>0</v>
      </c>
      <c r="U127" s="3"/>
    </row>
    <row r="128" spans="1:21" x14ac:dyDescent="0.35">
      <c r="A128" s="3" t="s">
        <v>277</v>
      </c>
      <c r="B128" s="3" t="s">
        <v>278</v>
      </c>
      <c r="C128" s="3" t="s">
        <v>28</v>
      </c>
      <c r="D128" s="3" t="s">
        <v>62</v>
      </c>
      <c r="E128" s="6">
        <v>45271</v>
      </c>
      <c r="F128" s="3" t="s">
        <v>19</v>
      </c>
      <c r="G128" s="3">
        <v>7401</v>
      </c>
      <c r="H128" s="3">
        <v>5862</v>
      </c>
      <c r="I128" s="3">
        <v>3.24</v>
      </c>
      <c r="J128" s="3">
        <v>1</v>
      </c>
      <c r="K128" s="15" t="str">
        <f ca="1">IF(F128="Enrolled",TODAY()-E128,"0")</f>
        <v>0</v>
      </c>
      <c r="L128" s="3" t="str">
        <f>IF(I128&gt;=3.5,"Excellent",IF(I128&gt;=3,"Good",IF(I128&gt;=2,"Average","Poor")))</f>
        <v>Good</v>
      </c>
      <c r="M128" s="3" t="str">
        <v>Dr.Sinha</v>
      </c>
      <c r="N128" s="3" t="str">
        <f>IF(H128 &gt; (G128*50%), "Yes", "No")</f>
        <v>Yes</v>
      </c>
      <c r="O128" s="16">
        <f>G128-H128</f>
        <v>1539</v>
      </c>
      <c r="P128" s="16">
        <f>SUMIFS(O128:O128,E128:E128,"Science",F128:F128,"Completed")</f>
        <v>0</v>
      </c>
      <c r="Q128" s="3" t="str">
        <f>IF(MONTH(E128)&gt;=7, YEAR(E128)&amp;"-"&amp;YEAR(E128)+1, YEAR(E128)-1&amp;"-"&amp;YEAR(E128))</f>
        <v>2023-2024</v>
      </c>
      <c r="R128" s="3"/>
      <c r="S128" s="3"/>
      <c r="T128" s="15">
        <f t="shared" ca="1" si="1"/>
        <v>783</v>
      </c>
      <c r="U128" s="3"/>
    </row>
    <row r="129" spans="1:21" x14ac:dyDescent="0.35">
      <c r="A129" s="3" t="s">
        <v>279</v>
      </c>
      <c r="B129" s="3" t="s">
        <v>280</v>
      </c>
      <c r="C129" s="3" t="s">
        <v>28</v>
      </c>
      <c r="D129" s="3" t="s">
        <v>31</v>
      </c>
      <c r="E129" s="6">
        <v>45379</v>
      </c>
      <c r="F129" s="3" t="s">
        <v>14</v>
      </c>
      <c r="G129" s="3">
        <v>10718</v>
      </c>
      <c r="H129" s="3">
        <v>5162</v>
      </c>
      <c r="I129" s="3">
        <v>3.21</v>
      </c>
      <c r="J129" s="3">
        <v>32</v>
      </c>
      <c r="K129" s="15">
        <f ca="1">IF(F129="Enrolled",TODAY()-E129,"0")</f>
        <v>675</v>
      </c>
      <c r="L129" s="3" t="str">
        <f>IF(I129&gt;=3.5,"Excellent",IF(I129&gt;=3,"Good",IF(I129&gt;=2,"Average","Poor")))</f>
        <v>Good</v>
      </c>
      <c r="M129" s="3" t="str">
        <v>Dr.Sharma</v>
      </c>
      <c r="N129" s="3" t="str">
        <f>IF(H129 &gt; (G129*50%), "Yes", "No")</f>
        <v>No</v>
      </c>
      <c r="O129" s="16">
        <f>G129-H129</f>
        <v>5556</v>
      </c>
      <c r="P129" s="16">
        <f>SUMIFS(O129:O129,E129:E129,"Science",F129:F129,"Completed")</f>
        <v>0</v>
      </c>
      <c r="Q129" s="3" t="str">
        <f>IF(MONTH(E129)&gt;=7, YEAR(E129)&amp;"-"&amp;YEAR(E129)+1, YEAR(E129)-1&amp;"-"&amp;YEAR(E129))</f>
        <v>2023-2024</v>
      </c>
      <c r="R129" s="3"/>
      <c r="S129" s="3"/>
      <c r="T129" s="15" t="str">
        <f t="shared" ca="1" si="1"/>
        <v>0</v>
      </c>
      <c r="U129" s="3"/>
    </row>
    <row r="130" spans="1:21" x14ac:dyDescent="0.35">
      <c r="A130" s="3" t="s">
        <v>281</v>
      </c>
      <c r="B130" s="3" t="s">
        <v>282</v>
      </c>
      <c r="C130" s="3" t="s">
        <v>36</v>
      </c>
      <c r="D130" s="3" t="s">
        <v>31</v>
      </c>
      <c r="E130" s="6">
        <v>44619</v>
      </c>
      <c r="F130" s="3" t="s">
        <v>14</v>
      </c>
      <c r="G130" s="3">
        <v>8809</v>
      </c>
      <c r="H130" s="3">
        <v>7719</v>
      </c>
      <c r="I130" s="3">
        <v>2.92</v>
      </c>
      <c r="J130" s="3">
        <v>39</v>
      </c>
      <c r="K130" s="15">
        <f ca="1">IF(F130="Enrolled",TODAY()-E130,"0")</f>
        <v>1435</v>
      </c>
      <c r="L130" s="3" t="str">
        <f>IF(I130&gt;=3.5,"Excellent",IF(I130&gt;=3,"Good",IF(I130&gt;=2,"Average","Poor")))</f>
        <v>Average</v>
      </c>
      <c r="M130" s="3" t="str">
        <v>Dr.Sharma</v>
      </c>
      <c r="N130" s="3" t="str">
        <f>IF(H130 &gt; (G130*50%), "Yes", "No")</f>
        <v>Yes</v>
      </c>
      <c r="O130" s="16">
        <f>G130-H130</f>
        <v>1090</v>
      </c>
      <c r="P130" s="16">
        <f>SUMIFS(O130:O130,E130:E130,"Science",F130:F130,"Completed")</f>
        <v>0</v>
      </c>
      <c r="Q130" s="3" t="str">
        <f>IF(MONTH(E130)&gt;=7, YEAR(E130)&amp;"-"&amp;YEAR(E130)+1, YEAR(E130)-1&amp;"-"&amp;YEAR(E130))</f>
        <v>2021-2022</v>
      </c>
      <c r="R130" s="3"/>
      <c r="S130" s="3"/>
      <c r="T130" s="15" t="str">
        <f t="shared" ca="1" si="1"/>
        <v>0</v>
      </c>
      <c r="U130" s="3"/>
    </row>
    <row r="131" spans="1:21" x14ac:dyDescent="0.35">
      <c r="A131" s="3" t="s">
        <v>283</v>
      </c>
      <c r="B131" s="3" t="s">
        <v>284</v>
      </c>
      <c r="C131" s="3" t="s">
        <v>25</v>
      </c>
      <c r="D131" s="3" t="s">
        <v>62</v>
      </c>
      <c r="E131" s="6">
        <v>45037</v>
      </c>
      <c r="F131" s="3" t="s">
        <v>39</v>
      </c>
      <c r="G131" s="3">
        <v>5590</v>
      </c>
      <c r="H131" s="3">
        <v>9943</v>
      </c>
      <c r="I131" s="3">
        <v>2.37</v>
      </c>
      <c r="J131" s="3">
        <v>4</v>
      </c>
      <c r="K131" s="15" t="str">
        <f ca="1">IF(F131="Enrolled",TODAY()-E131,"0")</f>
        <v>0</v>
      </c>
      <c r="L131" s="3" t="str">
        <f>IF(I131&gt;=3.5,"Excellent",IF(I131&gt;=3,"Good",IF(I131&gt;=2,"Average","Poor")))</f>
        <v>Average</v>
      </c>
      <c r="M131" s="3" t="str">
        <v>Dr.Sinha</v>
      </c>
      <c r="N131" s="3" t="str">
        <f>IF(H131 &gt; (G131*50%), "Yes", "No")</f>
        <v>Yes</v>
      </c>
      <c r="O131" s="16">
        <f>G131-H131</f>
        <v>-4353</v>
      </c>
      <c r="P131" s="16">
        <f>SUMIFS(O131:O131,E131:E131,"Science",F131:F131,"Completed")</f>
        <v>0</v>
      </c>
      <c r="Q131" s="3" t="str">
        <f>IF(MONTH(E131)&gt;=7, YEAR(E131)&amp;"-"&amp;YEAR(E131)+1, YEAR(E131)-1&amp;"-"&amp;YEAR(E131))</f>
        <v>2022-2023</v>
      </c>
      <c r="R131" s="3"/>
      <c r="S131" s="3"/>
      <c r="T131" s="15" t="str">
        <f t="shared" ref="T131:T194" ca="1" si="2">IF(F131="Completed",TODAY()-E131,"0")</f>
        <v>0</v>
      </c>
      <c r="U131" s="3"/>
    </row>
    <row r="132" spans="1:21" x14ac:dyDescent="0.35">
      <c r="A132" s="3" t="s">
        <v>285</v>
      </c>
      <c r="B132" s="3" t="s">
        <v>286</v>
      </c>
      <c r="C132" s="3" t="s">
        <v>36</v>
      </c>
      <c r="D132" s="3" t="s">
        <v>31</v>
      </c>
      <c r="E132" s="6">
        <v>44714</v>
      </c>
      <c r="F132" s="3" t="s">
        <v>19</v>
      </c>
      <c r="G132" s="3">
        <v>4728</v>
      </c>
      <c r="H132" s="3">
        <v>2909</v>
      </c>
      <c r="I132" s="3">
        <v>3.64</v>
      </c>
      <c r="J132" s="3">
        <v>39</v>
      </c>
      <c r="K132" s="15" t="str">
        <f ca="1">IF(F132="Enrolled",TODAY()-E132,"0")</f>
        <v>0</v>
      </c>
      <c r="L132" s="3" t="str">
        <f>IF(I132&gt;=3.5,"Excellent",IF(I132&gt;=3,"Good",IF(I132&gt;=2,"Average","Poor")))</f>
        <v>Excellent</v>
      </c>
      <c r="M132" s="3" t="str">
        <v>Dr.Sharma</v>
      </c>
      <c r="N132" s="3" t="str">
        <f>IF(H132 &gt; (G132*50%), "Yes", "No")</f>
        <v>Yes</v>
      </c>
      <c r="O132" s="16">
        <f>G132-H132</f>
        <v>1819</v>
      </c>
      <c r="P132" s="16">
        <f>SUMIFS(O132:O132,E132:E132,"Science",F132:F132,"Completed")</f>
        <v>0</v>
      </c>
      <c r="Q132" s="3" t="str">
        <f>IF(MONTH(E132)&gt;=7, YEAR(E132)&amp;"-"&amp;YEAR(E132)+1, YEAR(E132)-1&amp;"-"&amp;YEAR(E132))</f>
        <v>2021-2022</v>
      </c>
      <c r="R132" s="3"/>
      <c r="S132" s="3"/>
      <c r="T132" s="15">
        <f t="shared" ca="1" si="2"/>
        <v>1340</v>
      </c>
      <c r="U132" s="3"/>
    </row>
    <row r="133" spans="1:21" x14ac:dyDescent="0.35">
      <c r="A133" s="3" t="s">
        <v>287</v>
      </c>
      <c r="B133" s="3" t="s">
        <v>288</v>
      </c>
      <c r="C133" s="3" t="s">
        <v>28</v>
      </c>
      <c r="D133" s="3" t="s">
        <v>31</v>
      </c>
      <c r="E133" s="6">
        <v>44689</v>
      </c>
      <c r="F133" s="3" t="s">
        <v>19</v>
      </c>
      <c r="G133" s="3">
        <v>9469</v>
      </c>
      <c r="H133" s="3">
        <v>6841</v>
      </c>
      <c r="I133" s="3">
        <v>2.94</v>
      </c>
      <c r="J133" s="3">
        <v>53</v>
      </c>
      <c r="K133" s="15" t="str">
        <f ca="1">IF(F133="Enrolled",TODAY()-E133,"0")</f>
        <v>0</v>
      </c>
      <c r="L133" s="3" t="str">
        <f>IF(I133&gt;=3.5,"Excellent",IF(I133&gt;=3,"Good",IF(I133&gt;=2,"Average","Poor")))</f>
        <v>Average</v>
      </c>
      <c r="M133" s="3" t="str">
        <v>Dr.Sharma</v>
      </c>
      <c r="N133" s="3" t="str">
        <f>IF(H133 &gt; (G133*50%), "Yes", "No")</f>
        <v>Yes</v>
      </c>
      <c r="O133" s="16">
        <f>G133-H133</f>
        <v>2628</v>
      </c>
      <c r="P133" s="16">
        <f>SUMIFS(O133:O133,E133:E133,"Science",F133:F133,"Completed")</f>
        <v>0</v>
      </c>
      <c r="Q133" s="3" t="str">
        <f>IF(MONTH(E133)&gt;=7, YEAR(E133)&amp;"-"&amp;YEAR(E133)+1, YEAR(E133)-1&amp;"-"&amp;YEAR(E133))</f>
        <v>2021-2022</v>
      </c>
      <c r="R133" s="3"/>
      <c r="S133" s="3"/>
      <c r="T133" s="15">
        <f t="shared" ca="1" si="2"/>
        <v>1365</v>
      </c>
      <c r="U133" s="3"/>
    </row>
    <row r="134" spans="1:21" x14ac:dyDescent="0.35">
      <c r="A134" s="3" t="s">
        <v>289</v>
      </c>
      <c r="B134" s="3" t="s">
        <v>290</v>
      </c>
      <c r="C134" s="3" t="s">
        <v>57</v>
      </c>
      <c r="D134" s="3" t="s">
        <v>62</v>
      </c>
      <c r="E134" s="6">
        <v>44773</v>
      </c>
      <c r="F134" s="3" t="s">
        <v>14</v>
      </c>
      <c r="G134" s="3">
        <v>10140</v>
      </c>
      <c r="H134" s="3">
        <v>8620</v>
      </c>
      <c r="I134" s="3">
        <v>3.6</v>
      </c>
      <c r="J134" s="3">
        <v>115</v>
      </c>
      <c r="K134" s="15">
        <f ca="1">IF(F134="Enrolled",TODAY()-E134,"0")</f>
        <v>1281</v>
      </c>
      <c r="L134" s="3" t="str">
        <f>IF(I134&gt;=3.5,"Excellent",IF(I134&gt;=3,"Good",IF(I134&gt;=2,"Average","Poor")))</f>
        <v>Excellent</v>
      </c>
      <c r="M134" s="3" t="str">
        <v>Dr.Sinha</v>
      </c>
      <c r="N134" s="3" t="str">
        <f>IF(H134 &gt; (G134*50%), "Yes", "No")</f>
        <v>Yes</v>
      </c>
      <c r="O134" s="16">
        <f>G134-H134</f>
        <v>1520</v>
      </c>
      <c r="P134" s="16">
        <f>SUMIFS(O134:O134,E134:E134,"Science",F134:F134,"Completed")</f>
        <v>0</v>
      </c>
      <c r="Q134" s="3" t="str">
        <f>IF(MONTH(E134)&gt;=7, YEAR(E134)&amp;"-"&amp;YEAR(E134)+1, YEAR(E134)-1&amp;"-"&amp;YEAR(E134))</f>
        <v>2022-2023</v>
      </c>
      <c r="R134" s="3"/>
      <c r="S134" s="3"/>
      <c r="T134" s="15" t="str">
        <f t="shared" ca="1" si="2"/>
        <v>0</v>
      </c>
      <c r="U134" s="3"/>
    </row>
    <row r="135" spans="1:21" x14ac:dyDescent="0.35">
      <c r="A135" s="3" t="s">
        <v>291</v>
      </c>
      <c r="B135" s="3" t="s">
        <v>292</v>
      </c>
      <c r="C135" s="3" t="s">
        <v>36</v>
      </c>
      <c r="D135" s="3" t="s">
        <v>31</v>
      </c>
      <c r="E135" s="6">
        <v>45307</v>
      </c>
      <c r="F135" s="3" t="s">
        <v>14</v>
      </c>
      <c r="G135" s="3">
        <v>9766</v>
      </c>
      <c r="H135" s="3">
        <v>5059</v>
      </c>
      <c r="I135" s="3">
        <v>3.41</v>
      </c>
      <c r="J135" s="3">
        <v>56</v>
      </c>
      <c r="K135" s="15">
        <f ca="1">IF(F135="Enrolled",TODAY()-E135,"0")</f>
        <v>747</v>
      </c>
      <c r="L135" s="3" t="str">
        <f>IF(I135&gt;=3.5,"Excellent",IF(I135&gt;=3,"Good",IF(I135&gt;=2,"Average","Poor")))</f>
        <v>Good</v>
      </c>
      <c r="M135" s="3" t="str">
        <v>Dr.Sharma</v>
      </c>
      <c r="N135" s="3" t="str">
        <f>IF(H135 &gt; (G135*50%), "Yes", "No")</f>
        <v>Yes</v>
      </c>
      <c r="O135" s="16">
        <f>G135-H135</f>
        <v>4707</v>
      </c>
      <c r="P135" s="16">
        <f>SUMIFS(O135:O135,E135:E135,"Science",F135:F135,"Completed")</f>
        <v>0</v>
      </c>
      <c r="Q135" s="3" t="str">
        <f>IF(MONTH(E135)&gt;=7, YEAR(E135)&amp;"-"&amp;YEAR(E135)+1, YEAR(E135)-1&amp;"-"&amp;YEAR(E135))</f>
        <v>2023-2024</v>
      </c>
      <c r="R135" s="3"/>
      <c r="S135" s="3"/>
      <c r="T135" s="15" t="str">
        <f t="shared" ca="1" si="2"/>
        <v>0</v>
      </c>
      <c r="U135" s="3"/>
    </row>
    <row r="136" spans="1:21" x14ac:dyDescent="0.35">
      <c r="A136" s="3" t="s">
        <v>293</v>
      </c>
      <c r="B136" s="3" t="s">
        <v>294</v>
      </c>
      <c r="C136" s="3" t="s">
        <v>22</v>
      </c>
      <c r="D136" s="3" t="s">
        <v>31</v>
      </c>
      <c r="E136" s="6">
        <v>45259</v>
      </c>
      <c r="F136" s="3" t="s">
        <v>19</v>
      </c>
      <c r="G136" s="3">
        <v>3860</v>
      </c>
      <c r="H136" s="3">
        <v>8811</v>
      </c>
      <c r="I136" s="3">
        <v>3.15</v>
      </c>
      <c r="J136" s="3">
        <v>103</v>
      </c>
      <c r="K136" s="15" t="str">
        <f ca="1">IF(F136="Enrolled",TODAY()-E136,"0")</f>
        <v>0</v>
      </c>
      <c r="L136" s="3" t="str">
        <f>IF(I136&gt;=3.5,"Excellent",IF(I136&gt;=3,"Good",IF(I136&gt;=2,"Average","Poor")))</f>
        <v>Good</v>
      </c>
      <c r="M136" s="3" t="str">
        <v>Dr.Sharma</v>
      </c>
      <c r="N136" s="3" t="str">
        <f>IF(H136 &gt; (G136*50%), "Yes", "No")</f>
        <v>Yes</v>
      </c>
      <c r="O136" s="16">
        <f>G136-H136</f>
        <v>-4951</v>
      </c>
      <c r="P136" s="16">
        <f>SUMIFS(O136:O136,E136:E136,"Science",F136:F136,"Completed")</f>
        <v>0</v>
      </c>
      <c r="Q136" s="3" t="str">
        <f>IF(MONTH(E136)&gt;=7, YEAR(E136)&amp;"-"&amp;YEAR(E136)+1, YEAR(E136)-1&amp;"-"&amp;YEAR(E136))</f>
        <v>2023-2024</v>
      </c>
      <c r="R136" s="3"/>
      <c r="S136" s="3"/>
      <c r="T136" s="15">
        <f t="shared" ca="1" si="2"/>
        <v>795</v>
      </c>
      <c r="U136" s="3"/>
    </row>
    <row r="137" spans="1:21" x14ac:dyDescent="0.35">
      <c r="A137" s="3" t="s">
        <v>295</v>
      </c>
      <c r="B137" s="3" t="s">
        <v>296</v>
      </c>
      <c r="C137" s="3" t="s">
        <v>17</v>
      </c>
      <c r="D137" s="3" t="s">
        <v>13</v>
      </c>
      <c r="E137" s="6">
        <v>45109</v>
      </c>
      <c r="F137" s="3" t="s">
        <v>19</v>
      </c>
      <c r="G137" s="3">
        <v>7810</v>
      </c>
      <c r="H137" s="3">
        <v>857</v>
      </c>
      <c r="I137" s="3">
        <v>3.97</v>
      </c>
      <c r="J137" s="3">
        <v>63</v>
      </c>
      <c r="K137" s="15" t="str">
        <f ca="1">IF(F137="Enrolled",TODAY()-E137,"0")</f>
        <v>0</v>
      </c>
      <c r="L137" s="3" t="str">
        <f>IF(I137&gt;=3.5,"Excellent",IF(I137&gt;=3,"Good",IF(I137&gt;=2,"Average","Poor")))</f>
        <v>Excellent</v>
      </c>
      <c r="M137" s="3" t="str">
        <v>Dr.Mehta</v>
      </c>
      <c r="N137" s="3" t="str">
        <f>IF(H137 &gt; (G137*50%), "Yes", "No")</f>
        <v>No</v>
      </c>
      <c r="O137" s="16">
        <f>G137-H137</f>
        <v>6953</v>
      </c>
      <c r="P137" s="16">
        <f>SUMIFS(O137:O137,E137:E137,"Science",F137:F137,"Completed")</f>
        <v>0</v>
      </c>
      <c r="Q137" s="3" t="str">
        <f>IF(MONTH(E137)&gt;=7, YEAR(E137)&amp;"-"&amp;YEAR(E137)+1, YEAR(E137)-1&amp;"-"&amp;YEAR(E137))</f>
        <v>2023-2024</v>
      </c>
      <c r="R137" s="3"/>
      <c r="S137" s="3"/>
      <c r="T137" s="15">
        <f t="shared" ca="1" si="2"/>
        <v>945</v>
      </c>
      <c r="U137" s="3"/>
    </row>
    <row r="138" spans="1:21" x14ac:dyDescent="0.35">
      <c r="A138" s="3" t="s">
        <v>297</v>
      </c>
      <c r="B138" s="3" t="s">
        <v>298</v>
      </c>
      <c r="C138" s="3" t="s">
        <v>28</v>
      </c>
      <c r="D138" s="3" t="s">
        <v>31</v>
      </c>
      <c r="E138" s="6">
        <v>45364</v>
      </c>
      <c r="F138" s="3" t="s">
        <v>39</v>
      </c>
      <c r="G138" s="3">
        <v>2993</v>
      </c>
      <c r="H138" s="3">
        <v>1240</v>
      </c>
      <c r="I138" s="3">
        <v>3.79</v>
      </c>
      <c r="J138" s="3">
        <v>111</v>
      </c>
      <c r="K138" s="15" t="str">
        <f ca="1">IF(F138="Enrolled",TODAY()-E138,"0")</f>
        <v>0</v>
      </c>
      <c r="L138" s="3" t="str">
        <f>IF(I138&gt;=3.5,"Excellent",IF(I138&gt;=3,"Good",IF(I138&gt;=2,"Average","Poor")))</f>
        <v>Excellent</v>
      </c>
      <c r="M138" s="3" t="str">
        <v>Dr.Sharma</v>
      </c>
      <c r="N138" s="3" t="str">
        <f>IF(H138 &gt; (G138*50%), "Yes", "No")</f>
        <v>No</v>
      </c>
      <c r="O138" s="16">
        <f>G138-H138</f>
        <v>1753</v>
      </c>
      <c r="P138" s="16">
        <f>SUMIFS(O138:O138,E138:E138,"Science",F138:F138,"Completed")</f>
        <v>0</v>
      </c>
      <c r="Q138" s="3" t="str">
        <f>IF(MONTH(E138)&gt;=7, YEAR(E138)&amp;"-"&amp;YEAR(E138)+1, YEAR(E138)-1&amp;"-"&amp;YEAR(E138))</f>
        <v>2023-2024</v>
      </c>
      <c r="R138" s="3"/>
      <c r="S138" s="3"/>
      <c r="T138" s="15" t="str">
        <f t="shared" ca="1" si="2"/>
        <v>0</v>
      </c>
      <c r="U138" s="3"/>
    </row>
    <row r="139" spans="1:21" x14ac:dyDescent="0.35">
      <c r="A139" s="3" t="s">
        <v>299</v>
      </c>
      <c r="B139" s="3" t="s">
        <v>300</v>
      </c>
      <c r="C139" s="3" t="s">
        <v>28</v>
      </c>
      <c r="D139" s="3" t="s">
        <v>18</v>
      </c>
      <c r="E139" s="6">
        <v>44745</v>
      </c>
      <c r="F139" s="3" t="s">
        <v>14</v>
      </c>
      <c r="G139" s="3">
        <v>2004</v>
      </c>
      <c r="H139" s="3">
        <v>965</v>
      </c>
      <c r="I139" s="3">
        <v>3.84</v>
      </c>
      <c r="J139" s="3">
        <v>87</v>
      </c>
      <c r="K139" s="15">
        <f ca="1">IF(F139="Enrolled",TODAY()-E139,"0")</f>
        <v>1309</v>
      </c>
      <c r="L139" s="3" t="str">
        <f>IF(I139&gt;=3.5,"Excellent",IF(I139&gt;=3,"Good",IF(I139&gt;=2,"Average","Poor")))</f>
        <v>Excellent</v>
      </c>
      <c r="M139" s="3" t="str">
        <v>Dr.Roy</v>
      </c>
      <c r="N139" s="3" t="str">
        <f>IF(H139 &gt; (G139*50%), "Yes", "No")</f>
        <v>No</v>
      </c>
      <c r="O139" s="16">
        <f>G139-H139</f>
        <v>1039</v>
      </c>
      <c r="P139" s="16">
        <f>SUMIFS(O139:O139,E139:E139,"Science",F139:F139,"Completed")</f>
        <v>0</v>
      </c>
      <c r="Q139" s="3" t="str">
        <f>IF(MONTH(E139)&gt;=7, YEAR(E139)&amp;"-"&amp;YEAR(E139)+1, YEAR(E139)-1&amp;"-"&amp;YEAR(E139))</f>
        <v>2022-2023</v>
      </c>
      <c r="R139" s="3"/>
      <c r="S139" s="3"/>
      <c r="T139" s="15" t="str">
        <f t="shared" ca="1" si="2"/>
        <v>0</v>
      </c>
      <c r="U139" s="3"/>
    </row>
    <row r="140" spans="1:21" x14ac:dyDescent="0.35">
      <c r="A140" s="3" t="s">
        <v>301</v>
      </c>
      <c r="B140" s="3" t="s">
        <v>302</v>
      </c>
      <c r="C140" s="3" t="s">
        <v>57</v>
      </c>
      <c r="D140" s="3" t="s">
        <v>13</v>
      </c>
      <c r="E140" s="6">
        <v>44756</v>
      </c>
      <c r="F140" s="3" t="s">
        <v>39</v>
      </c>
      <c r="G140" s="3">
        <v>8745</v>
      </c>
      <c r="H140" s="3">
        <v>7279</v>
      </c>
      <c r="I140" s="3">
        <v>2.97</v>
      </c>
      <c r="J140" s="3">
        <v>31</v>
      </c>
      <c r="K140" s="15" t="str">
        <f ca="1">IF(F140="Enrolled",TODAY()-E140,"0")</f>
        <v>0</v>
      </c>
      <c r="L140" s="3" t="str">
        <f>IF(I140&gt;=3.5,"Excellent",IF(I140&gt;=3,"Good",IF(I140&gt;=2,"Average","Poor")))</f>
        <v>Average</v>
      </c>
      <c r="M140" s="3" t="str">
        <v>Dr.Mehta</v>
      </c>
      <c r="N140" s="3" t="str">
        <f>IF(H140 &gt; (G140*50%), "Yes", "No")</f>
        <v>Yes</v>
      </c>
      <c r="O140" s="16">
        <f>G140-H140</f>
        <v>1466</v>
      </c>
      <c r="P140" s="16">
        <f>SUMIFS(O140:O140,E140:E140,"Science",F140:F140,"Completed")</f>
        <v>0</v>
      </c>
      <c r="Q140" s="3" t="str">
        <f>IF(MONTH(E140)&gt;=7, YEAR(E140)&amp;"-"&amp;YEAR(E140)+1, YEAR(E140)-1&amp;"-"&amp;YEAR(E140))</f>
        <v>2022-2023</v>
      </c>
      <c r="R140" s="3"/>
      <c r="S140" s="3"/>
      <c r="T140" s="15" t="str">
        <f t="shared" ca="1" si="2"/>
        <v>0</v>
      </c>
      <c r="U140" s="3"/>
    </row>
    <row r="141" spans="1:21" x14ac:dyDescent="0.35">
      <c r="A141" s="3" t="s">
        <v>303</v>
      </c>
      <c r="B141" s="3" t="s">
        <v>304</v>
      </c>
      <c r="C141" s="3" t="s">
        <v>36</v>
      </c>
      <c r="D141" s="3" t="s">
        <v>18</v>
      </c>
      <c r="E141" s="6">
        <v>44631</v>
      </c>
      <c r="F141" s="3" t="s">
        <v>14</v>
      </c>
      <c r="G141" s="3">
        <v>13687</v>
      </c>
      <c r="H141" s="3">
        <v>366</v>
      </c>
      <c r="I141" s="3">
        <v>3.07</v>
      </c>
      <c r="J141" s="3">
        <v>39</v>
      </c>
      <c r="K141" s="15">
        <f ca="1">IF(F141="Enrolled",TODAY()-E141,"0")</f>
        <v>1423</v>
      </c>
      <c r="L141" s="3" t="str">
        <f>IF(I141&gt;=3.5,"Excellent",IF(I141&gt;=3,"Good",IF(I141&gt;=2,"Average","Poor")))</f>
        <v>Good</v>
      </c>
      <c r="M141" s="3" t="str">
        <v>Dr.Roy</v>
      </c>
      <c r="N141" s="3" t="str">
        <f>IF(H141 &gt; (G141*50%), "Yes", "No")</f>
        <v>No</v>
      </c>
      <c r="O141" s="16">
        <f>G141-H141</f>
        <v>13321</v>
      </c>
      <c r="P141" s="16">
        <f>SUMIFS(O141:O141,E141:E141,"Science",F141:F141,"Completed")</f>
        <v>0</v>
      </c>
      <c r="Q141" s="3" t="str">
        <f>IF(MONTH(E141)&gt;=7, YEAR(E141)&amp;"-"&amp;YEAR(E141)+1, YEAR(E141)-1&amp;"-"&amp;YEAR(E141))</f>
        <v>2021-2022</v>
      </c>
      <c r="R141" s="3"/>
      <c r="S141" s="3"/>
      <c r="T141" s="15" t="str">
        <f t="shared" ca="1" si="2"/>
        <v>0</v>
      </c>
      <c r="U141" s="3"/>
    </row>
    <row r="142" spans="1:21" x14ac:dyDescent="0.35">
      <c r="A142" s="3" t="s">
        <v>305</v>
      </c>
      <c r="B142" s="3" t="s">
        <v>306</v>
      </c>
      <c r="C142" s="3" t="s">
        <v>54</v>
      </c>
      <c r="D142" s="3" t="s">
        <v>13</v>
      </c>
      <c r="E142" s="6">
        <v>44766</v>
      </c>
      <c r="F142" s="3" t="s">
        <v>14</v>
      </c>
      <c r="G142" s="3">
        <v>14018</v>
      </c>
      <c r="H142" s="3">
        <v>463</v>
      </c>
      <c r="I142" s="3">
        <v>2.0699999999999998</v>
      </c>
      <c r="J142" s="3">
        <v>33</v>
      </c>
      <c r="K142" s="15">
        <f ca="1">IF(F142="Enrolled",TODAY()-E142,"0")</f>
        <v>1288</v>
      </c>
      <c r="L142" s="3" t="str">
        <f>IF(I142&gt;=3.5,"Excellent",IF(I142&gt;=3,"Good",IF(I142&gt;=2,"Average","Poor")))</f>
        <v>Average</v>
      </c>
      <c r="M142" s="3" t="str">
        <v>Dr.Mehta</v>
      </c>
      <c r="N142" s="3" t="str">
        <f>IF(H142 &gt; (G142*50%), "Yes", "No")</f>
        <v>No</v>
      </c>
      <c r="O142" s="16">
        <f>G142-H142</f>
        <v>13555</v>
      </c>
      <c r="P142" s="16">
        <f>SUMIFS(O142:O142,E142:E142,"Science",F142:F142,"Completed")</f>
        <v>0</v>
      </c>
      <c r="Q142" s="3" t="str">
        <f>IF(MONTH(E142)&gt;=7, YEAR(E142)&amp;"-"&amp;YEAR(E142)+1, YEAR(E142)-1&amp;"-"&amp;YEAR(E142))</f>
        <v>2022-2023</v>
      </c>
      <c r="R142" s="3"/>
      <c r="S142" s="3"/>
      <c r="T142" s="15" t="str">
        <f t="shared" ca="1" si="2"/>
        <v>0</v>
      </c>
      <c r="U142" s="3"/>
    </row>
    <row r="143" spans="1:21" x14ac:dyDescent="0.35">
      <c r="A143" s="3" t="s">
        <v>307</v>
      </c>
      <c r="B143" s="3" t="s">
        <v>308</v>
      </c>
      <c r="C143" s="3" t="s">
        <v>57</v>
      </c>
      <c r="D143" s="3" t="s">
        <v>31</v>
      </c>
      <c r="E143" s="6">
        <v>44841</v>
      </c>
      <c r="F143" s="3" t="s">
        <v>14</v>
      </c>
      <c r="G143" s="3">
        <v>9817</v>
      </c>
      <c r="H143" s="3">
        <v>5564</v>
      </c>
      <c r="I143" s="3">
        <v>2.57</v>
      </c>
      <c r="J143" s="3">
        <v>48</v>
      </c>
      <c r="K143" s="15">
        <f ca="1">IF(F143="Enrolled",TODAY()-E143,"0")</f>
        <v>1213</v>
      </c>
      <c r="L143" s="3" t="str">
        <f>IF(I143&gt;=3.5,"Excellent",IF(I143&gt;=3,"Good",IF(I143&gt;=2,"Average","Poor")))</f>
        <v>Average</v>
      </c>
      <c r="M143" s="3" t="str">
        <v>Dr.Sharma</v>
      </c>
      <c r="N143" s="3" t="str">
        <f>IF(H143 &gt; (G143*50%), "Yes", "No")</f>
        <v>Yes</v>
      </c>
      <c r="O143" s="16">
        <f>G143-H143</f>
        <v>4253</v>
      </c>
      <c r="P143" s="16">
        <f>SUMIFS(O143:O143,E143:E143,"Science",F143:F143,"Completed")</f>
        <v>0</v>
      </c>
      <c r="Q143" s="3" t="str">
        <f>IF(MONTH(E143)&gt;=7, YEAR(E143)&amp;"-"&amp;YEAR(E143)+1, YEAR(E143)-1&amp;"-"&amp;YEAR(E143))</f>
        <v>2022-2023</v>
      </c>
      <c r="R143" s="3"/>
      <c r="S143" s="3"/>
      <c r="T143" s="15" t="str">
        <f t="shared" ca="1" si="2"/>
        <v>0</v>
      </c>
      <c r="U143" s="3"/>
    </row>
    <row r="144" spans="1:21" x14ac:dyDescent="0.35">
      <c r="A144" s="3" t="s">
        <v>309</v>
      </c>
      <c r="B144" s="3" t="s">
        <v>310</v>
      </c>
      <c r="C144" s="3" t="s">
        <v>28</v>
      </c>
      <c r="D144" s="3" t="s">
        <v>13</v>
      </c>
      <c r="E144" s="6">
        <v>45000</v>
      </c>
      <c r="F144" s="3" t="s">
        <v>19</v>
      </c>
      <c r="G144" s="3">
        <v>13150</v>
      </c>
      <c r="H144" s="3">
        <v>5003</v>
      </c>
      <c r="I144" s="3">
        <v>2.38</v>
      </c>
      <c r="J144" s="3">
        <v>87</v>
      </c>
      <c r="K144" s="15" t="str">
        <f ca="1">IF(F144="Enrolled",TODAY()-E144,"0")</f>
        <v>0</v>
      </c>
      <c r="L144" s="3" t="str">
        <f>IF(I144&gt;=3.5,"Excellent",IF(I144&gt;=3,"Good",IF(I144&gt;=2,"Average","Poor")))</f>
        <v>Average</v>
      </c>
      <c r="M144" s="3" t="str">
        <v>Dr.Mehta</v>
      </c>
      <c r="N144" s="3" t="str">
        <f>IF(H144 &gt; (G144*50%), "Yes", "No")</f>
        <v>No</v>
      </c>
      <c r="O144" s="16">
        <f>G144-H144</f>
        <v>8147</v>
      </c>
      <c r="P144" s="16">
        <f>SUMIFS(O144:O144,E144:E144,"Science",F144:F144,"Completed")</f>
        <v>0</v>
      </c>
      <c r="Q144" s="3" t="str">
        <f>IF(MONTH(E144)&gt;=7, YEAR(E144)&amp;"-"&amp;YEAR(E144)+1, YEAR(E144)-1&amp;"-"&amp;YEAR(E144))</f>
        <v>2022-2023</v>
      </c>
      <c r="R144" s="3"/>
      <c r="S144" s="3"/>
      <c r="T144" s="15">
        <f t="shared" ca="1" si="2"/>
        <v>1054</v>
      </c>
      <c r="U144" s="3"/>
    </row>
    <row r="145" spans="1:21" x14ac:dyDescent="0.35">
      <c r="A145" s="3" t="s">
        <v>311</v>
      </c>
      <c r="B145" s="3" t="s">
        <v>312</v>
      </c>
      <c r="C145" s="3" t="s">
        <v>28</v>
      </c>
      <c r="D145" s="3" t="s">
        <v>13</v>
      </c>
      <c r="E145" s="6">
        <v>45123</v>
      </c>
      <c r="F145" s="3" t="s">
        <v>19</v>
      </c>
      <c r="G145" s="3">
        <v>14774</v>
      </c>
      <c r="H145" s="3">
        <v>3722</v>
      </c>
      <c r="I145" s="3">
        <v>3.78</v>
      </c>
      <c r="J145" s="3">
        <v>106</v>
      </c>
      <c r="K145" s="15" t="str">
        <f ca="1">IF(F145="Enrolled",TODAY()-E145,"0")</f>
        <v>0</v>
      </c>
      <c r="L145" s="3" t="str">
        <f>IF(I145&gt;=3.5,"Excellent",IF(I145&gt;=3,"Good",IF(I145&gt;=2,"Average","Poor")))</f>
        <v>Excellent</v>
      </c>
      <c r="M145" s="3" t="str">
        <v>Dr.Mehta</v>
      </c>
      <c r="N145" s="3" t="str">
        <f>IF(H145 &gt; (G145*50%), "Yes", "No")</f>
        <v>No</v>
      </c>
      <c r="O145" s="16">
        <f>G145-H145</f>
        <v>11052</v>
      </c>
      <c r="P145" s="16">
        <f>SUMIFS(O145:O145,E145:E145,"Science",F145:F145,"Completed")</f>
        <v>0</v>
      </c>
      <c r="Q145" s="3" t="str">
        <f>IF(MONTH(E145)&gt;=7, YEAR(E145)&amp;"-"&amp;YEAR(E145)+1, YEAR(E145)-1&amp;"-"&amp;YEAR(E145))</f>
        <v>2023-2024</v>
      </c>
      <c r="R145" s="3"/>
      <c r="S145" s="3"/>
      <c r="T145" s="15">
        <f t="shared" ca="1" si="2"/>
        <v>931</v>
      </c>
      <c r="U145" s="3"/>
    </row>
    <row r="146" spans="1:21" x14ac:dyDescent="0.35">
      <c r="A146" s="3" t="s">
        <v>313</v>
      </c>
      <c r="B146" s="3" t="s">
        <v>314</v>
      </c>
      <c r="C146" s="3" t="s">
        <v>36</v>
      </c>
      <c r="D146" s="3" t="s">
        <v>31</v>
      </c>
      <c r="E146" s="6">
        <v>45368</v>
      </c>
      <c r="F146" s="3" t="s">
        <v>14</v>
      </c>
      <c r="G146" s="3">
        <v>5340</v>
      </c>
      <c r="H146" s="3">
        <v>8997</v>
      </c>
      <c r="I146" s="3">
        <v>2.54</v>
      </c>
      <c r="J146" s="3">
        <v>59</v>
      </c>
      <c r="K146" s="15">
        <f ca="1">IF(F146="Enrolled",TODAY()-E146,"0")</f>
        <v>686</v>
      </c>
      <c r="L146" s="3" t="str">
        <f>IF(I146&gt;=3.5,"Excellent",IF(I146&gt;=3,"Good",IF(I146&gt;=2,"Average","Poor")))</f>
        <v>Average</v>
      </c>
      <c r="M146" s="3" t="str">
        <v>Dr.Sharma</v>
      </c>
      <c r="N146" s="3" t="str">
        <f>IF(H146 &gt; (G146*50%), "Yes", "No")</f>
        <v>Yes</v>
      </c>
      <c r="O146" s="16">
        <f>G146-H146</f>
        <v>-3657</v>
      </c>
      <c r="P146" s="16">
        <f>SUMIFS(O146:O146,E146:E146,"Science",F146:F146,"Completed")</f>
        <v>0</v>
      </c>
      <c r="Q146" s="3" t="str">
        <f>IF(MONTH(E146)&gt;=7, YEAR(E146)&amp;"-"&amp;YEAR(E146)+1, YEAR(E146)-1&amp;"-"&amp;YEAR(E146))</f>
        <v>2023-2024</v>
      </c>
      <c r="R146" s="3"/>
      <c r="S146" s="3"/>
      <c r="T146" s="15" t="str">
        <f t="shared" ca="1" si="2"/>
        <v>0</v>
      </c>
      <c r="U146" s="3"/>
    </row>
    <row r="147" spans="1:21" x14ac:dyDescent="0.35">
      <c r="A147" s="3" t="s">
        <v>315</v>
      </c>
      <c r="B147" s="3" t="s">
        <v>316</v>
      </c>
      <c r="C147" s="3" t="s">
        <v>22</v>
      </c>
      <c r="D147" s="3" t="s">
        <v>31</v>
      </c>
      <c r="E147" s="6">
        <v>44579</v>
      </c>
      <c r="F147" s="3" t="s">
        <v>19</v>
      </c>
      <c r="G147" s="3">
        <v>12094</v>
      </c>
      <c r="H147" s="3">
        <v>3403</v>
      </c>
      <c r="I147" s="3">
        <v>2.27</v>
      </c>
      <c r="J147" s="3">
        <v>69</v>
      </c>
      <c r="K147" s="15" t="str">
        <f ca="1">IF(F147="Enrolled",TODAY()-E147,"0")</f>
        <v>0</v>
      </c>
      <c r="L147" s="3" t="str">
        <f>IF(I147&gt;=3.5,"Excellent",IF(I147&gt;=3,"Good",IF(I147&gt;=2,"Average","Poor")))</f>
        <v>Average</v>
      </c>
      <c r="M147" s="3" t="str">
        <v>Dr.Sharma</v>
      </c>
      <c r="N147" s="3" t="str">
        <f>IF(H147 &gt; (G147*50%), "Yes", "No")</f>
        <v>No</v>
      </c>
      <c r="O147" s="16">
        <f>G147-H147</f>
        <v>8691</v>
      </c>
      <c r="P147" s="16">
        <f>SUMIFS(O147:O147,E147:E147,"Science",F147:F147,"Completed")</f>
        <v>0</v>
      </c>
      <c r="Q147" s="3" t="str">
        <f>IF(MONTH(E147)&gt;=7, YEAR(E147)&amp;"-"&amp;YEAR(E147)+1, YEAR(E147)-1&amp;"-"&amp;YEAR(E147))</f>
        <v>2021-2022</v>
      </c>
      <c r="R147" s="3"/>
      <c r="S147" s="3"/>
      <c r="T147" s="15">
        <f t="shared" ca="1" si="2"/>
        <v>1475</v>
      </c>
      <c r="U147" s="3"/>
    </row>
    <row r="148" spans="1:21" x14ac:dyDescent="0.35">
      <c r="A148" s="3" t="s">
        <v>317</v>
      </c>
      <c r="B148" s="3" t="s">
        <v>318</v>
      </c>
      <c r="C148" s="3" t="s">
        <v>54</v>
      </c>
      <c r="D148" s="3" t="s">
        <v>13</v>
      </c>
      <c r="E148" s="6">
        <v>45014</v>
      </c>
      <c r="F148" s="3" t="s">
        <v>14</v>
      </c>
      <c r="G148" s="3">
        <v>14344</v>
      </c>
      <c r="H148" s="3">
        <v>1358</v>
      </c>
      <c r="I148" s="3">
        <v>3.34</v>
      </c>
      <c r="J148" s="3">
        <v>3</v>
      </c>
      <c r="K148" s="15">
        <f ca="1">IF(F148="Enrolled",TODAY()-E148,"0")</f>
        <v>1040</v>
      </c>
      <c r="L148" s="3" t="str">
        <f>IF(I148&gt;=3.5,"Excellent",IF(I148&gt;=3,"Good",IF(I148&gt;=2,"Average","Poor")))</f>
        <v>Good</v>
      </c>
      <c r="M148" s="3" t="str">
        <v>Dr.Mehta</v>
      </c>
      <c r="N148" s="3" t="str">
        <f>IF(H148 &gt; (G148*50%), "Yes", "No")</f>
        <v>No</v>
      </c>
      <c r="O148" s="16">
        <f>G148-H148</f>
        <v>12986</v>
      </c>
      <c r="P148" s="16">
        <f>SUMIFS(O148:O148,E148:E148,"Science",F148:F148,"Completed")</f>
        <v>0</v>
      </c>
      <c r="Q148" s="3" t="str">
        <f>IF(MONTH(E148)&gt;=7, YEAR(E148)&amp;"-"&amp;YEAR(E148)+1, YEAR(E148)-1&amp;"-"&amp;YEAR(E148))</f>
        <v>2022-2023</v>
      </c>
      <c r="R148" s="3"/>
      <c r="S148" s="3"/>
      <c r="T148" s="15" t="str">
        <f t="shared" ca="1" si="2"/>
        <v>0</v>
      </c>
      <c r="U148" s="3"/>
    </row>
    <row r="149" spans="1:21" x14ac:dyDescent="0.35">
      <c r="A149" s="3" t="s">
        <v>319</v>
      </c>
      <c r="B149" s="3" t="s">
        <v>320</v>
      </c>
      <c r="C149" s="3" t="s">
        <v>54</v>
      </c>
      <c r="D149" s="3" t="s">
        <v>18</v>
      </c>
      <c r="E149" s="6">
        <v>44794</v>
      </c>
      <c r="F149" s="3" t="s">
        <v>14</v>
      </c>
      <c r="G149" s="3">
        <v>7247</v>
      </c>
      <c r="H149" s="3">
        <v>6919</v>
      </c>
      <c r="I149" s="3">
        <v>2.27</v>
      </c>
      <c r="J149" s="3">
        <v>109</v>
      </c>
      <c r="K149" s="15">
        <f ca="1">IF(F149="Enrolled",TODAY()-E149,"0")</f>
        <v>1260</v>
      </c>
      <c r="L149" s="3" t="str">
        <f>IF(I149&gt;=3.5,"Excellent",IF(I149&gt;=3,"Good",IF(I149&gt;=2,"Average","Poor")))</f>
        <v>Average</v>
      </c>
      <c r="M149" s="3" t="str">
        <v>Dr.Roy</v>
      </c>
      <c r="N149" s="3" t="str">
        <f>IF(H149 &gt; (G149*50%), "Yes", "No")</f>
        <v>Yes</v>
      </c>
      <c r="O149" s="16">
        <f>G149-H149</f>
        <v>328</v>
      </c>
      <c r="P149" s="16">
        <f>SUMIFS(O149:O149,E149:E149,"Science",F149:F149,"Completed")</f>
        <v>0</v>
      </c>
      <c r="Q149" s="3" t="str">
        <f>IF(MONTH(E149)&gt;=7, YEAR(E149)&amp;"-"&amp;YEAR(E149)+1, YEAR(E149)-1&amp;"-"&amp;YEAR(E149))</f>
        <v>2022-2023</v>
      </c>
      <c r="R149" s="3"/>
      <c r="S149" s="3"/>
      <c r="T149" s="15" t="str">
        <f t="shared" ca="1" si="2"/>
        <v>0</v>
      </c>
      <c r="U149" s="3"/>
    </row>
    <row r="150" spans="1:21" x14ac:dyDescent="0.35">
      <c r="A150" s="3" t="s">
        <v>321</v>
      </c>
      <c r="B150" s="3" t="s">
        <v>322</v>
      </c>
      <c r="C150" s="3" t="s">
        <v>36</v>
      </c>
      <c r="D150" s="3" t="s">
        <v>62</v>
      </c>
      <c r="E150" s="6">
        <v>45138</v>
      </c>
      <c r="F150" s="3" t="s">
        <v>14</v>
      </c>
      <c r="G150" s="3">
        <v>8141</v>
      </c>
      <c r="H150" s="3">
        <v>427</v>
      </c>
      <c r="I150" s="3">
        <v>2.17</v>
      </c>
      <c r="J150" s="3">
        <v>113</v>
      </c>
      <c r="K150" s="15">
        <f ca="1">IF(F150="Enrolled",TODAY()-E150,"0")</f>
        <v>916</v>
      </c>
      <c r="L150" s="3" t="str">
        <f>IF(I150&gt;=3.5,"Excellent",IF(I150&gt;=3,"Good",IF(I150&gt;=2,"Average","Poor")))</f>
        <v>Average</v>
      </c>
      <c r="M150" s="3" t="str">
        <v>Dr.Sinha</v>
      </c>
      <c r="N150" s="3" t="str">
        <f>IF(H150 &gt; (G150*50%), "Yes", "No")</f>
        <v>No</v>
      </c>
      <c r="O150" s="16">
        <f>G150-H150</f>
        <v>7714</v>
      </c>
      <c r="P150" s="16">
        <f>SUMIFS(O150:O150,E150:E150,"Science",F150:F150,"Completed")</f>
        <v>0</v>
      </c>
      <c r="Q150" s="3" t="str">
        <f>IF(MONTH(E150)&gt;=7, YEAR(E150)&amp;"-"&amp;YEAR(E150)+1, YEAR(E150)-1&amp;"-"&amp;YEAR(E150))</f>
        <v>2023-2024</v>
      </c>
      <c r="R150" s="3"/>
      <c r="S150" s="3"/>
      <c r="T150" s="15" t="str">
        <f t="shared" ca="1" si="2"/>
        <v>0</v>
      </c>
      <c r="U150" s="3"/>
    </row>
    <row r="151" spans="1:21" x14ac:dyDescent="0.35">
      <c r="A151" s="3" t="s">
        <v>323</v>
      </c>
      <c r="B151" s="3" t="s">
        <v>324</v>
      </c>
      <c r="C151" s="3" t="s">
        <v>54</v>
      </c>
      <c r="D151" s="3" t="s">
        <v>62</v>
      </c>
      <c r="E151" s="6">
        <v>44696</v>
      </c>
      <c r="F151" s="3" t="s">
        <v>14</v>
      </c>
      <c r="G151" s="3">
        <v>9809</v>
      </c>
      <c r="H151" s="3">
        <v>8641</v>
      </c>
      <c r="I151" s="3">
        <v>2.4</v>
      </c>
      <c r="J151" s="3">
        <v>87</v>
      </c>
      <c r="K151" s="15">
        <f ca="1">IF(F151="Enrolled",TODAY()-E151,"0")</f>
        <v>1358</v>
      </c>
      <c r="L151" s="3" t="str">
        <f>IF(I151&gt;=3.5,"Excellent",IF(I151&gt;=3,"Good",IF(I151&gt;=2,"Average","Poor")))</f>
        <v>Average</v>
      </c>
      <c r="M151" s="3" t="str">
        <v>Dr.Sinha</v>
      </c>
      <c r="N151" s="3" t="str">
        <f>IF(H151 &gt; (G151*50%), "Yes", "No")</f>
        <v>Yes</v>
      </c>
      <c r="O151" s="16">
        <f>G151-H151</f>
        <v>1168</v>
      </c>
      <c r="P151" s="16">
        <f>SUMIFS(O151:O151,E151:E151,"Science",F151:F151,"Completed")</f>
        <v>0</v>
      </c>
      <c r="Q151" s="3" t="str">
        <f>IF(MONTH(E151)&gt;=7, YEAR(E151)&amp;"-"&amp;YEAR(E151)+1, YEAR(E151)-1&amp;"-"&amp;YEAR(E151))</f>
        <v>2021-2022</v>
      </c>
      <c r="R151" s="3"/>
      <c r="S151" s="3"/>
      <c r="T151" s="15" t="str">
        <f t="shared" ca="1" si="2"/>
        <v>0</v>
      </c>
      <c r="U151" s="3"/>
    </row>
    <row r="152" spans="1:21" x14ac:dyDescent="0.35">
      <c r="A152" s="3" t="s">
        <v>325</v>
      </c>
      <c r="B152" s="3" t="s">
        <v>326</v>
      </c>
      <c r="C152" s="3" t="s">
        <v>17</v>
      </c>
      <c r="D152" s="3" t="s">
        <v>18</v>
      </c>
      <c r="E152" s="6">
        <v>44838</v>
      </c>
      <c r="F152" s="3" t="s">
        <v>14</v>
      </c>
      <c r="G152" s="3">
        <v>10454</v>
      </c>
      <c r="H152" s="3">
        <v>3317</v>
      </c>
      <c r="I152" s="3">
        <v>2.06</v>
      </c>
      <c r="J152" s="3">
        <v>29</v>
      </c>
      <c r="K152" s="15">
        <f ca="1">IF(F152="Enrolled",TODAY()-E152,"0")</f>
        <v>1216</v>
      </c>
      <c r="L152" s="3" t="str">
        <f>IF(I152&gt;=3.5,"Excellent",IF(I152&gt;=3,"Good",IF(I152&gt;=2,"Average","Poor")))</f>
        <v>Average</v>
      </c>
      <c r="M152" s="3" t="str">
        <v>Dr.Roy</v>
      </c>
      <c r="N152" s="3" t="str">
        <f>IF(H152 &gt; (G152*50%), "Yes", "No")</f>
        <v>No</v>
      </c>
      <c r="O152" s="16">
        <f>G152-H152</f>
        <v>7137</v>
      </c>
      <c r="P152" s="16">
        <f>SUMIFS(O152:O152,E152:E152,"Science",F152:F152,"Completed")</f>
        <v>0</v>
      </c>
      <c r="Q152" s="3" t="str">
        <f>IF(MONTH(E152)&gt;=7, YEAR(E152)&amp;"-"&amp;YEAR(E152)+1, YEAR(E152)-1&amp;"-"&amp;YEAR(E152))</f>
        <v>2022-2023</v>
      </c>
      <c r="R152" s="3"/>
      <c r="S152" s="3"/>
      <c r="T152" s="15" t="str">
        <f t="shared" ca="1" si="2"/>
        <v>0</v>
      </c>
      <c r="U152" s="3"/>
    </row>
    <row r="153" spans="1:21" x14ac:dyDescent="0.35">
      <c r="A153" s="3" t="s">
        <v>327</v>
      </c>
      <c r="B153" s="3" t="s">
        <v>328</v>
      </c>
      <c r="C153" s="3" t="s">
        <v>54</v>
      </c>
      <c r="D153" s="3" t="s">
        <v>18</v>
      </c>
      <c r="E153" s="6">
        <v>45164</v>
      </c>
      <c r="F153" s="3" t="s">
        <v>14</v>
      </c>
      <c r="G153" s="3">
        <v>10121</v>
      </c>
      <c r="H153" s="3">
        <v>466</v>
      </c>
      <c r="I153" s="3">
        <v>2.3199999999999998</v>
      </c>
      <c r="J153" s="3">
        <v>90</v>
      </c>
      <c r="K153" s="15">
        <f ca="1">IF(F153="Enrolled",TODAY()-E153,"0")</f>
        <v>890</v>
      </c>
      <c r="L153" s="3" t="str">
        <f>IF(I153&gt;=3.5,"Excellent",IF(I153&gt;=3,"Good",IF(I153&gt;=2,"Average","Poor")))</f>
        <v>Average</v>
      </c>
      <c r="M153" s="3" t="str">
        <v>Dr.Roy</v>
      </c>
      <c r="N153" s="3" t="str">
        <f>IF(H153 &gt; (G153*50%), "Yes", "No")</f>
        <v>No</v>
      </c>
      <c r="O153" s="16">
        <f>G153-H153</f>
        <v>9655</v>
      </c>
      <c r="P153" s="16">
        <f>SUMIFS(O153:O153,E153:E153,"Science",F153:F153,"Completed")</f>
        <v>0</v>
      </c>
      <c r="Q153" s="3" t="str">
        <f>IF(MONTH(E153)&gt;=7, YEAR(E153)&amp;"-"&amp;YEAR(E153)+1, YEAR(E153)-1&amp;"-"&amp;YEAR(E153))</f>
        <v>2023-2024</v>
      </c>
      <c r="R153" s="3"/>
      <c r="S153" s="3"/>
      <c r="T153" s="15" t="str">
        <f t="shared" ca="1" si="2"/>
        <v>0</v>
      </c>
      <c r="U153" s="3"/>
    </row>
    <row r="154" spans="1:21" x14ac:dyDescent="0.35">
      <c r="A154" s="3" t="s">
        <v>329</v>
      </c>
      <c r="B154" s="3" t="s">
        <v>330</v>
      </c>
      <c r="C154" s="3" t="s">
        <v>36</v>
      </c>
      <c r="D154" s="3" t="s">
        <v>31</v>
      </c>
      <c r="E154" s="6">
        <v>45440</v>
      </c>
      <c r="F154" s="3" t="s">
        <v>14</v>
      </c>
      <c r="G154" s="3">
        <v>4736</v>
      </c>
      <c r="H154" s="3">
        <v>3962</v>
      </c>
      <c r="I154" s="3">
        <v>3.01</v>
      </c>
      <c r="J154" s="3">
        <v>17</v>
      </c>
      <c r="K154" s="15">
        <f ca="1">IF(F154="Enrolled",TODAY()-E154,"0")</f>
        <v>614</v>
      </c>
      <c r="L154" s="3" t="str">
        <f>IF(I154&gt;=3.5,"Excellent",IF(I154&gt;=3,"Good",IF(I154&gt;=2,"Average","Poor")))</f>
        <v>Good</v>
      </c>
      <c r="M154" s="3" t="str">
        <v>Dr.Sharma</v>
      </c>
      <c r="N154" s="3" t="str">
        <f>IF(H154 &gt; (G154*50%), "Yes", "No")</f>
        <v>Yes</v>
      </c>
      <c r="O154" s="16">
        <f>G154-H154</f>
        <v>774</v>
      </c>
      <c r="P154" s="16">
        <f>SUMIFS(O154:O154,E154:E154,"Science",F154:F154,"Completed")</f>
        <v>0</v>
      </c>
      <c r="Q154" s="3" t="str">
        <f>IF(MONTH(E154)&gt;=7, YEAR(E154)&amp;"-"&amp;YEAR(E154)+1, YEAR(E154)-1&amp;"-"&amp;YEAR(E154))</f>
        <v>2023-2024</v>
      </c>
      <c r="R154" s="3"/>
      <c r="S154" s="3"/>
      <c r="T154" s="15" t="str">
        <f t="shared" ca="1" si="2"/>
        <v>0</v>
      </c>
      <c r="U154" s="3"/>
    </row>
    <row r="155" spans="1:21" x14ac:dyDescent="0.35">
      <c r="A155" s="3" t="s">
        <v>331</v>
      </c>
      <c r="B155" s="3" t="s">
        <v>332</v>
      </c>
      <c r="C155" s="3" t="s">
        <v>28</v>
      </c>
      <c r="D155" s="3" t="s">
        <v>31</v>
      </c>
      <c r="E155" s="6">
        <v>44618</v>
      </c>
      <c r="F155" s="3" t="s">
        <v>39</v>
      </c>
      <c r="G155" s="3">
        <v>9014</v>
      </c>
      <c r="H155" s="3">
        <v>3013</v>
      </c>
      <c r="I155" s="3">
        <v>2.99</v>
      </c>
      <c r="J155" s="3">
        <v>45</v>
      </c>
      <c r="K155" s="15" t="str">
        <f ca="1">IF(F155="Enrolled",TODAY()-E155,"0")</f>
        <v>0</v>
      </c>
      <c r="L155" s="3" t="str">
        <f>IF(I155&gt;=3.5,"Excellent",IF(I155&gt;=3,"Good",IF(I155&gt;=2,"Average","Poor")))</f>
        <v>Average</v>
      </c>
      <c r="M155" s="3" t="str">
        <v>Dr.Sharma</v>
      </c>
      <c r="N155" s="3" t="str">
        <f>IF(H155 &gt; (G155*50%), "Yes", "No")</f>
        <v>No</v>
      </c>
      <c r="O155" s="16">
        <f>G155-H155</f>
        <v>6001</v>
      </c>
      <c r="P155" s="16">
        <f>SUMIFS(O155:O155,E155:E155,"Science",F155:F155,"Completed")</f>
        <v>0</v>
      </c>
      <c r="Q155" s="3" t="str">
        <f>IF(MONTH(E155)&gt;=7, YEAR(E155)&amp;"-"&amp;YEAR(E155)+1, YEAR(E155)-1&amp;"-"&amp;YEAR(E155))</f>
        <v>2021-2022</v>
      </c>
      <c r="R155" s="3"/>
      <c r="S155" s="3"/>
      <c r="T155" s="15" t="str">
        <f t="shared" ca="1" si="2"/>
        <v>0</v>
      </c>
      <c r="U155" s="3"/>
    </row>
    <row r="156" spans="1:21" x14ac:dyDescent="0.35">
      <c r="A156" s="3" t="s">
        <v>333</v>
      </c>
      <c r="B156" s="3" t="s">
        <v>334</v>
      </c>
      <c r="C156" s="3" t="s">
        <v>12</v>
      </c>
      <c r="D156" s="3" t="s">
        <v>18</v>
      </c>
      <c r="E156" s="6">
        <v>45459</v>
      </c>
      <c r="F156" s="3" t="s">
        <v>14</v>
      </c>
      <c r="G156" s="3">
        <v>2715</v>
      </c>
      <c r="H156" s="3">
        <v>5649</v>
      </c>
      <c r="I156" s="3">
        <v>3.53</v>
      </c>
      <c r="J156" s="3">
        <v>0</v>
      </c>
      <c r="K156" s="15">
        <f ca="1">IF(F156="Enrolled",TODAY()-E156,"0")</f>
        <v>595</v>
      </c>
      <c r="L156" s="3" t="str">
        <f>IF(I156&gt;=3.5,"Excellent",IF(I156&gt;=3,"Good",IF(I156&gt;=2,"Average","Poor")))</f>
        <v>Excellent</v>
      </c>
      <c r="M156" s="3" t="str">
        <v>Dr.Roy</v>
      </c>
      <c r="N156" s="3" t="str">
        <f>IF(H156 &gt; (G156*50%), "Yes", "No")</f>
        <v>Yes</v>
      </c>
      <c r="O156" s="16">
        <f>G156-H156</f>
        <v>-2934</v>
      </c>
      <c r="P156" s="16">
        <f>SUMIFS(O156:O156,E156:E156,"Science",F156:F156,"Completed")</f>
        <v>0</v>
      </c>
      <c r="Q156" s="3" t="str">
        <f>IF(MONTH(E156)&gt;=7, YEAR(E156)&amp;"-"&amp;YEAR(E156)+1, YEAR(E156)-1&amp;"-"&amp;YEAR(E156))</f>
        <v>2023-2024</v>
      </c>
      <c r="R156" s="3"/>
      <c r="S156" s="3"/>
      <c r="T156" s="15" t="str">
        <f t="shared" ca="1" si="2"/>
        <v>0</v>
      </c>
      <c r="U156" s="3"/>
    </row>
    <row r="157" spans="1:21" x14ac:dyDescent="0.35">
      <c r="A157" s="3" t="s">
        <v>335</v>
      </c>
      <c r="B157" s="3" t="s">
        <v>336</v>
      </c>
      <c r="C157" s="3" t="s">
        <v>12</v>
      </c>
      <c r="D157" s="3" t="s">
        <v>18</v>
      </c>
      <c r="E157" s="6">
        <v>45000</v>
      </c>
      <c r="F157" s="3" t="s">
        <v>14</v>
      </c>
      <c r="G157" s="3">
        <v>13742</v>
      </c>
      <c r="H157" s="3">
        <v>7678</v>
      </c>
      <c r="I157" s="3">
        <v>2.35</v>
      </c>
      <c r="J157" s="3">
        <v>38</v>
      </c>
      <c r="K157" s="15">
        <f ca="1">IF(F157="Enrolled",TODAY()-E157,"0")</f>
        <v>1054</v>
      </c>
      <c r="L157" s="3" t="str">
        <f>IF(I157&gt;=3.5,"Excellent",IF(I157&gt;=3,"Good",IF(I157&gt;=2,"Average","Poor")))</f>
        <v>Average</v>
      </c>
      <c r="M157" s="3" t="str">
        <v>Dr.Roy</v>
      </c>
      <c r="N157" s="3" t="str">
        <f>IF(H157 &gt; (G157*50%), "Yes", "No")</f>
        <v>Yes</v>
      </c>
      <c r="O157" s="16">
        <f>G157-H157</f>
        <v>6064</v>
      </c>
      <c r="P157" s="16">
        <f>SUMIFS(O157:O157,E157:E157,"Science",F157:F157,"Completed")</f>
        <v>0</v>
      </c>
      <c r="Q157" s="3" t="str">
        <f>IF(MONTH(E157)&gt;=7, YEAR(E157)&amp;"-"&amp;YEAR(E157)+1, YEAR(E157)-1&amp;"-"&amp;YEAR(E157))</f>
        <v>2022-2023</v>
      </c>
      <c r="R157" s="3"/>
      <c r="S157" s="3"/>
      <c r="T157" s="15" t="str">
        <f t="shared" ca="1" si="2"/>
        <v>0</v>
      </c>
      <c r="U157" s="3"/>
    </row>
    <row r="158" spans="1:21" x14ac:dyDescent="0.35">
      <c r="A158" s="3" t="s">
        <v>337</v>
      </c>
      <c r="B158" s="3" t="s">
        <v>338</v>
      </c>
      <c r="C158" s="3" t="s">
        <v>36</v>
      </c>
      <c r="D158" s="3" t="s">
        <v>62</v>
      </c>
      <c r="E158" s="6">
        <v>44693</v>
      </c>
      <c r="F158" s="3" t="s">
        <v>19</v>
      </c>
      <c r="G158" s="3">
        <v>3617</v>
      </c>
      <c r="H158" s="3">
        <v>3075</v>
      </c>
      <c r="I158" s="3">
        <v>2.81</v>
      </c>
      <c r="J158" s="3">
        <v>5</v>
      </c>
      <c r="K158" s="15" t="str">
        <f ca="1">IF(F158="Enrolled",TODAY()-E158,"0")</f>
        <v>0</v>
      </c>
      <c r="L158" s="3" t="str">
        <f>IF(I158&gt;=3.5,"Excellent",IF(I158&gt;=3,"Good",IF(I158&gt;=2,"Average","Poor")))</f>
        <v>Average</v>
      </c>
      <c r="M158" s="3" t="str">
        <v>Dr.Sinha</v>
      </c>
      <c r="N158" s="3" t="str">
        <f>IF(H158 &gt; (G158*50%), "Yes", "No")</f>
        <v>Yes</v>
      </c>
      <c r="O158" s="16">
        <f>G158-H158</f>
        <v>542</v>
      </c>
      <c r="P158" s="16">
        <f>SUMIFS(O158:O158,E158:E158,"Science",F158:F158,"Completed")</f>
        <v>0</v>
      </c>
      <c r="Q158" s="3" t="str">
        <f>IF(MONTH(E158)&gt;=7, YEAR(E158)&amp;"-"&amp;YEAR(E158)+1, YEAR(E158)-1&amp;"-"&amp;YEAR(E158))</f>
        <v>2021-2022</v>
      </c>
      <c r="R158" s="3"/>
      <c r="S158" s="3"/>
      <c r="T158" s="15">
        <f t="shared" ca="1" si="2"/>
        <v>1361</v>
      </c>
      <c r="U158" s="3"/>
    </row>
    <row r="159" spans="1:21" x14ac:dyDescent="0.35">
      <c r="A159" s="3" t="s">
        <v>339</v>
      </c>
      <c r="B159" s="3" t="s">
        <v>340</v>
      </c>
      <c r="C159" s="3" t="s">
        <v>12</v>
      </c>
      <c r="D159" s="3" t="s">
        <v>31</v>
      </c>
      <c r="E159" s="6">
        <v>44706</v>
      </c>
      <c r="F159" s="3" t="s">
        <v>19</v>
      </c>
      <c r="G159" s="3">
        <v>13091</v>
      </c>
      <c r="H159" s="3">
        <v>8135</v>
      </c>
      <c r="I159" s="3">
        <v>3.49</v>
      </c>
      <c r="J159" s="3">
        <v>0</v>
      </c>
      <c r="K159" s="15" t="str">
        <f ca="1">IF(F159="Enrolled",TODAY()-E159,"0")</f>
        <v>0</v>
      </c>
      <c r="L159" s="3" t="str">
        <f>IF(I159&gt;=3.5,"Excellent",IF(I159&gt;=3,"Good",IF(I159&gt;=2,"Average","Poor")))</f>
        <v>Good</v>
      </c>
      <c r="M159" s="3" t="str">
        <v>Dr.Sharma</v>
      </c>
      <c r="N159" s="3" t="str">
        <f>IF(H159 &gt; (G159*50%), "Yes", "No")</f>
        <v>Yes</v>
      </c>
      <c r="O159" s="16">
        <f>G159-H159</f>
        <v>4956</v>
      </c>
      <c r="P159" s="16">
        <f>SUMIFS(O159:O159,E159:E159,"Science",F159:F159,"Completed")</f>
        <v>0</v>
      </c>
      <c r="Q159" s="3" t="str">
        <f>IF(MONTH(E159)&gt;=7, YEAR(E159)&amp;"-"&amp;YEAR(E159)+1, YEAR(E159)-1&amp;"-"&amp;YEAR(E159))</f>
        <v>2021-2022</v>
      </c>
      <c r="R159" s="3"/>
      <c r="S159" s="3"/>
      <c r="T159" s="15">
        <f t="shared" ca="1" si="2"/>
        <v>1348</v>
      </c>
      <c r="U159" s="3"/>
    </row>
    <row r="160" spans="1:21" x14ac:dyDescent="0.35">
      <c r="A160" s="3" t="s">
        <v>341</v>
      </c>
      <c r="B160" s="3" t="s">
        <v>342</v>
      </c>
      <c r="C160" s="3" t="s">
        <v>28</v>
      </c>
      <c r="D160" s="3" t="s">
        <v>18</v>
      </c>
      <c r="E160" s="6">
        <v>45348</v>
      </c>
      <c r="F160" s="3" t="s">
        <v>39</v>
      </c>
      <c r="G160" s="3">
        <v>11936</v>
      </c>
      <c r="H160" s="3">
        <v>8739</v>
      </c>
      <c r="I160" s="3">
        <v>2.5299999999999998</v>
      </c>
      <c r="J160" s="3">
        <v>93</v>
      </c>
      <c r="K160" s="15" t="str">
        <f ca="1">IF(F160="Enrolled",TODAY()-E160,"0")</f>
        <v>0</v>
      </c>
      <c r="L160" s="3" t="str">
        <f>IF(I160&gt;=3.5,"Excellent",IF(I160&gt;=3,"Good",IF(I160&gt;=2,"Average","Poor")))</f>
        <v>Average</v>
      </c>
      <c r="M160" s="3" t="str">
        <v>Dr.Roy</v>
      </c>
      <c r="N160" s="3" t="str">
        <f>IF(H160 &gt; (G160*50%), "Yes", "No")</f>
        <v>Yes</v>
      </c>
      <c r="O160" s="16">
        <f>G160-H160</f>
        <v>3197</v>
      </c>
      <c r="P160" s="16">
        <f>SUMIFS(O160:O160,E160:E160,"Science",F160:F160,"Completed")</f>
        <v>0</v>
      </c>
      <c r="Q160" s="3" t="str">
        <f>IF(MONTH(E160)&gt;=7, YEAR(E160)&amp;"-"&amp;YEAR(E160)+1, YEAR(E160)-1&amp;"-"&amp;YEAR(E160))</f>
        <v>2023-2024</v>
      </c>
      <c r="R160" s="3"/>
      <c r="S160" s="3"/>
      <c r="T160" s="15" t="str">
        <f t="shared" ca="1" si="2"/>
        <v>0</v>
      </c>
      <c r="U160" s="3"/>
    </row>
    <row r="161" spans="1:21" x14ac:dyDescent="0.35">
      <c r="A161" s="3" t="s">
        <v>343</v>
      </c>
      <c r="B161" s="3" t="s">
        <v>344</v>
      </c>
      <c r="C161" s="3" t="s">
        <v>12</v>
      </c>
      <c r="D161" s="3" t="s">
        <v>13</v>
      </c>
      <c r="E161" s="6">
        <v>44605</v>
      </c>
      <c r="F161" s="3" t="s">
        <v>14</v>
      </c>
      <c r="G161" s="3">
        <v>14162</v>
      </c>
      <c r="H161" s="3">
        <v>7133</v>
      </c>
      <c r="I161" s="3">
        <v>3.75</v>
      </c>
      <c r="J161" s="3">
        <v>115</v>
      </c>
      <c r="K161" s="15">
        <f ca="1">IF(F161="Enrolled",TODAY()-E161,"0")</f>
        <v>1449</v>
      </c>
      <c r="L161" s="3" t="str">
        <f>IF(I161&gt;=3.5,"Excellent",IF(I161&gt;=3,"Good",IF(I161&gt;=2,"Average","Poor")))</f>
        <v>Excellent</v>
      </c>
      <c r="M161" s="3" t="str">
        <v>Dr.Mehta</v>
      </c>
      <c r="N161" s="3" t="str">
        <f>IF(H161 &gt; (G161*50%), "Yes", "No")</f>
        <v>Yes</v>
      </c>
      <c r="O161" s="16">
        <f>G161-H161</f>
        <v>7029</v>
      </c>
      <c r="P161" s="16">
        <f>SUMIFS(O161:O161,E161:E161,"Science",F161:F161,"Completed")</f>
        <v>0</v>
      </c>
      <c r="Q161" s="3" t="str">
        <f>IF(MONTH(E161)&gt;=7, YEAR(E161)&amp;"-"&amp;YEAR(E161)+1, YEAR(E161)-1&amp;"-"&amp;YEAR(E161))</f>
        <v>2021-2022</v>
      </c>
      <c r="R161" s="3"/>
      <c r="S161" s="3"/>
      <c r="T161" s="15" t="str">
        <f t="shared" ca="1" si="2"/>
        <v>0</v>
      </c>
      <c r="U161" s="3"/>
    </row>
    <row r="162" spans="1:21" x14ac:dyDescent="0.35">
      <c r="A162" s="3" t="s">
        <v>345</v>
      </c>
      <c r="B162" s="3" t="s">
        <v>346</v>
      </c>
      <c r="C162" s="3" t="s">
        <v>28</v>
      </c>
      <c r="D162" s="3" t="s">
        <v>13</v>
      </c>
      <c r="E162" s="6">
        <v>44579</v>
      </c>
      <c r="F162" s="3" t="s">
        <v>14</v>
      </c>
      <c r="G162" s="3">
        <v>12730</v>
      </c>
      <c r="H162" s="3">
        <v>8258</v>
      </c>
      <c r="I162" s="3">
        <v>3.22</v>
      </c>
      <c r="J162" s="3">
        <v>99</v>
      </c>
      <c r="K162" s="15">
        <f ca="1">IF(F162="Enrolled",TODAY()-E162,"0")</f>
        <v>1475</v>
      </c>
      <c r="L162" s="3" t="str">
        <f>IF(I162&gt;=3.5,"Excellent",IF(I162&gt;=3,"Good",IF(I162&gt;=2,"Average","Poor")))</f>
        <v>Good</v>
      </c>
      <c r="M162" s="3" t="str">
        <v>Dr.Mehta</v>
      </c>
      <c r="N162" s="3" t="str">
        <f>IF(H162 &gt; (G162*50%), "Yes", "No")</f>
        <v>Yes</v>
      </c>
      <c r="O162" s="16">
        <f>G162-H162</f>
        <v>4472</v>
      </c>
      <c r="P162" s="16">
        <f>SUMIFS(O162:O162,E162:E162,"Science",F162:F162,"Completed")</f>
        <v>0</v>
      </c>
      <c r="Q162" s="3" t="str">
        <f>IF(MONTH(E162)&gt;=7, YEAR(E162)&amp;"-"&amp;YEAR(E162)+1, YEAR(E162)-1&amp;"-"&amp;YEAR(E162))</f>
        <v>2021-2022</v>
      </c>
      <c r="R162" s="3"/>
      <c r="S162" s="3"/>
      <c r="T162" s="15" t="str">
        <f t="shared" ca="1" si="2"/>
        <v>0</v>
      </c>
      <c r="U162" s="3"/>
    </row>
    <row r="163" spans="1:21" x14ac:dyDescent="0.35">
      <c r="A163" s="3" t="s">
        <v>347</v>
      </c>
      <c r="B163" s="3" t="s">
        <v>348</v>
      </c>
      <c r="C163" s="3" t="s">
        <v>57</v>
      </c>
      <c r="D163" s="3" t="s">
        <v>18</v>
      </c>
      <c r="E163" s="6">
        <v>45213</v>
      </c>
      <c r="F163" s="3" t="s">
        <v>19</v>
      </c>
      <c r="G163" s="3">
        <v>12837</v>
      </c>
      <c r="H163" s="3">
        <v>3765</v>
      </c>
      <c r="I163" s="3">
        <v>3.52</v>
      </c>
      <c r="J163" s="3">
        <v>105</v>
      </c>
      <c r="K163" s="15" t="str">
        <f ca="1">IF(F163="Enrolled",TODAY()-E163,"0")</f>
        <v>0</v>
      </c>
      <c r="L163" s="3" t="str">
        <f>IF(I163&gt;=3.5,"Excellent",IF(I163&gt;=3,"Good",IF(I163&gt;=2,"Average","Poor")))</f>
        <v>Excellent</v>
      </c>
      <c r="M163" s="3" t="str">
        <v>Dr.Roy</v>
      </c>
      <c r="N163" s="3" t="str">
        <f>IF(H163 &gt; (G163*50%), "Yes", "No")</f>
        <v>No</v>
      </c>
      <c r="O163" s="16">
        <f>G163-H163</f>
        <v>9072</v>
      </c>
      <c r="P163" s="16">
        <f>SUMIFS(O163:O163,E163:E163,"Science",F163:F163,"Completed")</f>
        <v>0</v>
      </c>
      <c r="Q163" s="3" t="str">
        <f>IF(MONTH(E163)&gt;=7, YEAR(E163)&amp;"-"&amp;YEAR(E163)+1, YEAR(E163)-1&amp;"-"&amp;YEAR(E163))</f>
        <v>2023-2024</v>
      </c>
      <c r="R163" s="3"/>
      <c r="S163" s="3"/>
      <c r="T163" s="15">
        <f t="shared" ca="1" si="2"/>
        <v>841</v>
      </c>
      <c r="U163" s="3"/>
    </row>
    <row r="164" spans="1:21" x14ac:dyDescent="0.35">
      <c r="A164" s="3" t="s">
        <v>349</v>
      </c>
      <c r="B164" s="3" t="s">
        <v>350</v>
      </c>
      <c r="C164" s="3" t="s">
        <v>28</v>
      </c>
      <c r="D164" s="3" t="s">
        <v>31</v>
      </c>
      <c r="E164" s="6">
        <v>45025</v>
      </c>
      <c r="F164" s="3" t="s">
        <v>39</v>
      </c>
      <c r="G164" s="3">
        <v>6301</v>
      </c>
      <c r="H164" s="3">
        <v>527</v>
      </c>
      <c r="I164" s="3">
        <v>3.23</v>
      </c>
      <c r="J164" s="3">
        <v>117</v>
      </c>
      <c r="K164" s="15" t="str">
        <f ca="1">IF(F164="Enrolled",TODAY()-E164,"0")</f>
        <v>0</v>
      </c>
      <c r="L164" s="3" t="str">
        <f>IF(I164&gt;=3.5,"Excellent",IF(I164&gt;=3,"Good",IF(I164&gt;=2,"Average","Poor")))</f>
        <v>Good</v>
      </c>
      <c r="M164" s="3" t="str">
        <v>Dr.Sharma</v>
      </c>
      <c r="N164" s="3" t="str">
        <f>IF(H164 &gt; (G164*50%), "Yes", "No")</f>
        <v>No</v>
      </c>
      <c r="O164" s="16">
        <f>G164-H164</f>
        <v>5774</v>
      </c>
      <c r="P164" s="16">
        <f>SUMIFS(O164:O164,E164:E164,"Science",F164:F164,"Completed")</f>
        <v>0</v>
      </c>
      <c r="Q164" s="3" t="str">
        <f>IF(MONTH(E164)&gt;=7, YEAR(E164)&amp;"-"&amp;YEAR(E164)+1, YEAR(E164)-1&amp;"-"&amp;YEAR(E164))</f>
        <v>2022-2023</v>
      </c>
      <c r="R164" s="3"/>
      <c r="S164" s="3"/>
      <c r="T164" s="15" t="str">
        <f t="shared" ca="1" si="2"/>
        <v>0</v>
      </c>
      <c r="U164" s="3"/>
    </row>
    <row r="165" spans="1:21" x14ac:dyDescent="0.35">
      <c r="A165" s="3" t="s">
        <v>351</v>
      </c>
      <c r="B165" s="3" t="s">
        <v>352</v>
      </c>
      <c r="C165" s="3" t="s">
        <v>36</v>
      </c>
      <c r="D165" s="3" t="s">
        <v>31</v>
      </c>
      <c r="E165" s="6">
        <v>44706</v>
      </c>
      <c r="F165" s="3" t="s">
        <v>14</v>
      </c>
      <c r="G165" s="3">
        <v>12857</v>
      </c>
      <c r="H165" s="3">
        <v>2010</v>
      </c>
      <c r="I165" s="3">
        <v>2.76</v>
      </c>
      <c r="J165" s="3">
        <v>4</v>
      </c>
      <c r="K165" s="15">
        <f ca="1">IF(F165="Enrolled",TODAY()-E165,"0")</f>
        <v>1348</v>
      </c>
      <c r="L165" s="3" t="str">
        <f>IF(I165&gt;=3.5,"Excellent",IF(I165&gt;=3,"Good",IF(I165&gt;=2,"Average","Poor")))</f>
        <v>Average</v>
      </c>
      <c r="M165" s="3" t="str">
        <v>Dr.Sharma</v>
      </c>
      <c r="N165" s="3" t="str">
        <f>IF(H165 &gt; (G165*50%), "Yes", "No")</f>
        <v>No</v>
      </c>
      <c r="O165" s="16">
        <f>G165-H165</f>
        <v>10847</v>
      </c>
      <c r="P165" s="16">
        <f>SUMIFS(O165:O165,E165:E165,"Science",F165:F165,"Completed")</f>
        <v>0</v>
      </c>
      <c r="Q165" s="3" t="str">
        <f>IF(MONTH(E165)&gt;=7, YEAR(E165)&amp;"-"&amp;YEAR(E165)+1, YEAR(E165)-1&amp;"-"&amp;YEAR(E165))</f>
        <v>2021-2022</v>
      </c>
      <c r="R165" s="3"/>
      <c r="S165" s="3"/>
      <c r="T165" s="15" t="str">
        <f t="shared" ca="1" si="2"/>
        <v>0</v>
      </c>
      <c r="U165" s="3"/>
    </row>
    <row r="166" spans="1:21" x14ac:dyDescent="0.35">
      <c r="A166" s="3" t="s">
        <v>353</v>
      </c>
      <c r="B166" s="3" t="s">
        <v>354</v>
      </c>
      <c r="C166" s="3" t="s">
        <v>25</v>
      </c>
      <c r="D166" s="3" t="s">
        <v>13</v>
      </c>
      <c r="E166" s="6">
        <v>44803</v>
      </c>
      <c r="F166" s="3" t="s">
        <v>14</v>
      </c>
      <c r="G166" s="3">
        <v>10432</v>
      </c>
      <c r="H166" s="3">
        <v>8752</v>
      </c>
      <c r="I166" s="3">
        <v>3.08</v>
      </c>
      <c r="J166" s="3">
        <v>77</v>
      </c>
      <c r="K166" s="15">
        <f ca="1">IF(F166="Enrolled",TODAY()-E166,"0")</f>
        <v>1251</v>
      </c>
      <c r="L166" s="3" t="str">
        <f>IF(I166&gt;=3.5,"Excellent",IF(I166&gt;=3,"Good",IF(I166&gt;=2,"Average","Poor")))</f>
        <v>Good</v>
      </c>
      <c r="M166" s="3" t="str">
        <v>Dr.Mehta</v>
      </c>
      <c r="N166" s="3" t="str">
        <f>IF(H166 &gt; (G166*50%), "Yes", "No")</f>
        <v>Yes</v>
      </c>
      <c r="O166" s="16">
        <f>G166-H166</f>
        <v>1680</v>
      </c>
      <c r="P166" s="16">
        <f>SUMIFS(O166:O166,E166:E166,"Science",F166:F166,"Completed")</f>
        <v>0</v>
      </c>
      <c r="Q166" s="3" t="str">
        <f>IF(MONTH(E166)&gt;=7, YEAR(E166)&amp;"-"&amp;YEAR(E166)+1, YEAR(E166)-1&amp;"-"&amp;YEAR(E166))</f>
        <v>2022-2023</v>
      </c>
      <c r="R166" s="3"/>
      <c r="S166" s="3"/>
      <c r="T166" s="15" t="str">
        <f t="shared" ca="1" si="2"/>
        <v>0</v>
      </c>
      <c r="U166" s="3"/>
    </row>
    <row r="167" spans="1:21" x14ac:dyDescent="0.35">
      <c r="A167" s="3" t="s">
        <v>355</v>
      </c>
      <c r="B167" s="3" t="s">
        <v>356</v>
      </c>
      <c r="C167" s="3" t="s">
        <v>25</v>
      </c>
      <c r="D167" s="3" t="s">
        <v>18</v>
      </c>
      <c r="E167" s="6">
        <v>44838</v>
      </c>
      <c r="F167" s="3" t="s">
        <v>19</v>
      </c>
      <c r="G167" s="3">
        <v>11825</v>
      </c>
      <c r="H167" s="3">
        <v>9226</v>
      </c>
      <c r="I167" s="3">
        <v>3.93</v>
      </c>
      <c r="J167" s="3">
        <v>43</v>
      </c>
      <c r="K167" s="15" t="str">
        <f ca="1">IF(F167="Enrolled",TODAY()-E167,"0")</f>
        <v>0</v>
      </c>
      <c r="L167" s="3" t="str">
        <f>IF(I167&gt;=3.5,"Excellent",IF(I167&gt;=3,"Good",IF(I167&gt;=2,"Average","Poor")))</f>
        <v>Excellent</v>
      </c>
      <c r="M167" s="3" t="str">
        <v>Dr.Roy</v>
      </c>
      <c r="N167" s="3" t="str">
        <f>IF(H167 &gt; (G167*50%), "Yes", "No")</f>
        <v>Yes</v>
      </c>
      <c r="O167" s="16">
        <f>G167-H167</f>
        <v>2599</v>
      </c>
      <c r="P167" s="16">
        <f>SUMIFS(O167:O167,E167:E167,"Science",F167:F167,"Completed")</f>
        <v>0</v>
      </c>
      <c r="Q167" s="3" t="str">
        <f>IF(MONTH(E167)&gt;=7, YEAR(E167)&amp;"-"&amp;YEAR(E167)+1, YEAR(E167)-1&amp;"-"&amp;YEAR(E167))</f>
        <v>2022-2023</v>
      </c>
      <c r="R167" s="3"/>
      <c r="S167" s="3"/>
      <c r="T167" s="15">
        <f t="shared" ca="1" si="2"/>
        <v>1216</v>
      </c>
      <c r="U167" s="3"/>
    </row>
    <row r="168" spans="1:21" x14ac:dyDescent="0.35">
      <c r="A168" s="3" t="s">
        <v>357</v>
      </c>
      <c r="B168" s="3" t="s">
        <v>358</v>
      </c>
      <c r="C168" s="3" t="s">
        <v>17</v>
      </c>
      <c r="D168" s="3" t="s">
        <v>62</v>
      </c>
      <c r="E168" s="6">
        <v>45262</v>
      </c>
      <c r="F168" s="3" t="s">
        <v>14</v>
      </c>
      <c r="G168" s="3">
        <v>3474</v>
      </c>
      <c r="H168" s="3">
        <v>3909</v>
      </c>
      <c r="I168" s="3">
        <v>3.89</v>
      </c>
      <c r="J168" s="3">
        <v>111</v>
      </c>
      <c r="K168" s="15">
        <f ca="1">IF(F168="Enrolled",TODAY()-E168,"0")</f>
        <v>792</v>
      </c>
      <c r="L168" s="3" t="str">
        <f>IF(I168&gt;=3.5,"Excellent",IF(I168&gt;=3,"Good",IF(I168&gt;=2,"Average","Poor")))</f>
        <v>Excellent</v>
      </c>
      <c r="M168" s="3" t="str">
        <v>Dr.Sinha</v>
      </c>
      <c r="N168" s="3" t="str">
        <f>IF(H168 &gt; (G168*50%), "Yes", "No")</f>
        <v>Yes</v>
      </c>
      <c r="O168" s="16">
        <f>G168-H168</f>
        <v>-435</v>
      </c>
      <c r="P168" s="16">
        <f>SUMIFS(O168:O168,E168:E168,"Science",F168:F168,"Completed")</f>
        <v>0</v>
      </c>
      <c r="Q168" s="3" t="str">
        <f>IF(MONTH(E168)&gt;=7, YEAR(E168)&amp;"-"&amp;YEAR(E168)+1, YEAR(E168)-1&amp;"-"&amp;YEAR(E168))</f>
        <v>2023-2024</v>
      </c>
      <c r="R168" s="3"/>
      <c r="S168" s="3"/>
      <c r="T168" s="15" t="str">
        <f t="shared" ca="1" si="2"/>
        <v>0</v>
      </c>
      <c r="U168" s="3"/>
    </row>
    <row r="169" spans="1:21" x14ac:dyDescent="0.35">
      <c r="A169" s="3" t="s">
        <v>359</v>
      </c>
      <c r="B169" s="3" t="s">
        <v>360</v>
      </c>
      <c r="C169" s="3" t="s">
        <v>22</v>
      </c>
      <c r="D169" s="3" t="s">
        <v>13</v>
      </c>
      <c r="E169" s="6">
        <v>44583</v>
      </c>
      <c r="F169" s="3" t="s">
        <v>19</v>
      </c>
      <c r="G169" s="3">
        <v>14567</v>
      </c>
      <c r="H169" s="3">
        <v>6117</v>
      </c>
      <c r="I169" s="3">
        <v>2.2400000000000002</v>
      </c>
      <c r="J169" s="3">
        <v>9</v>
      </c>
      <c r="K169" s="15" t="str">
        <f ca="1">IF(F169="Enrolled",TODAY()-E169,"0")</f>
        <v>0</v>
      </c>
      <c r="L169" s="3" t="str">
        <f>IF(I169&gt;=3.5,"Excellent",IF(I169&gt;=3,"Good",IF(I169&gt;=2,"Average","Poor")))</f>
        <v>Average</v>
      </c>
      <c r="M169" s="3" t="str">
        <v>Dr.Mehta</v>
      </c>
      <c r="N169" s="3" t="str">
        <f>IF(H169 &gt; (G169*50%), "Yes", "No")</f>
        <v>No</v>
      </c>
      <c r="O169" s="16">
        <f>G169-H169</f>
        <v>8450</v>
      </c>
      <c r="P169" s="16">
        <f>SUMIFS(O169:O169,E169:E169,"Science",F169:F169,"Completed")</f>
        <v>0</v>
      </c>
      <c r="Q169" s="3" t="str">
        <f>IF(MONTH(E169)&gt;=7, YEAR(E169)&amp;"-"&amp;YEAR(E169)+1, YEAR(E169)-1&amp;"-"&amp;YEAR(E169))</f>
        <v>2021-2022</v>
      </c>
      <c r="R169" s="3"/>
      <c r="S169" s="3"/>
      <c r="T169" s="15">
        <f t="shared" ca="1" si="2"/>
        <v>1471</v>
      </c>
      <c r="U169" s="3"/>
    </row>
    <row r="170" spans="1:21" x14ac:dyDescent="0.35">
      <c r="A170" s="3" t="s">
        <v>361</v>
      </c>
      <c r="B170" s="3" t="s">
        <v>362</v>
      </c>
      <c r="C170" s="3" t="s">
        <v>54</v>
      </c>
      <c r="D170" s="3" t="s">
        <v>31</v>
      </c>
      <c r="E170" s="6">
        <v>44933</v>
      </c>
      <c r="F170" s="3" t="s">
        <v>14</v>
      </c>
      <c r="G170" s="3">
        <v>12381</v>
      </c>
      <c r="H170" s="3">
        <v>5712</v>
      </c>
      <c r="I170" s="3">
        <v>2.57</v>
      </c>
      <c r="J170" s="3">
        <v>104</v>
      </c>
      <c r="K170" s="15">
        <f ca="1">IF(F170="Enrolled",TODAY()-E170,"0")</f>
        <v>1121</v>
      </c>
      <c r="L170" s="3" t="str">
        <f>IF(I170&gt;=3.5,"Excellent",IF(I170&gt;=3,"Good",IF(I170&gt;=2,"Average","Poor")))</f>
        <v>Average</v>
      </c>
      <c r="M170" s="3" t="str">
        <v>Dr.Sharma</v>
      </c>
      <c r="N170" s="3" t="str">
        <f>IF(H170 &gt; (G170*50%), "Yes", "No")</f>
        <v>No</v>
      </c>
      <c r="O170" s="16">
        <f>G170-H170</f>
        <v>6669</v>
      </c>
      <c r="P170" s="16">
        <f>SUMIFS(O170:O170,E170:E170,"Science",F170:F170,"Completed")</f>
        <v>0</v>
      </c>
      <c r="Q170" s="3" t="str">
        <f>IF(MONTH(E170)&gt;=7, YEAR(E170)&amp;"-"&amp;YEAR(E170)+1, YEAR(E170)-1&amp;"-"&amp;YEAR(E170))</f>
        <v>2022-2023</v>
      </c>
      <c r="R170" s="3"/>
      <c r="S170" s="3"/>
      <c r="T170" s="15" t="str">
        <f t="shared" ca="1" si="2"/>
        <v>0</v>
      </c>
      <c r="U170" s="3"/>
    </row>
    <row r="171" spans="1:21" x14ac:dyDescent="0.35">
      <c r="A171" s="3" t="s">
        <v>363</v>
      </c>
      <c r="B171" s="3" t="s">
        <v>364</v>
      </c>
      <c r="C171" s="3" t="s">
        <v>17</v>
      </c>
      <c r="D171" s="3" t="s">
        <v>18</v>
      </c>
      <c r="E171" s="6">
        <v>45386</v>
      </c>
      <c r="F171" s="3" t="s">
        <v>14</v>
      </c>
      <c r="G171" s="3">
        <v>14324</v>
      </c>
      <c r="H171" s="3">
        <v>3842</v>
      </c>
      <c r="I171" s="3">
        <v>3.29</v>
      </c>
      <c r="J171" s="3">
        <v>36</v>
      </c>
      <c r="K171" s="15">
        <f ca="1">IF(F171="Enrolled",TODAY()-E171,"0")</f>
        <v>668</v>
      </c>
      <c r="L171" s="3" t="str">
        <f>IF(I171&gt;=3.5,"Excellent",IF(I171&gt;=3,"Good",IF(I171&gt;=2,"Average","Poor")))</f>
        <v>Good</v>
      </c>
      <c r="M171" s="3" t="str">
        <v>Dr.Roy</v>
      </c>
      <c r="N171" s="3" t="str">
        <f>IF(H171 &gt; (G171*50%), "Yes", "No")</f>
        <v>No</v>
      </c>
      <c r="O171" s="16">
        <f>G171-H171</f>
        <v>10482</v>
      </c>
      <c r="P171" s="16">
        <f>SUMIFS(O171:O171,E171:E171,"Science",F171:F171,"Completed")</f>
        <v>0</v>
      </c>
      <c r="Q171" s="3" t="str">
        <f>IF(MONTH(E171)&gt;=7, YEAR(E171)&amp;"-"&amp;YEAR(E171)+1, YEAR(E171)-1&amp;"-"&amp;YEAR(E171))</f>
        <v>2023-2024</v>
      </c>
      <c r="R171" s="3"/>
      <c r="S171" s="3"/>
      <c r="T171" s="15" t="str">
        <f t="shared" ca="1" si="2"/>
        <v>0</v>
      </c>
      <c r="U171" s="3"/>
    </row>
    <row r="172" spans="1:21" x14ac:dyDescent="0.35">
      <c r="A172" s="3" t="s">
        <v>365</v>
      </c>
      <c r="B172" s="3" t="s">
        <v>366</v>
      </c>
      <c r="C172" s="3" t="s">
        <v>28</v>
      </c>
      <c r="D172" s="3" t="s">
        <v>62</v>
      </c>
      <c r="E172" s="6">
        <v>45188</v>
      </c>
      <c r="F172" s="3" t="s">
        <v>14</v>
      </c>
      <c r="G172" s="3">
        <v>12649</v>
      </c>
      <c r="H172" s="3">
        <v>5633</v>
      </c>
      <c r="I172" s="3">
        <v>2.2999999999999998</v>
      </c>
      <c r="J172" s="3">
        <v>77</v>
      </c>
      <c r="K172" s="15">
        <f ca="1">IF(F172="Enrolled",TODAY()-E172,"0")</f>
        <v>866</v>
      </c>
      <c r="L172" s="3" t="str">
        <f>IF(I172&gt;=3.5,"Excellent",IF(I172&gt;=3,"Good",IF(I172&gt;=2,"Average","Poor")))</f>
        <v>Average</v>
      </c>
      <c r="M172" s="3" t="str">
        <v>Dr.Sinha</v>
      </c>
      <c r="N172" s="3" t="str">
        <f>IF(H172 &gt; (G172*50%), "Yes", "No")</f>
        <v>No</v>
      </c>
      <c r="O172" s="16">
        <f>G172-H172</f>
        <v>7016</v>
      </c>
      <c r="P172" s="16">
        <f>SUMIFS(O172:O172,E172:E172,"Science",F172:F172,"Completed")</f>
        <v>0</v>
      </c>
      <c r="Q172" s="3" t="str">
        <f>IF(MONTH(E172)&gt;=7, YEAR(E172)&amp;"-"&amp;YEAR(E172)+1, YEAR(E172)-1&amp;"-"&amp;YEAR(E172))</f>
        <v>2023-2024</v>
      </c>
      <c r="R172" s="3"/>
      <c r="S172" s="3"/>
      <c r="T172" s="15" t="str">
        <f t="shared" ca="1" si="2"/>
        <v>0</v>
      </c>
      <c r="U172" s="3"/>
    </row>
    <row r="173" spans="1:21" x14ac:dyDescent="0.35">
      <c r="A173" s="3" t="s">
        <v>367</v>
      </c>
      <c r="B173" s="3" t="s">
        <v>368</v>
      </c>
      <c r="C173" s="3" t="s">
        <v>25</v>
      </c>
      <c r="D173" s="3" t="s">
        <v>13</v>
      </c>
      <c r="E173" s="6">
        <v>45282</v>
      </c>
      <c r="F173" s="3" t="s">
        <v>19</v>
      </c>
      <c r="G173" s="3">
        <v>14074</v>
      </c>
      <c r="H173" s="3">
        <v>6861</v>
      </c>
      <c r="I173" s="3">
        <v>3.43</v>
      </c>
      <c r="J173" s="3">
        <v>82</v>
      </c>
      <c r="K173" s="15" t="str">
        <f ca="1">IF(F173="Enrolled",TODAY()-E173,"0")</f>
        <v>0</v>
      </c>
      <c r="L173" s="3" t="str">
        <f>IF(I173&gt;=3.5,"Excellent",IF(I173&gt;=3,"Good",IF(I173&gt;=2,"Average","Poor")))</f>
        <v>Good</v>
      </c>
      <c r="M173" s="3" t="str">
        <v>Dr.Mehta</v>
      </c>
      <c r="N173" s="3" t="str">
        <f>IF(H173 &gt; (G173*50%), "Yes", "No")</f>
        <v>No</v>
      </c>
      <c r="O173" s="16">
        <f>G173-H173</f>
        <v>7213</v>
      </c>
      <c r="P173" s="16">
        <f>SUMIFS(O173:O173,E173:E173,"Science",F173:F173,"Completed")</f>
        <v>0</v>
      </c>
      <c r="Q173" s="3" t="str">
        <f>IF(MONTH(E173)&gt;=7, YEAR(E173)&amp;"-"&amp;YEAR(E173)+1, YEAR(E173)-1&amp;"-"&amp;YEAR(E173))</f>
        <v>2023-2024</v>
      </c>
      <c r="R173" s="3"/>
      <c r="S173" s="3"/>
      <c r="T173" s="15">
        <f t="shared" ca="1" si="2"/>
        <v>772</v>
      </c>
      <c r="U173" s="3"/>
    </row>
    <row r="174" spans="1:21" x14ac:dyDescent="0.35">
      <c r="A174" s="3" t="s">
        <v>369</v>
      </c>
      <c r="B174" s="3" t="s">
        <v>370</v>
      </c>
      <c r="C174" s="3" t="s">
        <v>12</v>
      </c>
      <c r="D174" s="3" t="s">
        <v>62</v>
      </c>
      <c r="E174" s="6">
        <v>45327</v>
      </c>
      <c r="F174" s="3" t="s">
        <v>19</v>
      </c>
      <c r="G174" s="3">
        <v>3427</v>
      </c>
      <c r="H174" s="3">
        <v>4126</v>
      </c>
      <c r="I174" s="3">
        <v>3.35</v>
      </c>
      <c r="J174" s="3">
        <v>24</v>
      </c>
      <c r="K174" s="15" t="str">
        <f ca="1">IF(F174="Enrolled",TODAY()-E174,"0")</f>
        <v>0</v>
      </c>
      <c r="L174" s="3" t="str">
        <f>IF(I174&gt;=3.5,"Excellent",IF(I174&gt;=3,"Good",IF(I174&gt;=2,"Average","Poor")))</f>
        <v>Good</v>
      </c>
      <c r="M174" s="3" t="str">
        <v>Dr.Sinha</v>
      </c>
      <c r="N174" s="3" t="str">
        <f>IF(H174 &gt; (G174*50%), "Yes", "No")</f>
        <v>Yes</v>
      </c>
      <c r="O174" s="16">
        <f>G174-H174</f>
        <v>-699</v>
      </c>
      <c r="P174" s="16">
        <f>SUMIFS(O174:O174,E174:E174,"Science",F174:F174,"Completed")</f>
        <v>0</v>
      </c>
      <c r="Q174" s="3" t="str">
        <f>IF(MONTH(E174)&gt;=7, YEAR(E174)&amp;"-"&amp;YEAR(E174)+1, YEAR(E174)-1&amp;"-"&amp;YEAR(E174))</f>
        <v>2023-2024</v>
      </c>
      <c r="R174" s="3"/>
      <c r="S174" s="3"/>
      <c r="T174" s="15">
        <f t="shared" ca="1" si="2"/>
        <v>727</v>
      </c>
      <c r="U174" s="3"/>
    </row>
    <row r="175" spans="1:21" x14ac:dyDescent="0.35">
      <c r="A175" s="3" t="s">
        <v>371</v>
      </c>
      <c r="B175" s="3" t="s">
        <v>372</v>
      </c>
      <c r="C175" s="3" t="s">
        <v>17</v>
      </c>
      <c r="D175" s="3" t="s">
        <v>13</v>
      </c>
      <c r="E175" s="6">
        <v>44588</v>
      </c>
      <c r="F175" s="3" t="s">
        <v>14</v>
      </c>
      <c r="G175" s="3">
        <v>12397</v>
      </c>
      <c r="H175" s="3">
        <v>1786</v>
      </c>
      <c r="I175" s="3">
        <v>3.54</v>
      </c>
      <c r="J175" s="3">
        <v>60</v>
      </c>
      <c r="K175" s="15">
        <f ca="1">IF(F175="Enrolled",TODAY()-E175,"0")</f>
        <v>1466</v>
      </c>
      <c r="L175" s="3" t="str">
        <f>IF(I175&gt;=3.5,"Excellent",IF(I175&gt;=3,"Good",IF(I175&gt;=2,"Average","Poor")))</f>
        <v>Excellent</v>
      </c>
      <c r="M175" s="3" t="str">
        <v>Dr.Mehta</v>
      </c>
      <c r="N175" s="3" t="str">
        <f>IF(H175 &gt; (G175*50%), "Yes", "No")</f>
        <v>No</v>
      </c>
      <c r="O175" s="16">
        <f>G175-H175</f>
        <v>10611</v>
      </c>
      <c r="P175" s="16">
        <f>SUMIFS(O175:O175,E175:E175,"Science",F175:F175,"Completed")</f>
        <v>0</v>
      </c>
      <c r="Q175" s="3" t="str">
        <f>IF(MONTH(E175)&gt;=7, YEAR(E175)&amp;"-"&amp;YEAR(E175)+1, YEAR(E175)-1&amp;"-"&amp;YEAR(E175))</f>
        <v>2021-2022</v>
      </c>
      <c r="R175" s="3"/>
      <c r="S175" s="3"/>
      <c r="T175" s="15" t="str">
        <f t="shared" ca="1" si="2"/>
        <v>0</v>
      </c>
      <c r="U175" s="3"/>
    </row>
    <row r="176" spans="1:21" x14ac:dyDescent="0.35">
      <c r="A176" s="3" t="s">
        <v>373</v>
      </c>
      <c r="B176" s="3" t="s">
        <v>374</v>
      </c>
      <c r="C176" s="3" t="s">
        <v>25</v>
      </c>
      <c r="D176" s="3" t="s">
        <v>18</v>
      </c>
      <c r="E176" s="6">
        <v>44668</v>
      </c>
      <c r="F176" s="3" t="s">
        <v>39</v>
      </c>
      <c r="G176" s="3">
        <v>6795</v>
      </c>
      <c r="H176" s="3">
        <v>8202</v>
      </c>
      <c r="I176" s="3">
        <v>2.66</v>
      </c>
      <c r="J176" s="3">
        <v>64</v>
      </c>
      <c r="K176" s="15" t="str">
        <f ca="1">IF(F176="Enrolled",TODAY()-E176,"0")</f>
        <v>0</v>
      </c>
      <c r="L176" s="3" t="str">
        <f>IF(I176&gt;=3.5,"Excellent",IF(I176&gt;=3,"Good",IF(I176&gt;=2,"Average","Poor")))</f>
        <v>Average</v>
      </c>
      <c r="M176" s="3" t="str">
        <v>Dr.Roy</v>
      </c>
      <c r="N176" s="3" t="str">
        <f>IF(H176 &gt; (G176*50%), "Yes", "No")</f>
        <v>Yes</v>
      </c>
      <c r="O176" s="16">
        <f>G176-H176</f>
        <v>-1407</v>
      </c>
      <c r="P176" s="16">
        <f>SUMIFS(O176:O176,E176:E176,"Science",F176:F176,"Completed")</f>
        <v>0</v>
      </c>
      <c r="Q176" s="3" t="str">
        <f>IF(MONTH(E176)&gt;=7, YEAR(E176)&amp;"-"&amp;YEAR(E176)+1, YEAR(E176)-1&amp;"-"&amp;YEAR(E176))</f>
        <v>2021-2022</v>
      </c>
      <c r="R176" s="3"/>
      <c r="S176" s="3"/>
      <c r="T176" s="15" t="str">
        <f t="shared" ca="1" si="2"/>
        <v>0</v>
      </c>
      <c r="U176" s="3"/>
    </row>
    <row r="177" spans="1:21" x14ac:dyDescent="0.35">
      <c r="A177" s="3" t="s">
        <v>375</v>
      </c>
      <c r="B177" s="3" t="s">
        <v>376</v>
      </c>
      <c r="C177" s="3" t="s">
        <v>28</v>
      </c>
      <c r="D177" s="3" t="s">
        <v>62</v>
      </c>
      <c r="E177" s="6">
        <v>44700</v>
      </c>
      <c r="F177" s="3" t="s">
        <v>19</v>
      </c>
      <c r="G177" s="3">
        <v>8638</v>
      </c>
      <c r="H177" s="3">
        <v>9153</v>
      </c>
      <c r="I177" s="3">
        <v>3.5</v>
      </c>
      <c r="J177" s="3">
        <v>113</v>
      </c>
      <c r="K177" s="15" t="str">
        <f ca="1">IF(F177="Enrolled",TODAY()-E177,"0")</f>
        <v>0</v>
      </c>
      <c r="L177" s="3" t="str">
        <f>IF(I177&gt;=3.5,"Excellent",IF(I177&gt;=3,"Good",IF(I177&gt;=2,"Average","Poor")))</f>
        <v>Excellent</v>
      </c>
      <c r="M177" s="3" t="str">
        <v>Dr.Sinha</v>
      </c>
      <c r="N177" s="3" t="str">
        <f>IF(H177 &gt; (G177*50%), "Yes", "No")</f>
        <v>Yes</v>
      </c>
      <c r="O177" s="16">
        <f>G177-H177</f>
        <v>-515</v>
      </c>
      <c r="P177" s="16">
        <f>SUMIFS(O177:O177,E177:E177,"Science",F177:F177,"Completed")</f>
        <v>0</v>
      </c>
      <c r="Q177" s="3" t="str">
        <f>IF(MONTH(E177)&gt;=7, YEAR(E177)&amp;"-"&amp;YEAR(E177)+1, YEAR(E177)-1&amp;"-"&amp;YEAR(E177))</f>
        <v>2021-2022</v>
      </c>
      <c r="R177" s="3"/>
      <c r="S177" s="3"/>
      <c r="T177" s="15">
        <f t="shared" ca="1" si="2"/>
        <v>1354</v>
      </c>
      <c r="U177" s="3"/>
    </row>
    <row r="178" spans="1:21" x14ac:dyDescent="0.35">
      <c r="A178" s="3" t="s">
        <v>377</v>
      </c>
      <c r="B178" s="3" t="s">
        <v>378</v>
      </c>
      <c r="C178" s="3" t="s">
        <v>17</v>
      </c>
      <c r="D178" s="3" t="s">
        <v>18</v>
      </c>
      <c r="E178" s="6">
        <v>44956</v>
      </c>
      <c r="F178" s="3" t="s">
        <v>39</v>
      </c>
      <c r="G178" s="3">
        <v>7115</v>
      </c>
      <c r="H178" s="3">
        <v>4495</v>
      </c>
      <c r="I178" s="3">
        <v>2.46</v>
      </c>
      <c r="J178" s="3">
        <v>113</v>
      </c>
      <c r="K178" s="15" t="str">
        <f ca="1">IF(F178="Enrolled",TODAY()-E178,"0")</f>
        <v>0</v>
      </c>
      <c r="L178" s="3" t="str">
        <f>IF(I178&gt;=3.5,"Excellent",IF(I178&gt;=3,"Good",IF(I178&gt;=2,"Average","Poor")))</f>
        <v>Average</v>
      </c>
      <c r="M178" s="3" t="str">
        <v>Dr.Roy</v>
      </c>
      <c r="N178" s="3" t="str">
        <f>IF(H178 &gt; (G178*50%), "Yes", "No")</f>
        <v>Yes</v>
      </c>
      <c r="O178" s="16">
        <f>G178-H178</f>
        <v>2620</v>
      </c>
      <c r="P178" s="16">
        <f>SUMIFS(O178:O178,E178:E178,"Science",F178:F178,"Completed")</f>
        <v>0</v>
      </c>
      <c r="Q178" s="3" t="str">
        <f>IF(MONTH(E178)&gt;=7, YEAR(E178)&amp;"-"&amp;YEAR(E178)+1, YEAR(E178)-1&amp;"-"&amp;YEAR(E178))</f>
        <v>2022-2023</v>
      </c>
      <c r="R178" s="3"/>
      <c r="S178" s="3"/>
      <c r="T178" s="15" t="str">
        <f t="shared" ca="1" si="2"/>
        <v>0</v>
      </c>
      <c r="U178" s="3"/>
    </row>
    <row r="179" spans="1:21" x14ac:dyDescent="0.35">
      <c r="A179" s="3" t="s">
        <v>379</v>
      </c>
      <c r="B179" s="3" t="s">
        <v>380</v>
      </c>
      <c r="C179" s="3" t="s">
        <v>57</v>
      </c>
      <c r="D179" s="3" t="s">
        <v>62</v>
      </c>
      <c r="E179" s="6">
        <v>44745</v>
      </c>
      <c r="F179" s="3" t="s">
        <v>19</v>
      </c>
      <c r="G179" s="3">
        <v>9350</v>
      </c>
      <c r="H179" s="3">
        <v>9475</v>
      </c>
      <c r="I179" s="3">
        <v>2.27</v>
      </c>
      <c r="J179" s="3">
        <v>42</v>
      </c>
      <c r="K179" s="15" t="str">
        <f ca="1">IF(F179="Enrolled",TODAY()-E179,"0")</f>
        <v>0</v>
      </c>
      <c r="L179" s="3" t="str">
        <f>IF(I179&gt;=3.5,"Excellent",IF(I179&gt;=3,"Good",IF(I179&gt;=2,"Average","Poor")))</f>
        <v>Average</v>
      </c>
      <c r="M179" s="3" t="str">
        <v>Dr.Sinha</v>
      </c>
      <c r="N179" s="3" t="str">
        <f>IF(H179 &gt; (G179*50%), "Yes", "No")</f>
        <v>Yes</v>
      </c>
      <c r="O179" s="16">
        <f>G179-H179</f>
        <v>-125</v>
      </c>
      <c r="P179" s="16">
        <f>SUMIFS(O179:O179,E179:E179,"Science",F179:F179,"Completed")</f>
        <v>0</v>
      </c>
      <c r="Q179" s="3" t="str">
        <f>IF(MONTH(E179)&gt;=7, YEAR(E179)&amp;"-"&amp;YEAR(E179)+1, YEAR(E179)-1&amp;"-"&amp;YEAR(E179))</f>
        <v>2022-2023</v>
      </c>
      <c r="R179" s="3"/>
      <c r="S179" s="3"/>
      <c r="T179" s="15">
        <f t="shared" ca="1" si="2"/>
        <v>1309</v>
      </c>
      <c r="U179" s="3"/>
    </row>
    <row r="180" spans="1:21" x14ac:dyDescent="0.35">
      <c r="A180" s="3" t="s">
        <v>381</v>
      </c>
      <c r="B180" s="3" t="s">
        <v>382</v>
      </c>
      <c r="C180" s="3" t="s">
        <v>28</v>
      </c>
      <c r="D180" s="3" t="s">
        <v>62</v>
      </c>
      <c r="E180" s="6">
        <v>45241</v>
      </c>
      <c r="F180" s="3" t="s">
        <v>14</v>
      </c>
      <c r="G180" s="3">
        <v>9814</v>
      </c>
      <c r="H180" s="3">
        <v>5383</v>
      </c>
      <c r="I180" s="3">
        <v>3.3</v>
      </c>
      <c r="J180" s="3">
        <v>26</v>
      </c>
      <c r="K180" s="15">
        <f ca="1">IF(F180="Enrolled",TODAY()-E180,"0")</f>
        <v>813</v>
      </c>
      <c r="L180" s="3" t="str">
        <f>IF(I180&gt;=3.5,"Excellent",IF(I180&gt;=3,"Good",IF(I180&gt;=2,"Average","Poor")))</f>
        <v>Good</v>
      </c>
      <c r="M180" s="3" t="str">
        <v>Dr.Sinha</v>
      </c>
      <c r="N180" s="3" t="str">
        <f>IF(H180 &gt; (G180*50%), "Yes", "No")</f>
        <v>Yes</v>
      </c>
      <c r="O180" s="16">
        <f>G180-H180</f>
        <v>4431</v>
      </c>
      <c r="P180" s="16">
        <f>SUMIFS(O180:O180,E180:E180,"Science",F180:F180,"Completed")</f>
        <v>0</v>
      </c>
      <c r="Q180" s="3" t="str">
        <f>IF(MONTH(E180)&gt;=7, YEAR(E180)&amp;"-"&amp;YEAR(E180)+1, YEAR(E180)-1&amp;"-"&amp;YEAR(E180))</f>
        <v>2023-2024</v>
      </c>
      <c r="R180" s="3"/>
      <c r="S180" s="3"/>
      <c r="T180" s="15" t="str">
        <f t="shared" ca="1" si="2"/>
        <v>0</v>
      </c>
      <c r="U180" s="3"/>
    </row>
    <row r="181" spans="1:21" x14ac:dyDescent="0.35">
      <c r="A181" s="3" t="s">
        <v>383</v>
      </c>
      <c r="B181" s="3" t="s">
        <v>384</v>
      </c>
      <c r="C181" s="3" t="s">
        <v>36</v>
      </c>
      <c r="D181" s="3" t="s">
        <v>18</v>
      </c>
      <c r="E181" s="6">
        <v>45378</v>
      </c>
      <c r="F181" s="3" t="s">
        <v>19</v>
      </c>
      <c r="G181" s="3">
        <v>3206</v>
      </c>
      <c r="H181" s="3">
        <v>3995</v>
      </c>
      <c r="I181" s="3">
        <v>2.2200000000000002</v>
      </c>
      <c r="J181" s="3">
        <v>76</v>
      </c>
      <c r="K181" s="15" t="str">
        <f ca="1">IF(F181="Enrolled",TODAY()-E181,"0")</f>
        <v>0</v>
      </c>
      <c r="L181" s="3" t="str">
        <f>IF(I181&gt;=3.5,"Excellent",IF(I181&gt;=3,"Good",IF(I181&gt;=2,"Average","Poor")))</f>
        <v>Average</v>
      </c>
      <c r="M181" s="3" t="str">
        <v>Dr.Roy</v>
      </c>
      <c r="N181" s="3" t="str">
        <f>IF(H181 &gt; (G181*50%), "Yes", "No")</f>
        <v>Yes</v>
      </c>
      <c r="O181" s="16">
        <f>G181-H181</f>
        <v>-789</v>
      </c>
      <c r="P181" s="16">
        <f>SUMIFS(O181:O181,E181:E181,"Science",F181:F181,"Completed")</f>
        <v>0</v>
      </c>
      <c r="Q181" s="3" t="str">
        <f>IF(MONTH(E181)&gt;=7, YEAR(E181)&amp;"-"&amp;YEAR(E181)+1, YEAR(E181)-1&amp;"-"&amp;YEAR(E181))</f>
        <v>2023-2024</v>
      </c>
      <c r="R181" s="3"/>
      <c r="S181" s="3"/>
      <c r="T181" s="15">
        <f t="shared" ca="1" si="2"/>
        <v>676</v>
      </c>
      <c r="U181" s="3"/>
    </row>
    <row r="182" spans="1:21" x14ac:dyDescent="0.35">
      <c r="A182" s="3" t="s">
        <v>385</v>
      </c>
      <c r="B182" s="3" t="s">
        <v>386</v>
      </c>
      <c r="C182" s="3" t="s">
        <v>25</v>
      </c>
      <c r="D182" s="3" t="s">
        <v>18</v>
      </c>
      <c r="E182" s="6">
        <v>45207</v>
      </c>
      <c r="F182" s="3" t="s">
        <v>14</v>
      </c>
      <c r="G182" s="3">
        <v>3198</v>
      </c>
      <c r="H182" s="3">
        <v>3690</v>
      </c>
      <c r="I182" s="3">
        <v>2.64</v>
      </c>
      <c r="J182" s="3">
        <v>69</v>
      </c>
      <c r="K182" s="15">
        <f ca="1">IF(F182="Enrolled",TODAY()-E182,"0")</f>
        <v>847</v>
      </c>
      <c r="L182" s="3" t="str">
        <f>IF(I182&gt;=3.5,"Excellent",IF(I182&gt;=3,"Good",IF(I182&gt;=2,"Average","Poor")))</f>
        <v>Average</v>
      </c>
      <c r="M182" s="3" t="str">
        <v>Dr.Roy</v>
      </c>
      <c r="N182" s="3" t="str">
        <f>IF(H182 &gt; (G182*50%), "Yes", "No")</f>
        <v>Yes</v>
      </c>
      <c r="O182" s="16">
        <f>G182-H182</f>
        <v>-492</v>
      </c>
      <c r="P182" s="16">
        <f>SUMIFS(O182:O182,E182:E182,"Science",F182:F182,"Completed")</f>
        <v>0</v>
      </c>
      <c r="Q182" s="3" t="str">
        <f>IF(MONTH(E182)&gt;=7, YEAR(E182)&amp;"-"&amp;YEAR(E182)+1, YEAR(E182)-1&amp;"-"&amp;YEAR(E182))</f>
        <v>2023-2024</v>
      </c>
      <c r="R182" s="3"/>
      <c r="S182" s="3"/>
      <c r="T182" s="15" t="str">
        <f t="shared" ca="1" si="2"/>
        <v>0</v>
      </c>
      <c r="U182" s="3"/>
    </row>
    <row r="183" spans="1:21" x14ac:dyDescent="0.35">
      <c r="A183" s="3" t="s">
        <v>387</v>
      </c>
      <c r="B183" s="3" t="s">
        <v>388</v>
      </c>
      <c r="C183" s="3" t="s">
        <v>36</v>
      </c>
      <c r="D183" s="3" t="s">
        <v>18</v>
      </c>
      <c r="E183" s="6">
        <v>44761</v>
      </c>
      <c r="F183" s="3" t="s">
        <v>14</v>
      </c>
      <c r="G183" s="3">
        <v>2972</v>
      </c>
      <c r="H183" s="3">
        <v>2721</v>
      </c>
      <c r="I183" s="3">
        <v>3.6</v>
      </c>
      <c r="J183" s="3">
        <v>24</v>
      </c>
      <c r="K183" s="15">
        <f ca="1">IF(F183="Enrolled",TODAY()-E183,"0")</f>
        <v>1293</v>
      </c>
      <c r="L183" s="3" t="str">
        <f>IF(I183&gt;=3.5,"Excellent",IF(I183&gt;=3,"Good",IF(I183&gt;=2,"Average","Poor")))</f>
        <v>Excellent</v>
      </c>
      <c r="M183" s="3" t="str">
        <v>Dr.Roy</v>
      </c>
      <c r="N183" s="3" t="str">
        <f>IF(H183 &gt; (G183*50%), "Yes", "No")</f>
        <v>Yes</v>
      </c>
      <c r="O183" s="16">
        <f>G183-H183</f>
        <v>251</v>
      </c>
      <c r="P183" s="16">
        <f>SUMIFS(O183:O183,E183:E183,"Science",F183:F183,"Completed")</f>
        <v>0</v>
      </c>
      <c r="Q183" s="3" t="str">
        <f>IF(MONTH(E183)&gt;=7, YEAR(E183)&amp;"-"&amp;YEAR(E183)+1, YEAR(E183)-1&amp;"-"&amp;YEAR(E183))</f>
        <v>2022-2023</v>
      </c>
      <c r="R183" s="3"/>
      <c r="S183" s="3"/>
      <c r="T183" s="15" t="str">
        <f t="shared" ca="1" si="2"/>
        <v>0</v>
      </c>
      <c r="U183" s="3"/>
    </row>
    <row r="184" spans="1:21" x14ac:dyDescent="0.35">
      <c r="A184" s="3" t="s">
        <v>389</v>
      </c>
      <c r="B184" s="3" t="s">
        <v>390</v>
      </c>
      <c r="C184" s="3" t="s">
        <v>17</v>
      </c>
      <c r="D184" s="3" t="s">
        <v>13</v>
      </c>
      <c r="E184" s="6">
        <v>45327</v>
      </c>
      <c r="F184" s="3" t="s">
        <v>14</v>
      </c>
      <c r="G184" s="3">
        <v>8985</v>
      </c>
      <c r="H184" s="3">
        <v>1826</v>
      </c>
      <c r="I184" s="3">
        <v>2.1</v>
      </c>
      <c r="J184" s="3">
        <v>9</v>
      </c>
      <c r="K184" s="15">
        <f ca="1">IF(F184="Enrolled",TODAY()-E184,"0")</f>
        <v>727</v>
      </c>
      <c r="L184" s="3" t="str">
        <f>IF(I184&gt;=3.5,"Excellent",IF(I184&gt;=3,"Good",IF(I184&gt;=2,"Average","Poor")))</f>
        <v>Average</v>
      </c>
      <c r="M184" s="3" t="str">
        <v>Dr.Mehta</v>
      </c>
      <c r="N184" s="3" t="str">
        <f>IF(H184 &gt; (G184*50%), "Yes", "No")</f>
        <v>No</v>
      </c>
      <c r="O184" s="16">
        <f>G184-H184</f>
        <v>7159</v>
      </c>
      <c r="P184" s="16">
        <f>SUMIFS(O184:O184,E184:E184,"Science",F184:F184,"Completed")</f>
        <v>0</v>
      </c>
      <c r="Q184" s="3" t="str">
        <f>IF(MONTH(E184)&gt;=7, YEAR(E184)&amp;"-"&amp;YEAR(E184)+1, YEAR(E184)-1&amp;"-"&amp;YEAR(E184))</f>
        <v>2023-2024</v>
      </c>
      <c r="R184" s="3"/>
      <c r="S184" s="3"/>
      <c r="T184" s="15" t="str">
        <f t="shared" ca="1" si="2"/>
        <v>0</v>
      </c>
      <c r="U184" s="3"/>
    </row>
    <row r="185" spans="1:21" x14ac:dyDescent="0.35">
      <c r="A185" s="3" t="s">
        <v>391</v>
      </c>
      <c r="B185" s="3" t="s">
        <v>392</v>
      </c>
      <c r="C185" s="3" t="s">
        <v>28</v>
      </c>
      <c r="D185" s="3" t="s">
        <v>13</v>
      </c>
      <c r="E185" s="6">
        <v>44934</v>
      </c>
      <c r="F185" s="3" t="s">
        <v>14</v>
      </c>
      <c r="G185" s="3">
        <v>8434</v>
      </c>
      <c r="H185" s="3">
        <v>5655</v>
      </c>
      <c r="I185" s="3">
        <v>3.62</v>
      </c>
      <c r="J185" s="3">
        <v>50</v>
      </c>
      <c r="K185" s="15">
        <f ca="1">IF(F185="Enrolled",TODAY()-E185,"0")</f>
        <v>1120</v>
      </c>
      <c r="L185" s="3" t="str">
        <f>IF(I185&gt;=3.5,"Excellent",IF(I185&gt;=3,"Good",IF(I185&gt;=2,"Average","Poor")))</f>
        <v>Excellent</v>
      </c>
      <c r="M185" s="3" t="str">
        <v>Dr.Mehta</v>
      </c>
      <c r="N185" s="3" t="str">
        <f>IF(H185 &gt; (G185*50%), "Yes", "No")</f>
        <v>Yes</v>
      </c>
      <c r="O185" s="16">
        <f>G185-H185</f>
        <v>2779</v>
      </c>
      <c r="P185" s="16">
        <f>SUMIFS(O185:O185,E185:E185,"Science",F185:F185,"Completed")</f>
        <v>0</v>
      </c>
      <c r="Q185" s="3" t="str">
        <f>IF(MONTH(E185)&gt;=7, YEAR(E185)&amp;"-"&amp;YEAR(E185)+1, YEAR(E185)-1&amp;"-"&amp;YEAR(E185))</f>
        <v>2022-2023</v>
      </c>
      <c r="R185" s="3"/>
      <c r="S185" s="3"/>
      <c r="T185" s="15" t="str">
        <f t="shared" ca="1" si="2"/>
        <v>0</v>
      </c>
      <c r="U185" s="3"/>
    </row>
    <row r="186" spans="1:21" x14ac:dyDescent="0.35">
      <c r="A186" s="3" t="s">
        <v>393</v>
      </c>
      <c r="B186" s="3" t="s">
        <v>394</v>
      </c>
      <c r="C186" s="3" t="s">
        <v>57</v>
      </c>
      <c r="D186" s="3" t="s">
        <v>13</v>
      </c>
      <c r="E186" s="6">
        <v>45389</v>
      </c>
      <c r="F186" s="3" t="s">
        <v>39</v>
      </c>
      <c r="G186" s="3">
        <v>8637</v>
      </c>
      <c r="H186" s="3">
        <v>6872</v>
      </c>
      <c r="I186" s="3">
        <v>2.02</v>
      </c>
      <c r="J186" s="3">
        <v>2</v>
      </c>
      <c r="K186" s="15" t="str">
        <f ca="1">IF(F186="Enrolled",TODAY()-E186,"0")</f>
        <v>0</v>
      </c>
      <c r="L186" s="3" t="str">
        <f>IF(I186&gt;=3.5,"Excellent",IF(I186&gt;=3,"Good",IF(I186&gt;=2,"Average","Poor")))</f>
        <v>Average</v>
      </c>
      <c r="M186" s="3" t="str">
        <v>Dr.Mehta</v>
      </c>
      <c r="N186" s="3" t="str">
        <f>IF(H186 &gt; (G186*50%), "Yes", "No")</f>
        <v>Yes</v>
      </c>
      <c r="O186" s="16">
        <f>G186-H186</f>
        <v>1765</v>
      </c>
      <c r="P186" s="16">
        <f>SUMIFS(O186:O186,E186:E186,"Science",F186:F186,"Completed")</f>
        <v>0</v>
      </c>
      <c r="Q186" s="3" t="str">
        <f>IF(MONTH(E186)&gt;=7, YEAR(E186)&amp;"-"&amp;YEAR(E186)+1, YEAR(E186)-1&amp;"-"&amp;YEAR(E186))</f>
        <v>2023-2024</v>
      </c>
      <c r="R186" s="3"/>
      <c r="S186" s="3"/>
      <c r="T186" s="15" t="str">
        <f t="shared" ca="1" si="2"/>
        <v>0</v>
      </c>
      <c r="U186" s="3"/>
    </row>
    <row r="187" spans="1:21" x14ac:dyDescent="0.35">
      <c r="A187" s="3" t="s">
        <v>395</v>
      </c>
      <c r="B187" s="3" t="s">
        <v>396</v>
      </c>
      <c r="C187" s="3" t="s">
        <v>22</v>
      </c>
      <c r="D187" s="3" t="s">
        <v>13</v>
      </c>
      <c r="E187" s="6">
        <v>44582</v>
      </c>
      <c r="F187" s="3" t="s">
        <v>14</v>
      </c>
      <c r="G187" s="3">
        <v>7498</v>
      </c>
      <c r="H187" s="3">
        <v>3801</v>
      </c>
      <c r="I187" s="3">
        <v>2.66</v>
      </c>
      <c r="J187" s="3">
        <v>61</v>
      </c>
      <c r="K187" s="15">
        <f ca="1">IF(F187="Enrolled",TODAY()-E187,"0")</f>
        <v>1472</v>
      </c>
      <c r="L187" s="3" t="str">
        <f>IF(I187&gt;=3.5,"Excellent",IF(I187&gt;=3,"Good",IF(I187&gt;=2,"Average","Poor")))</f>
        <v>Average</v>
      </c>
      <c r="M187" s="3" t="str">
        <v>Dr.Mehta</v>
      </c>
      <c r="N187" s="3" t="str">
        <f>IF(H187 &gt; (G187*50%), "Yes", "No")</f>
        <v>Yes</v>
      </c>
      <c r="O187" s="16">
        <f>G187-H187</f>
        <v>3697</v>
      </c>
      <c r="P187" s="16">
        <f>SUMIFS(O187:O187,E187:E187,"Science",F187:F187,"Completed")</f>
        <v>0</v>
      </c>
      <c r="Q187" s="3" t="str">
        <f>IF(MONTH(E187)&gt;=7, YEAR(E187)&amp;"-"&amp;YEAR(E187)+1, YEAR(E187)-1&amp;"-"&amp;YEAR(E187))</f>
        <v>2021-2022</v>
      </c>
      <c r="R187" s="3"/>
      <c r="S187" s="3"/>
      <c r="T187" s="15" t="str">
        <f t="shared" ca="1" si="2"/>
        <v>0</v>
      </c>
      <c r="U187" s="3"/>
    </row>
    <row r="188" spans="1:21" x14ac:dyDescent="0.35">
      <c r="A188" s="3" t="s">
        <v>397</v>
      </c>
      <c r="B188" s="3" t="s">
        <v>398</v>
      </c>
      <c r="C188" s="3" t="s">
        <v>54</v>
      </c>
      <c r="D188" s="3" t="s">
        <v>13</v>
      </c>
      <c r="E188" s="6">
        <v>44797</v>
      </c>
      <c r="F188" s="3" t="s">
        <v>14</v>
      </c>
      <c r="G188" s="3">
        <v>8592</v>
      </c>
      <c r="H188" s="3">
        <v>2399</v>
      </c>
      <c r="I188" s="3">
        <v>2.95</v>
      </c>
      <c r="J188" s="3">
        <v>113</v>
      </c>
      <c r="K188" s="15">
        <f ca="1">IF(F188="Enrolled",TODAY()-E188,"0")</f>
        <v>1257</v>
      </c>
      <c r="L188" s="3" t="str">
        <f>IF(I188&gt;=3.5,"Excellent",IF(I188&gt;=3,"Good",IF(I188&gt;=2,"Average","Poor")))</f>
        <v>Average</v>
      </c>
      <c r="M188" s="3" t="str">
        <v>Dr.Mehta</v>
      </c>
      <c r="N188" s="3" t="str">
        <f>IF(H188 &gt; (G188*50%), "Yes", "No")</f>
        <v>No</v>
      </c>
      <c r="O188" s="16">
        <f>G188-H188</f>
        <v>6193</v>
      </c>
      <c r="P188" s="16">
        <f>SUMIFS(O188:O188,E188:E188,"Science",F188:F188,"Completed")</f>
        <v>0</v>
      </c>
      <c r="Q188" s="3" t="str">
        <f>IF(MONTH(E188)&gt;=7, YEAR(E188)&amp;"-"&amp;YEAR(E188)+1, YEAR(E188)-1&amp;"-"&amp;YEAR(E188))</f>
        <v>2022-2023</v>
      </c>
      <c r="R188" s="3"/>
      <c r="S188" s="3"/>
      <c r="T188" s="15" t="str">
        <f t="shared" ca="1" si="2"/>
        <v>0</v>
      </c>
      <c r="U188" s="3"/>
    </row>
    <row r="189" spans="1:21" x14ac:dyDescent="0.35">
      <c r="A189" s="3" t="s">
        <v>399</v>
      </c>
      <c r="B189" s="3" t="s">
        <v>400</v>
      </c>
      <c r="C189" s="3" t="s">
        <v>12</v>
      </c>
      <c r="D189" s="3" t="s">
        <v>18</v>
      </c>
      <c r="E189" s="6">
        <v>44935</v>
      </c>
      <c r="F189" s="3" t="s">
        <v>14</v>
      </c>
      <c r="G189" s="3">
        <v>13019</v>
      </c>
      <c r="H189" s="3">
        <v>9320</v>
      </c>
      <c r="I189" s="3">
        <v>3.4</v>
      </c>
      <c r="J189" s="3">
        <v>5</v>
      </c>
      <c r="K189" s="15">
        <f ca="1">IF(F189="Enrolled",TODAY()-E189,"0")</f>
        <v>1119</v>
      </c>
      <c r="L189" s="3" t="str">
        <f>IF(I189&gt;=3.5,"Excellent",IF(I189&gt;=3,"Good",IF(I189&gt;=2,"Average","Poor")))</f>
        <v>Good</v>
      </c>
      <c r="M189" s="3" t="str">
        <v>Dr.Roy</v>
      </c>
      <c r="N189" s="3" t="str">
        <f>IF(H189 &gt; (G189*50%), "Yes", "No")</f>
        <v>Yes</v>
      </c>
      <c r="O189" s="16">
        <f>G189-H189</f>
        <v>3699</v>
      </c>
      <c r="P189" s="16">
        <f>SUMIFS(O189:O189,E189:E189,"Science",F189:F189,"Completed")</f>
        <v>0</v>
      </c>
      <c r="Q189" s="3" t="str">
        <f>IF(MONTH(E189)&gt;=7, YEAR(E189)&amp;"-"&amp;YEAR(E189)+1, YEAR(E189)-1&amp;"-"&amp;YEAR(E189))</f>
        <v>2022-2023</v>
      </c>
      <c r="R189" s="3"/>
      <c r="S189" s="3"/>
      <c r="T189" s="15" t="str">
        <f t="shared" ca="1" si="2"/>
        <v>0</v>
      </c>
      <c r="U189" s="3"/>
    </row>
    <row r="190" spans="1:21" x14ac:dyDescent="0.35">
      <c r="A190" s="3" t="s">
        <v>401</v>
      </c>
      <c r="B190" s="3" t="s">
        <v>402</v>
      </c>
      <c r="C190" s="3" t="s">
        <v>28</v>
      </c>
      <c r="D190" s="3" t="s">
        <v>62</v>
      </c>
      <c r="E190" s="6">
        <v>45333</v>
      </c>
      <c r="F190" s="3" t="s">
        <v>14</v>
      </c>
      <c r="G190" s="3">
        <v>4919</v>
      </c>
      <c r="H190" s="3">
        <v>1822</v>
      </c>
      <c r="I190" s="3">
        <v>2.46</v>
      </c>
      <c r="J190" s="3">
        <v>38</v>
      </c>
      <c r="K190" s="15">
        <f ca="1">IF(F190="Enrolled",TODAY()-E190,"0")</f>
        <v>721</v>
      </c>
      <c r="L190" s="3" t="str">
        <f>IF(I190&gt;=3.5,"Excellent",IF(I190&gt;=3,"Good",IF(I190&gt;=2,"Average","Poor")))</f>
        <v>Average</v>
      </c>
      <c r="M190" s="3" t="str">
        <v>Dr.Sinha</v>
      </c>
      <c r="N190" s="3" t="str">
        <f>IF(H190 &gt; (G190*50%), "Yes", "No")</f>
        <v>No</v>
      </c>
      <c r="O190" s="16">
        <f>G190-H190</f>
        <v>3097</v>
      </c>
      <c r="P190" s="16">
        <f>SUMIFS(O190:O190,E190:E190,"Science",F190:F190,"Completed")</f>
        <v>0</v>
      </c>
      <c r="Q190" s="3" t="str">
        <f>IF(MONTH(E190)&gt;=7, YEAR(E190)&amp;"-"&amp;YEAR(E190)+1, YEAR(E190)-1&amp;"-"&amp;YEAR(E190))</f>
        <v>2023-2024</v>
      </c>
      <c r="R190" s="3"/>
      <c r="S190" s="3"/>
      <c r="T190" s="15" t="str">
        <f t="shared" ca="1" si="2"/>
        <v>0</v>
      </c>
      <c r="U190" s="3"/>
    </row>
    <row r="191" spans="1:21" x14ac:dyDescent="0.35">
      <c r="A191" s="3" t="s">
        <v>403</v>
      </c>
      <c r="B191" s="3" t="s">
        <v>404</v>
      </c>
      <c r="C191" s="3" t="s">
        <v>17</v>
      </c>
      <c r="D191" s="3" t="s">
        <v>62</v>
      </c>
      <c r="E191" s="6">
        <v>45038</v>
      </c>
      <c r="F191" s="3" t="s">
        <v>14</v>
      </c>
      <c r="G191" s="3">
        <v>2581</v>
      </c>
      <c r="H191" s="3">
        <v>8966</v>
      </c>
      <c r="I191" s="3">
        <v>3.75</v>
      </c>
      <c r="J191" s="3">
        <v>22</v>
      </c>
      <c r="K191" s="15">
        <f ca="1">IF(F191="Enrolled",TODAY()-E191,"0")</f>
        <v>1016</v>
      </c>
      <c r="L191" s="3" t="str">
        <f>IF(I191&gt;=3.5,"Excellent",IF(I191&gt;=3,"Good",IF(I191&gt;=2,"Average","Poor")))</f>
        <v>Excellent</v>
      </c>
      <c r="M191" s="3" t="str">
        <v>Dr.Sinha</v>
      </c>
      <c r="N191" s="3" t="str">
        <f>IF(H191 &gt; (G191*50%), "Yes", "No")</f>
        <v>Yes</v>
      </c>
      <c r="O191" s="16">
        <f>G191-H191</f>
        <v>-6385</v>
      </c>
      <c r="P191" s="16">
        <f>SUMIFS(O191:O191,E191:E191,"Science",F191:F191,"Completed")</f>
        <v>0</v>
      </c>
      <c r="Q191" s="3" t="str">
        <f>IF(MONTH(E191)&gt;=7, YEAR(E191)&amp;"-"&amp;YEAR(E191)+1, YEAR(E191)-1&amp;"-"&amp;YEAR(E191))</f>
        <v>2022-2023</v>
      </c>
      <c r="R191" s="3"/>
      <c r="S191" s="3"/>
      <c r="T191" s="15" t="str">
        <f t="shared" ca="1" si="2"/>
        <v>0</v>
      </c>
      <c r="U191" s="3"/>
    </row>
    <row r="192" spans="1:21" x14ac:dyDescent="0.35">
      <c r="A192" s="3" t="s">
        <v>405</v>
      </c>
      <c r="B192" s="3" t="s">
        <v>406</v>
      </c>
      <c r="C192" s="3" t="s">
        <v>54</v>
      </c>
      <c r="D192" s="3" t="s">
        <v>31</v>
      </c>
      <c r="E192" s="6">
        <v>45000</v>
      </c>
      <c r="F192" s="3" t="s">
        <v>14</v>
      </c>
      <c r="G192" s="3">
        <v>7675</v>
      </c>
      <c r="H192" s="3">
        <v>2892</v>
      </c>
      <c r="I192" s="3">
        <v>3.24</v>
      </c>
      <c r="J192" s="3">
        <v>62</v>
      </c>
      <c r="K192" s="15">
        <f ca="1">IF(F192="Enrolled",TODAY()-E192,"0")</f>
        <v>1054</v>
      </c>
      <c r="L192" s="3" t="str">
        <f>IF(I192&gt;=3.5,"Excellent",IF(I192&gt;=3,"Good",IF(I192&gt;=2,"Average","Poor")))</f>
        <v>Good</v>
      </c>
      <c r="M192" s="3" t="str">
        <v>Dr.Sharma</v>
      </c>
      <c r="N192" s="3" t="str">
        <f>IF(H192 &gt; (G192*50%), "Yes", "No")</f>
        <v>No</v>
      </c>
      <c r="O192" s="16">
        <f>G192-H192</f>
        <v>4783</v>
      </c>
      <c r="P192" s="16">
        <f>SUMIFS(O192:O192,E192:E192,"Science",F192:F192,"Completed")</f>
        <v>0</v>
      </c>
      <c r="Q192" s="3" t="str">
        <f>IF(MONTH(E192)&gt;=7, YEAR(E192)&amp;"-"&amp;YEAR(E192)+1, YEAR(E192)-1&amp;"-"&amp;YEAR(E192))</f>
        <v>2022-2023</v>
      </c>
      <c r="R192" s="3"/>
      <c r="S192" s="3"/>
      <c r="T192" s="15" t="str">
        <f t="shared" ca="1" si="2"/>
        <v>0</v>
      </c>
      <c r="U192" s="3"/>
    </row>
    <row r="193" spans="1:21" x14ac:dyDescent="0.35">
      <c r="A193" s="3" t="s">
        <v>407</v>
      </c>
      <c r="B193" s="3" t="s">
        <v>408</v>
      </c>
      <c r="C193" s="3" t="s">
        <v>28</v>
      </c>
      <c r="D193" s="3" t="s">
        <v>18</v>
      </c>
      <c r="E193" s="6">
        <v>45036</v>
      </c>
      <c r="F193" s="3" t="s">
        <v>14</v>
      </c>
      <c r="G193" s="3">
        <v>3222</v>
      </c>
      <c r="H193" s="3">
        <v>2025</v>
      </c>
      <c r="I193" s="3">
        <v>2.38</v>
      </c>
      <c r="J193" s="3">
        <v>6</v>
      </c>
      <c r="K193" s="15">
        <f ca="1">IF(F193="Enrolled",TODAY()-E193,"0")</f>
        <v>1018</v>
      </c>
      <c r="L193" s="3" t="str">
        <f>IF(I193&gt;=3.5,"Excellent",IF(I193&gt;=3,"Good",IF(I193&gt;=2,"Average","Poor")))</f>
        <v>Average</v>
      </c>
      <c r="M193" s="3" t="str">
        <v>Dr.Roy</v>
      </c>
      <c r="N193" s="3" t="str">
        <f>IF(H193 &gt; (G193*50%), "Yes", "No")</f>
        <v>Yes</v>
      </c>
      <c r="O193" s="16">
        <f>G193-H193</f>
        <v>1197</v>
      </c>
      <c r="P193" s="16">
        <f>SUMIFS(O193:O193,E193:E193,"Science",F193:F193,"Completed")</f>
        <v>0</v>
      </c>
      <c r="Q193" s="3" t="str">
        <f>IF(MONTH(E193)&gt;=7, YEAR(E193)&amp;"-"&amp;YEAR(E193)+1, YEAR(E193)-1&amp;"-"&amp;YEAR(E193))</f>
        <v>2022-2023</v>
      </c>
      <c r="R193" s="3"/>
      <c r="S193" s="3"/>
      <c r="T193" s="15" t="str">
        <f t="shared" ca="1" si="2"/>
        <v>0</v>
      </c>
      <c r="U193" s="3"/>
    </row>
    <row r="194" spans="1:21" x14ac:dyDescent="0.35">
      <c r="A194" s="3" t="s">
        <v>409</v>
      </c>
      <c r="B194" s="3" t="s">
        <v>410</v>
      </c>
      <c r="C194" s="3" t="s">
        <v>17</v>
      </c>
      <c r="D194" s="3" t="s">
        <v>18</v>
      </c>
      <c r="E194" s="6">
        <v>44606</v>
      </c>
      <c r="F194" s="3" t="s">
        <v>14</v>
      </c>
      <c r="G194" s="3">
        <v>14952</v>
      </c>
      <c r="H194" s="3">
        <v>2236</v>
      </c>
      <c r="I194" s="3">
        <v>2.34</v>
      </c>
      <c r="J194" s="3">
        <v>77</v>
      </c>
      <c r="K194" s="15">
        <f ca="1">IF(F194="Enrolled",TODAY()-E194,"0")</f>
        <v>1448</v>
      </c>
      <c r="L194" s="3" t="str">
        <f>IF(I194&gt;=3.5,"Excellent",IF(I194&gt;=3,"Good",IF(I194&gt;=2,"Average","Poor")))</f>
        <v>Average</v>
      </c>
      <c r="M194" s="3" t="str">
        <v>Dr.Roy</v>
      </c>
      <c r="N194" s="3" t="str">
        <f>IF(H194 &gt; (G194*50%), "Yes", "No")</f>
        <v>No</v>
      </c>
      <c r="O194" s="16">
        <f>G194-H194</f>
        <v>12716</v>
      </c>
      <c r="P194" s="16">
        <f>SUMIFS(O194:O194,E194:E194,"Science",F194:F194,"Completed")</f>
        <v>0</v>
      </c>
      <c r="Q194" s="3" t="str">
        <f>IF(MONTH(E194)&gt;=7, YEAR(E194)&amp;"-"&amp;YEAR(E194)+1, YEAR(E194)-1&amp;"-"&amp;YEAR(E194))</f>
        <v>2021-2022</v>
      </c>
      <c r="R194" s="3"/>
      <c r="S194" s="3"/>
      <c r="T194" s="15" t="str">
        <f t="shared" ca="1" si="2"/>
        <v>0</v>
      </c>
      <c r="U194" s="3"/>
    </row>
    <row r="195" spans="1:21" x14ac:dyDescent="0.35">
      <c r="A195" s="3" t="s">
        <v>411</v>
      </c>
      <c r="B195" s="3" t="s">
        <v>412</v>
      </c>
      <c r="C195" s="3" t="s">
        <v>17</v>
      </c>
      <c r="D195" s="3" t="s">
        <v>13</v>
      </c>
      <c r="E195" s="6">
        <v>44678</v>
      </c>
      <c r="F195" s="3" t="s">
        <v>14</v>
      </c>
      <c r="G195" s="3">
        <v>2577</v>
      </c>
      <c r="H195" s="3">
        <v>8811</v>
      </c>
      <c r="I195" s="3">
        <v>3.43</v>
      </c>
      <c r="J195" s="3">
        <v>99</v>
      </c>
      <c r="K195" s="15">
        <f ca="1">IF(F195="Enrolled",TODAY()-E195,"0")</f>
        <v>1376</v>
      </c>
      <c r="L195" s="3" t="str">
        <f>IF(I195&gt;=3.5,"Excellent",IF(I195&gt;=3,"Good",IF(I195&gt;=2,"Average","Poor")))</f>
        <v>Good</v>
      </c>
      <c r="M195" s="3" t="str">
        <v>Dr.Mehta</v>
      </c>
      <c r="N195" s="3" t="str">
        <f>IF(H195 &gt; (G195*50%), "Yes", "No")</f>
        <v>Yes</v>
      </c>
      <c r="O195" s="16">
        <f>G195-H195</f>
        <v>-6234</v>
      </c>
      <c r="P195" s="16">
        <f>SUMIFS(O195:O195,E195:E195,"Science",F195:F195,"Completed")</f>
        <v>0</v>
      </c>
      <c r="Q195" s="3" t="str">
        <f>IF(MONTH(E195)&gt;=7, YEAR(E195)&amp;"-"&amp;YEAR(E195)+1, YEAR(E195)-1&amp;"-"&amp;YEAR(E195))</f>
        <v>2021-2022</v>
      </c>
      <c r="R195" s="3"/>
      <c r="S195" s="3"/>
      <c r="T195" s="15" t="str">
        <f t="shared" ref="T195:T258" ca="1" si="3">IF(F195="Completed",TODAY()-E195,"0")</f>
        <v>0</v>
      </c>
      <c r="U195" s="3"/>
    </row>
    <row r="196" spans="1:21" x14ac:dyDescent="0.35">
      <c r="A196" s="3" t="s">
        <v>413</v>
      </c>
      <c r="B196" s="3" t="s">
        <v>414</v>
      </c>
      <c r="C196" s="3" t="s">
        <v>57</v>
      </c>
      <c r="D196" s="3" t="s">
        <v>31</v>
      </c>
      <c r="E196" s="6">
        <v>44861</v>
      </c>
      <c r="F196" s="3" t="s">
        <v>39</v>
      </c>
      <c r="G196" s="3">
        <v>8254</v>
      </c>
      <c r="H196" s="3">
        <v>1754</v>
      </c>
      <c r="I196" s="3">
        <v>3.3</v>
      </c>
      <c r="J196" s="3">
        <v>97</v>
      </c>
      <c r="K196" s="15" t="str">
        <f ca="1">IF(F196="Enrolled",TODAY()-E196,"0")</f>
        <v>0</v>
      </c>
      <c r="L196" s="3" t="str">
        <f>IF(I196&gt;=3.5,"Excellent",IF(I196&gt;=3,"Good",IF(I196&gt;=2,"Average","Poor")))</f>
        <v>Good</v>
      </c>
      <c r="M196" s="3" t="str">
        <v>Dr.Sharma</v>
      </c>
      <c r="N196" s="3" t="str">
        <f>IF(H196 &gt; (G196*50%), "Yes", "No")</f>
        <v>No</v>
      </c>
      <c r="O196" s="16">
        <f>G196-H196</f>
        <v>6500</v>
      </c>
      <c r="P196" s="16">
        <f>SUMIFS(O196:O196,E196:E196,"Science",F196:F196,"Completed")</f>
        <v>0</v>
      </c>
      <c r="Q196" s="3" t="str">
        <f>IF(MONTH(E196)&gt;=7, YEAR(E196)&amp;"-"&amp;YEAR(E196)+1, YEAR(E196)-1&amp;"-"&amp;YEAR(E196))</f>
        <v>2022-2023</v>
      </c>
      <c r="R196" s="3"/>
      <c r="S196" s="3"/>
      <c r="T196" s="15" t="str">
        <f t="shared" ca="1" si="3"/>
        <v>0</v>
      </c>
      <c r="U196" s="3"/>
    </row>
    <row r="197" spans="1:21" x14ac:dyDescent="0.35">
      <c r="A197" s="3" t="s">
        <v>415</v>
      </c>
      <c r="B197" s="3" t="s">
        <v>416</v>
      </c>
      <c r="C197" s="3" t="s">
        <v>36</v>
      </c>
      <c r="D197" s="3" t="s">
        <v>31</v>
      </c>
      <c r="E197" s="6">
        <v>45368</v>
      </c>
      <c r="F197" s="3" t="s">
        <v>39</v>
      </c>
      <c r="G197" s="3">
        <v>3770</v>
      </c>
      <c r="H197" s="3">
        <v>4072</v>
      </c>
      <c r="I197" s="3">
        <v>2.73</v>
      </c>
      <c r="J197" s="3">
        <v>23</v>
      </c>
      <c r="K197" s="15" t="str">
        <f ca="1">IF(F197="Enrolled",TODAY()-E197,"0")</f>
        <v>0</v>
      </c>
      <c r="L197" s="3" t="str">
        <f>IF(I197&gt;=3.5,"Excellent",IF(I197&gt;=3,"Good",IF(I197&gt;=2,"Average","Poor")))</f>
        <v>Average</v>
      </c>
      <c r="M197" s="3" t="str">
        <v>Dr.Sharma</v>
      </c>
      <c r="N197" s="3" t="str">
        <f>IF(H197 &gt; (G197*50%), "Yes", "No")</f>
        <v>Yes</v>
      </c>
      <c r="O197" s="16">
        <f>G197-H197</f>
        <v>-302</v>
      </c>
      <c r="P197" s="16">
        <f>SUMIFS(O197:O197,E197:E197,"Science",F197:F197,"Completed")</f>
        <v>0</v>
      </c>
      <c r="Q197" s="3" t="str">
        <f>IF(MONTH(E197)&gt;=7, YEAR(E197)&amp;"-"&amp;YEAR(E197)+1, YEAR(E197)-1&amp;"-"&amp;YEAR(E197))</f>
        <v>2023-2024</v>
      </c>
      <c r="R197" s="3"/>
      <c r="S197" s="3"/>
      <c r="T197" s="15" t="str">
        <f t="shared" ca="1" si="3"/>
        <v>0</v>
      </c>
      <c r="U197" s="3"/>
    </row>
    <row r="198" spans="1:21" x14ac:dyDescent="0.35">
      <c r="A198" s="3" t="s">
        <v>417</v>
      </c>
      <c r="B198" s="3" t="s">
        <v>418</v>
      </c>
      <c r="C198" s="3" t="s">
        <v>22</v>
      </c>
      <c r="D198" s="3" t="s">
        <v>18</v>
      </c>
      <c r="E198" s="6">
        <v>44613</v>
      </c>
      <c r="F198" s="3" t="s">
        <v>14</v>
      </c>
      <c r="G198" s="3">
        <v>8294</v>
      </c>
      <c r="H198" s="3">
        <v>3336</v>
      </c>
      <c r="I198" s="3">
        <v>2.5099999999999998</v>
      </c>
      <c r="J198" s="3">
        <v>80</v>
      </c>
      <c r="K198" s="15">
        <f ca="1">IF(F198="Enrolled",TODAY()-E198,"0")</f>
        <v>1441</v>
      </c>
      <c r="L198" s="3" t="str">
        <f>IF(I198&gt;=3.5,"Excellent",IF(I198&gt;=3,"Good",IF(I198&gt;=2,"Average","Poor")))</f>
        <v>Average</v>
      </c>
      <c r="M198" s="3" t="str">
        <v>Dr.Roy</v>
      </c>
      <c r="N198" s="3" t="str">
        <f>IF(H198 &gt; (G198*50%), "Yes", "No")</f>
        <v>No</v>
      </c>
      <c r="O198" s="16">
        <f>G198-H198</f>
        <v>4958</v>
      </c>
      <c r="P198" s="16">
        <f>SUMIFS(O198:O198,E198:E198,"Science",F198:F198,"Completed")</f>
        <v>0</v>
      </c>
      <c r="Q198" s="3" t="str">
        <f>IF(MONTH(E198)&gt;=7, YEAR(E198)&amp;"-"&amp;YEAR(E198)+1, YEAR(E198)-1&amp;"-"&amp;YEAR(E198))</f>
        <v>2021-2022</v>
      </c>
      <c r="R198" s="3"/>
      <c r="S198" s="3"/>
      <c r="T198" s="15" t="str">
        <f t="shared" ca="1" si="3"/>
        <v>0</v>
      </c>
      <c r="U198" s="3"/>
    </row>
    <row r="199" spans="1:21" x14ac:dyDescent="0.35">
      <c r="A199" s="3" t="s">
        <v>419</v>
      </c>
      <c r="B199" s="3" t="s">
        <v>420</v>
      </c>
      <c r="C199" s="3" t="s">
        <v>28</v>
      </c>
      <c r="D199" s="3" t="s">
        <v>31</v>
      </c>
      <c r="E199" s="6">
        <v>44680</v>
      </c>
      <c r="F199" s="3" t="s">
        <v>14</v>
      </c>
      <c r="G199" s="3">
        <v>11110</v>
      </c>
      <c r="H199" s="3">
        <v>5912</v>
      </c>
      <c r="I199" s="3">
        <v>2.83</v>
      </c>
      <c r="J199" s="3">
        <v>93</v>
      </c>
      <c r="K199" s="15">
        <f ca="1">IF(F199="Enrolled",TODAY()-E199,"0")</f>
        <v>1374</v>
      </c>
      <c r="L199" s="3" t="str">
        <f>IF(I199&gt;=3.5,"Excellent",IF(I199&gt;=3,"Good",IF(I199&gt;=2,"Average","Poor")))</f>
        <v>Average</v>
      </c>
      <c r="M199" s="3" t="str">
        <v>Dr.Sharma</v>
      </c>
      <c r="N199" s="3" t="str">
        <f>IF(H199 &gt; (G199*50%), "Yes", "No")</f>
        <v>Yes</v>
      </c>
      <c r="O199" s="16">
        <f>G199-H199</f>
        <v>5198</v>
      </c>
      <c r="P199" s="16">
        <f>SUMIFS(O199:O199,E199:E199,"Science",F199:F199,"Completed")</f>
        <v>0</v>
      </c>
      <c r="Q199" s="3" t="str">
        <f>IF(MONTH(E199)&gt;=7, YEAR(E199)&amp;"-"&amp;YEAR(E199)+1, YEAR(E199)-1&amp;"-"&amp;YEAR(E199))</f>
        <v>2021-2022</v>
      </c>
      <c r="R199" s="3"/>
      <c r="S199" s="3"/>
      <c r="T199" s="15" t="str">
        <f t="shared" ca="1" si="3"/>
        <v>0</v>
      </c>
      <c r="U199" s="3"/>
    </row>
    <row r="200" spans="1:21" x14ac:dyDescent="0.35">
      <c r="A200" s="3" t="s">
        <v>421</v>
      </c>
      <c r="B200" s="3" t="s">
        <v>422</v>
      </c>
      <c r="C200" s="3" t="s">
        <v>28</v>
      </c>
      <c r="D200" s="3" t="s">
        <v>62</v>
      </c>
      <c r="E200" s="6">
        <v>45031</v>
      </c>
      <c r="F200" s="3" t="s">
        <v>14</v>
      </c>
      <c r="G200" s="3">
        <v>4826</v>
      </c>
      <c r="H200" s="3">
        <v>9578</v>
      </c>
      <c r="I200" s="3">
        <v>3.3</v>
      </c>
      <c r="J200" s="3">
        <v>48</v>
      </c>
      <c r="K200" s="15">
        <f ca="1">IF(F200="Enrolled",TODAY()-E200,"0")</f>
        <v>1023</v>
      </c>
      <c r="L200" s="3" t="str">
        <f>IF(I200&gt;=3.5,"Excellent",IF(I200&gt;=3,"Good",IF(I200&gt;=2,"Average","Poor")))</f>
        <v>Good</v>
      </c>
      <c r="M200" s="3" t="str">
        <v>Dr.Sinha</v>
      </c>
      <c r="N200" s="3" t="str">
        <f>IF(H200 &gt; (G200*50%), "Yes", "No")</f>
        <v>Yes</v>
      </c>
      <c r="O200" s="16">
        <f>G200-H200</f>
        <v>-4752</v>
      </c>
      <c r="P200" s="16">
        <f>SUMIFS(O200:O200,E200:E200,"Science",F200:F200,"Completed")</f>
        <v>0</v>
      </c>
      <c r="Q200" s="3" t="str">
        <f>IF(MONTH(E200)&gt;=7, YEAR(E200)&amp;"-"&amp;YEAR(E200)+1, YEAR(E200)-1&amp;"-"&amp;YEAR(E200))</f>
        <v>2022-2023</v>
      </c>
      <c r="R200" s="3"/>
      <c r="S200" s="3"/>
      <c r="T200" s="15" t="str">
        <f t="shared" ca="1" si="3"/>
        <v>0</v>
      </c>
      <c r="U200" s="3"/>
    </row>
    <row r="201" spans="1:21" x14ac:dyDescent="0.35">
      <c r="A201" s="3" t="s">
        <v>423</v>
      </c>
      <c r="B201" s="3" t="s">
        <v>424</v>
      </c>
      <c r="C201" s="3" t="s">
        <v>25</v>
      </c>
      <c r="D201" s="3" t="s">
        <v>62</v>
      </c>
      <c r="E201" s="6">
        <v>44569</v>
      </c>
      <c r="F201" s="3" t="s">
        <v>14</v>
      </c>
      <c r="G201" s="3">
        <v>9328</v>
      </c>
      <c r="H201" s="3">
        <v>5482</v>
      </c>
      <c r="I201" s="3">
        <v>2.5099999999999998</v>
      </c>
      <c r="J201" s="3">
        <v>78</v>
      </c>
      <c r="K201" s="15">
        <f ca="1">IF(F201="Enrolled",TODAY()-E201,"0")</f>
        <v>1485</v>
      </c>
      <c r="L201" s="3" t="str">
        <f>IF(I201&gt;=3.5,"Excellent",IF(I201&gt;=3,"Good",IF(I201&gt;=2,"Average","Poor")))</f>
        <v>Average</v>
      </c>
      <c r="M201" s="3" t="str">
        <v>Dr.Sinha</v>
      </c>
      <c r="N201" s="3" t="str">
        <f>IF(H201 &gt; (G201*50%), "Yes", "No")</f>
        <v>Yes</v>
      </c>
      <c r="O201" s="16">
        <f>G201-H201</f>
        <v>3846</v>
      </c>
      <c r="P201" s="16">
        <f>SUMIFS(O201:O201,E201:E201,"Science",F201:F201,"Completed")</f>
        <v>0</v>
      </c>
      <c r="Q201" s="3" t="str">
        <f>IF(MONTH(E201)&gt;=7, YEAR(E201)&amp;"-"&amp;YEAR(E201)+1, YEAR(E201)-1&amp;"-"&amp;YEAR(E201))</f>
        <v>2021-2022</v>
      </c>
      <c r="R201" s="3"/>
      <c r="S201" s="3"/>
      <c r="T201" s="15" t="str">
        <f t="shared" ca="1" si="3"/>
        <v>0</v>
      </c>
      <c r="U201" s="3"/>
    </row>
    <row r="202" spans="1:21" x14ac:dyDescent="0.35">
      <c r="A202" s="3" t="s">
        <v>425</v>
      </c>
      <c r="B202" s="3" t="s">
        <v>426</v>
      </c>
      <c r="C202" s="3" t="s">
        <v>22</v>
      </c>
      <c r="D202" s="3" t="s">
        <v>62</v>
      </c>
      <c r="E202" s="6">
        <v>45233</v>
      </c>
      <c r="F202" s="3" t="s">
        <v>19</v>
      </c>
      <c r="G202" s="3">
        <v>10414</v>
      </c>
      <c r="H202" s="3">
        <v>3254</v>
      </c>
      <c r="I202" s="3">
        <v>2.36</v>
      </c>
      <c r="J202" s="3">
        <v>48</v>
      </c>
      <c r="K202" s="15" t="str">
        <f ca="1">IF(F202="Enrolled",TODAY()-E202,"0")</f>
        <v>0</v>
      </c>
      <c r="L202" s="3" t="str">
        <f>IF(I202&gt;=3.5,"Excellent",IF(I202&gt;=3,"Good",IF(I202&gt;=2,"Average","Poor")))</f>
        <v>Average</v>
      </c>
      <c r="M202" s="3" t="str">
        <v>Dr.Sinha</v>
      </c>
      <c r="N202" s="3" t="str">
        <f>IF(H202 &gt; (G202*50%), "Yes", "No")</f>
        <v>No</v>
      </c>
      <c r="O202" s="16">
        <f>G202-H202</f>
        <v>7160</v>
      </c>
      <c r="P202" s="16">
        <f>SUMIFS(O202:O202,E202:E202,"Science",F202:F202,"Completed")</f>
        <v>0</v>
      </c>
      <c r="Q202" s="3" t="str">
        <f>IF(MONTH(E202)&gt;=7, YEAR(E202)&amp;"-"&amp;YEAR(E202)+1, YEAR(E202)-1&amp;"-"&amp;YEAR(E202))</f>
        <v>2023-2024</v>
      </c>
      <c r="R202" s="3"/>
      <c r="S202" s="3"/>
      <c r="T202" s="15">
        <f t="shared" ca="1" si="3"/>
        <v>821</v>
      </c>
      <c r="U202" s="3"/>
    </row>
    <row r="203" spans="1:21" x14ac:dyDescent="0.35">
      <c r="A203" s="3" t="s">
        <v>427</v>
      </c>
      <c r="B203" s="3" t="s">
        <v>428</v>
      </c>
      <c r="C203" s="3" t="s">
        <v>54</v>
      </c>
      <c r="D203" s="3" t="s">
        <v>62</v>
      </c>
      <c r="E203" s="6">
        <v>44813</v>
      </c>
      <c r="F203" s="3" t="s">
        <v>14</v>
      </c>
      <c r="G203" s="3">
        <v>5868</v>
      </c>
      <c r="H203" s="3">
        <v>3160</v>
      </c>
      <c r="I203" s="3">
        <v>3.33</v>
      </c>
      <c r="J203" s="3">
        <v>47</v>
      </c>
      <c r="K203" s="15">
        <f ca="1">IF(F203="Enrolled",TODAY()-E203,"0")</f>
        <v>1241</v>
      </c>
      <c r="L203" s="3" t="str">
        <f>IF(I203&gt;=3.5,"Excellent",IF(I203&gt;=3,"Good",IF(I203&gt;=2,"Average","Poor")))</f>
        <v>Good</v>
      </c>
      <c r="M203" s="3" t="str">
        <v>Dr.Sinha</v>
      </c>
      <c r="N203" s="3" t="str">
        <f>IF(H203 &gt; (G203*50%), "Yes", "No")</f>
        <v>Yes</v>
      </c>
      <c r="O203" s="16">
        <f>G203-H203</f>
        <v>2708</v>
      </c>
      <c r="P203" s="16">
        <f>SUMIFS(O203:O203,E203:E203,"Science",F203:F203,"Completed")</f>
        <v>0</v>
      </c>
      <c r="Q203" s="3" t="str">
        <f>IF(MONTH(E203)&gt;=7, YEAR(E203)&amp;"-"&amp;YEAR(E203)+1, YEAR(E203)-1&amp;"-"&amp;YEAR(E203))</f>
        <v>2022-2023</v>
      </c>
      <c r="R203" s="3"/>
      <c r="S203" s="3"/>
      <c r="T203" s="15" t="str">
        <f t="shared" ca="1" si="3"/>
        <v>0</v>
      </c>
      <c r="U203" s="3"/>
    </row>
    <row r="204" spans="1:21" x14ac:dyDescent="0.35">
      <c r="A204" s="3" t="s">
        <v>429</v>
      </c>
      <c r="B204" s="3" t="s">
        <v>430</v>
      </c>
      <c r="C204" s="3" t="s">
        <v>25</v>
      </c>
      <c r="D204" s="3" t="s">
        <v>13</v>
      </c>
      <c r="E204" s="6">
        <v>45056</v>
      </c>
      <c r="F204" s="3" t="s">
        <v>14</v>
      </c>
      <c r="G204" s="3">
        <v>13500</v>
      </c>
      <c r="H204" s="3">
        <v>3151</v>
      </c>
      <c r="I204" s="3">
        <v>2.34</v>
      </c>
      <c r="J204" s="3">
        <v>114</v>
      </c>
      <c r="K204" s="15">
        <f ca="1">IF(F204="Enrolled",TODAY()-E204,"0")</f>
        <v>998</v>
      </c>
      <c r="L204" s="3" t="str">
        <f>IF(I204&gt;=3.5,"Excellent",IF(I204&gt;=3,"Good",IF(I204&gt;=2,"Average","Poor")))</f>
        <v>Average</v>
      </c>
      <c r="M204" s="3" t="str">
        <v>Dr.Mehta</v>
      </c>
      <c r="N204" s="3" t="str">
        <f>IF(H204 &gt; (G204*50%), "Yes", "No")</f>
        <v>No</v>
      </c>
      <c r="O204" s="16">
        <f>G204-H204</f>
        <v>10349</v>
      </c>
      <c r="P204" s="16">
        <f>SUMIFS(O204:O204,E204:E204,"Science",F204:F204,"Completed")</f>
        <v>0</v>
      </c>
      <c r="Q204" s="3" t="str">
        <f>IF(MONTH(E204)&gt;=7, YEAR(E204)&amp;"-"&amp;YEAR(E204)+1, YEAR(E204)-1&amp;"-"&amp;YEAR(E204))</f>
        <v>2022-2023</v>
      </c>
      <c r="R204" s="3"/>
      <c r="S204" s="3"/>
      <c r="T204" s="15" t="str">
        <f t="shared" ca="1" si="3"/>
        <v>0</v>
      </c>
      <c r="U204" s="3"/>
    </row>
    <row r="205" spans="1:21" x14ac:dyDescent="0.35">
      <c r="A205" s="3" t="s">
        <v>431</v>
      </c>
      <c r="B205" s="3" t="s">
        <v>432</v>
      </c>
      <c r="C205" s="3" t="s">
        <v>22</v>
      </c>
      <c r="D205" s="3" t="s">
        <v>31</v>
      </c>
      <c r="E205" s="6">
        <v>44895</v>
      </c>
      <c r="F205" s="3" t="s">
        <v>14</v>
      </c>
      <c r="G205" s="3">
        <v>5931</v>
      </c>
      <c r="H205" s="3">
        <v>8777</v>
      </c>
      <c r="I205" s="3">
        <v>3.86</v>
      </c>
      <c r="J205" s="3">
        <v>31</v>
      </c>
      <c r="K205" s="15">
        <f ca="1">IF(F205="Enrolled",TODAY()-E205,"0")</f>
        <v>1159</v>
      </c>
      <c r="L205" s="3" t="str">
        <f>IF(I205&gt;=3.5,"Excellent",IF(I205&gt;=3,"Good",IF(I205&gt;=2,"Average","Poor")))</f>
        <v>Excellent</v>
      </c>
      <c r="M205" s="3" t="str">
        <v>Dr.Sharma</v>
      </c>
      <c r="N205" s="3" t="str">
        <f>IF(H205 &gt; (G205*50%), "Yes", "No")</f>
        <v>Yes</v>
      </c>
      <c r="O205" s="16">
        <f>G205-H205</f>
        <v>-2846</v>
      </c>
      <c r="P205" s="16">
        <f>SUMIFS(O205:O205,E205:E205,"Science",F205:F205,"Completed")</f>
        <v>0</v>
      </c>
      <c r="Q205" s="3" t="str">
        <f>IF(MONTH(E205)&gt;=7, YEAR(E205)&amp;"-"&amp;YEAR(E205)+1, YEAR(E205)-1&amp;"-"&amp;YEAR(E205))</f>
        <v>2022-2023</v>
      </c>
      <c r="R205" s="3"/>
      <c r="S205" s="3"/>
      <c r="T205" s="15" t="str">
        <f t="shared" ca="1" si="3"/>
        <v>0</v>
      </c>
      <c r="U205" s="3"/>
    </row>
    <row r="206" spans="1:21" x14ac:dyDescent="0.35">
      <c r="A206" s="3" t="s">
        <v>433</v>
      </c>
      <c r="B206" s="3" t="s">
        <v>434</v>
      </c>
      <c r="C206" s="3" t="s">
        <v>12</v>
      </c>
      <c r="D206" s="3" t="s">
        <v>18</v>
      </c>
      <c r="E206" s="6">
        <v>45454</v>
      </c>
      <c r="F206" s="3" t="s">
        <v>19</v>
      </c>
      <c r="G206" s="3">
        <v>9066</v>
      </c>
      <c r="H206" s="3">
        <v>7848</v>
      </c>
      <c r="I206" s="3">
        <v>2.21</v>
      </c>
      <c r="J206" s="3">
        <v>26</v>
      </c>
      <c r="K206" s="15" t="str">
        <f ca="1">IF(F206="Enrolled",TODAY()-E206,"0")</f>
        <v>0</v>
      </c>
      <c r="L206" s="3" t="str">
        <f>IF(I206&gt;=3.5,"Excellent",IF(I206&gt;=3,"Good",IF(I206&gt;=2,"Average","Poor")))</f>
        <v>Average</v>
      </c>
      <c r="M206" s="3" t="str">
        <v>Dr.Roy</v>
      </c>
      <c r="N206" s="3" t="str">
        <f>IF(H206 &gt; (G206*50%), "Yes", "No")</f>
        <v>Yes</v>
      </c>
      <c r="O206" s="16">
        <f>G206-H206</f>
        <v>1218</v>
      </c>
      <c r="P206" s="16">
        <f>SUMIFS(O206:O206,E206:E206,"Science",F206:F206,"Completed")</f>
        <v>0</v>
      </c>
      <c r="Q206" s="3" t="str">
        <f>IF(MONTH(E206)&gt;=7, YEAR(E206)&amp;"-"&amp;YEAR(E206)+1, YEAR(E206)-1&amp;"-"&amp;YEAR(E206))</f>
        <v>2023-2024</v>
      </c>
      <c r="R206" s="3"/>
      <c r="S206" s="3"/>
      <c r="T206" s="15">
        <f t="shared" ca="1" si="3"/>
        <v>600</v>
      </c>
      <c r="U206" s="3"/>
    </row>
    <row r="207" spans="1:21" x14ac:dyDescent="0.35">
      <c r="A207" s="3" t="s">
        <v>435</v>
      </c>
      <c r="B207" s="3" t="s">
        <v>436</v>
      </c>
      <c r="C207" s="3" t="s">
        <v>17</v>
      </c>
      <c r="D207" s="3" t="s">
        <v>13</v>
      </c>
      <c r="E207" s="6">
        <v>44730</v>
      </c>
      <c r="F207" s="3" t="s">
        <v>14</v>
      </c>
      <c r="G207" s="3">
        <v>7462</v>
      </c>
      <c r="H207" s="3">
        <v>1641</v>
      </c>
      <c r="I207" s="3">
        <v>3.01</v>
      </c>
      <c r="J207" s="3">
        <v>72</v>
      </c>
      <c r="K207" s="15">
        <f ca="1">IF(F207="Enrolled",TODAY()-E207,"0")</f>
        <v>1324</v>
      </c>
      <c r="L207" s="3" t="str">
        <f>IF(I207&gt;=3.5,"Excellent",IF(I207&gt;=3,"Good",IF(I207&gt;=2,"Average","Poor")))</f>
        <v>Good</v>
      </c>
      <c r="M207" s="3" t="str">
        <v>Dr.Mehta</v>
      </c>
      <c r="N207" s="3" t="str">
        <f>IF(H207 &gt; (G207*50%), "Yes", "No")</f>
        <v>No</v>
      </c>
      <c r="O207" s="16">
        <f>G207-H207</f>
        <v>5821</v>
      </c>
      <c r="P207" s="16">
        <f>SUMIFS(O207:O207,E207:E207,"Science",F207:F207,"Completed")</f>
        <v>0</v>
      </c>
      <c r="Q207" s="3" t="str">
        <f>IF(MONTH(E207)&gt;=7, YEAR(E207)&amp;"-"&amp;YEAR(E207)+1, YEAR(E207)-1&amp;"-"&amp;YEAR(E207))</f>
        <v>2021-2022</v>
      </c>
      <c r="R207" s="3"/>
      <c r="S207" s="3"/>
      <c r="T207" s="15" t="str">
        <f t="shared" ca="1" si="3"/>
        <v>0</v>
      </c>
      <c r="U207" s="3"/>
    </row>
    <row r="208" spans="1:21" x14ac:dyDescent="0.35">
      <c r="A208" s="3" t="s">
        <v>437</v>
      </c>
      <c r="B208" s="3" t="s">
        <v>438</v>
      </c>
      <c r="C208" s="3" t="s">
        <v>28</v>
      </c>
      <c r="D208" s="3" t="s">
        <v>62</v>
      </c>
      <c r="E208" s="6">
        <v>45163</v>
      </c>
      <c r="F208" s="3" t="s">
        <v>14</v>
      </c>
      <c r="G208" s="3">
        <v>13915</v>
      </c>
      <c r="H208" s="3">
        <v>3698</v>
      </c>
      <c r="I208" s="3">
        <v>3</v>
      </c>
      <c r="J208" s="3">
        <v>79</v>
      </c>
      <c r="K208" s="15">
        <f ca="1">IF(F208="Enrolled",TODAY()-E208,"0")</f>
        <v>891</v>
      </c>
      <c r="L208" s="3" t="str">
        <f>IF(I208&gt;=3.5,"Excellent",IF(I208&gt;=3,"Good",IF(I208&gt;=2,"Average","Poor")))</f>
        <v>Good</v>
      </c>
      <c r="M208" s="3" t="str">
        <v>Dr.Sinha</v>
      </c>
      <c r="N208" s="3" t="str">
        <f>IF(H208 &gt; (G208*50%), "Yes", "No")</f>
        <v>No</v>
      </c>
      <c r="O208" s="16">
        <f>G208-H208</f>
        <v>10217</v>
      </c>
      <c r="P208" s="16">
        <f>SUMIFS(O208:O208,E208:E208,"Science",F208:F208,"Completed")</f>
        <v>0</v>
      </c>
      <c r="Q208" s="3" t="str">
        <f>IF(MONTH(E208)&gt;=7, YEAR(E208)&amp;"-"&amp;YEAR(E208)+1, YEAR(E208)-1&amp;"-"&amp;YEAR(E208))</f>
        <v>2023-2024</v>
      </c>
      <c r="R208" s="3"/>
      <c r="S208" s="3"/>
      <c r="T208" s="15" t="str">
        <f t="shared" ca="1" si="3"/>
        <v>0</v>
      </c>
      <c r="U208" s="3"/>
    </row>
    <row r="209" spans="1:21" x14ac:dyDescent="0.35">
      <c r="A209" s="3" t="s">
        <v>439</v>
      </c>
      <c r="B209" s="3" t="s">
        <v>440</v>
      </c>
      <c r="C209" s="3" t="s">
        <v>22</v>
      </c>
      <c r="D209" s="3" t="s">
        <v>62</v>
      </c>
      <c r="E209" s="6">
        <v>44683</v>
      </c>
      <c r="F209" s="3" t="s">
        <v>19</v>
      </c>
      <c r="G209" s="3">
        <v>10682</v>
      </c>
      <c r="H209" s="3">
        <v>3998</v>
      </c>
      <c r="I209" s="3">
        <v>2.58</v>
      </c>
      <c r="J209" s="3">
        <v>34</v>
      </c>
      <c r="K209" s="15" t="str">
        <f ca="1">IF(F209="Enrolled",TODAY()-E209,"0")</f>
        <v>0</v>
      </c>
      <c r="L209" s="3" t="str">
        <f>IF(I209&gt;=3.5,"Excellent",IF(I209&gt;=3,"Good",IF(I209&gt;=2,"Average","Poor")))</f>
        <v>Average</v>
      </c>
      <c r="M209" s="3" t="str">
        <v>Dr.Sinha</v>
      </c>
      <c r="N209" s="3" t="str">
        <f>IF(H209 &gt; (G209*50%), "Yes", "No")</f>
        <v>No</v>
      </c>
      <c r="O209" s="16">
        <f>G209-H209</f>
        <v>6684</v>
      </c>
      <c r="P209" s="16">
        <f>SUMIFS(O209:O209,E209:E209,"Science",F209:F209,"Completed")</f>
        <v>0</v>
      </c>
      <c r="Q209" s="3" t="str">
        <f>IF(MONTH(E209)&gt;=7, YEAR(E209)&amp;"-"&amp;YEAR(E209)+1, YEAR(E209)-1&amp;"-"&amp;YEAR(E209))</f>
        <v>2021-2022</v>
      </c>
      <c r="R209" s="3"/>
      <c r="S209" s="3"/>
      <c r="T209" s="15">
        <f t="shared" ca="1" si="3"/>
        <v>1371</v>
      </c>
      <c r="U209" s="3"/>
    </row>
    <row r="210" spans="1:21" x14ac:dyDescent="0.35">
      <c r="A210" s="3" t="s">
        <v>441</v>
      </c>
      <c r="B210" s="3" t="s">
        <v>442</v>
      </c>
      <c r="C210" s="3" t="s">
        <v>22</v>
      </c>
      <c r="D210" s="3" t="s">
        <v>13</v>
      </c>
      <c r="E210" s="6">
        <v>44565</v>
      </c>
      <c r="F210" s="3" t="s">
        <v>14</v>
      </c>
      <c r="G210" s="3">
        <v>7804</v>
      </c>
      <c r="H210" s="3">
        <v>1458</v>
      </c>
      <c r="I210" s="3">
        <v>3.63</v>
      </c>
      <c r="J210" s="3">
        <v>68</v>
      </c>
      <c r="K210" s="15">
        <f ca="1">IF(F210="Enrolled",TODAY()-E210,"0")</f>
        <v>1489</v>
      </c>
      <c r="L210" s="3" t="str">
        <f>IF(I210&gt;=3.5,"Excellent",IF(I210&gt;=3,"Good",IF(I210&gt;=2,"Average","Poor")))</f>
        <v>Excellent</v>
      </c>
      <c r="M210" s="3" t="str">
        <v>Dr.Mehta</v>
      </c>
      <c r="N210" s="3" t="str">
        <f>IF(H210 &gt; (G210*50%), "Yes", "No")</f>
        <v>No</v>
      </c>
      <c r="O210" s="16">
        <f>G210-H210</f>
        <v>6346</v>
      </c>
      <c r="P210" s="16">
        <f>SUMIFS(O210:O210,E210:E210,"Science",F210:F210,"Completed")</f>
        <v>0</v>
      </c>
      <c r="Q210" s="3" t="str">
        <f>IF(MONTH(E210)&gt;=7, YEAR(E210)&amp;"-"&amp;YEAR(E210)+1, YEAR(E210)-1&amp;"-"&amp;YEAR(E210))</f>
        <v>2021-2022</v>
      </c>
      <c r="R210" s="3"/>
      <c r="S210" s="3"/>
      <c r="T210" s="15" t="str">
        <f t="shared" ca="1" si="3"/>
        <v>0</v>
      </c>
      <c r="U210" s="3"/>
    </row>
    <row r="211" spans="1:21" x14ac:dyDescent="0.35">
      <c r="A211" s="3" t="s">
        <v>443</v>
      </c>
      <c r="B211" s="3" t="s">
        <v>444</v>
      </c>
      <c r="C211" s="3" t="s">
        <v>36</v>
      </c>
      <c r="D211" s="3" t="s">
        <v>13</v>
      </c>
      <c r="E211" s="6">
        <v>45433</v>
      </c>
      <c r="F211" s="3" t="s">
        <v>19</v>
      </c>
      <c r="G211" s="3">
        <v>14208</v>
      </c>
      <c r="H211" s="3">
        <v>1610</v>
      </c>
      <c r="I211" s="3">
        <v>2.4</v>
      </c>
      <c r="J211" s="3">
        <v>64</v>
      </c>
      <c r="K211" s="15" t="str">
        <f ca="1">IF(F211="Enrolled",TODAY()-E211,"0")</f>
        <v>0</v>
      </c>
      <c r="L211" s="3" t="str">
        <f>IF(I211&gt;=3.5,"Excellent",IF(I211&gt;=3,"Good",IF(I211&gt;=2,"Average","Poor")))</f>
        <v>Average</v>
      </c>
      <c r="M211" s="3" t="str">
        <v>Dr.Mehta</v>
      </c>
      <c r="N211" s="3" t="str">
        <f>IF(H211 &gt; (G211*50%), "Yes", "No")</f>
        <v>No</v>
      </c>
      <c r="O211" s="16">
        <f>G211-H211</f>
        <v>12598</v>
      </c>
      <c r="P211" s="16">
        <f>SUMIFS(O211:O211,E211:E211,"Science",F211:F211,"Completed")</f>
        <v>0</v>
      </c>
      <c r="Q211" s="3" t="str">
        <f>IF(MONTH(E211)&gt;=7, YEAR(E211)&amp;"-"&amp;YEAR(E211)+1, YEAR(E211)-1&amp;"-"&amp;YEAR(E211))</f>
        <v>2023-2024</v>
      </c>
      <c r="R211" s="3"/>
      <c r="S211" s="3"/>
      <c r="T211" s="15">
        <f t="shared" ca="1" si="3"/>
        <v>621</v>
      </c>
      <c r="U211" s="3"/>
    </row>
    <row r="212" spans="1:21" x14ac:dyDescent="0.35">
      <c r="A212" s="3" t="s">
        <v>445</v>
      </c>
      <c r="B212" s="3" t="s">
        <v>446</v>
      </c>
      <c r="C212" s="3" t="s">
        <v>22</v>
      </c>
      <c r="D212" s="3" t="s">
        <v>18</v>
      </c>
      <c r="E212" s="6">
        <v>45400</v>
      </c>
      <c r="F212" s="3" t="s">
        <v>39</v>
      </c>
      <c r="G212" s="3">
        <v>10912</v>
      </c>
      <c r="H212" s="3">
        <v>7036</v>
      </c>
      <c r="I212" s="3">
        <v>2.34</v>
      </c>
      <c r="J212" s="3">
        <v>43</v>
      </c>
      <c r="K212" s="15" t="str">
        <f ca="1">IF(F212="Enrolled",TODAY()-E212,"0")</f>
        <v>0</v>
      </c>
      <c r="L212" s="3" t="str">
        <f>IF(I212&gt;=3.5,"Excellent",IF(I212&gt;=3,"Good",IF(I212&gt;=2,"Average","Poor")))</f>
        <v>Average</v>
      </c>
      <c r="M212" s="3" t="str">
        <v>Dr.Roy</v>
      </c>
      <c r="N212" s="3" t="str">
        <f>IF(H212 &gt; (G212*50%), "Yes", "No")</f>
        <v>Yes</v>
      </c>
      <c r="O212" s="16">
        <f>G212-H212</f>
        <v>3876</v>
      </c>
      <c r="P212" s="16">
        <f>SUMIFS(O212:O212,E212:E212,"Science",F212:F212,"Completed")</f>
        <v>0</v>
      </c>
      <c r="Q212" s="3" t="str">
        <f>IF(MONTH(E212)&gt;=7, YEAR(E212)&amp;"-"&amp;YEAR(E212)+1, YEAR(E212)-1&amp;"-"&amp;YEAR(E212))</f>
        <v>2023-2024</v>
      </c>
      <c r="R212" s="3"/>
      <c r="S212" s="3"/>
      <c r="T212" s="15" t="str">
        <f t="shared" ca="1" si="3"/>
        <v>0</v>
      </c>
      <c r="U212" s="3"/>
    </row>
    <row r="213" spans="1:21" x14ac:dyDescent="0.35">
      <c r="A213" s="3" t="s">
        <v>447</v>
      </c>
      <c r="B213" s="3" t="s">
        <v>448</v>
      </c>
      <c r="C213" s="3" t="s">
        <v>17</v>
      </c>
      <c r="D213" s="3" t="s">
        <v>13</v>
      </c>
      <c r="E213" s="6">
        <v>45231</v>
      </c>
      <c r="F213" s="3" t="s">
        <v>14</v>
      </c>
      <c r="G213" s="3">
        <v>4292</v>
      </c>
      <c r="H213" s="3">
        <v>5770</v>
      </c>
      <c r="I213" s="3">
        <v>3.5</v>
      </c>
      <c r="J213" s="3">
        <v>96</v>
      </c>
      <c r="K213" s="15">
        <f ca="1">IF(F213="Enrolled",TODAY()-E213,"0")</f>
        <v>823</v>
      </c>
      <c r="L213" s="3" t="str">
        <f>IF(I213&gt;=3.5,"Excellent",IF(I213&gt;=3,"Good",IF(I213&gt;=2,"Average","Poor")))</f>
        <v>Excellent</v>
      </c>
      <c r="M213" s="3" t="str">
        <v>Dr.Mehta</v>
      </c>
      <c r="N213" s="3" t="str">
        <f>IF(H213 &gt; (G213*50%), "Yes", "No")</f>
        <v>Yes</v>
      </c>
      <c r="O213" s="16">
        <f>G213-H213</f>
        <v>-1478</v>
      </c>
      <c r="P213" s="16">
        <f>SUMIFS(O213:O213,E213:E213,"Science",F213:F213,"Completed")</f>
        <v>0</v>
      </c>
      <c r="Q213" s="3" t="str">
        <f>IF(MONTH(E213)&gt;=7, YEAR(E213)&amp;"-"&amp;YEAR(E213)+1, YEAR(E213)-1&amp;"-"&amp;YEAR(E213))</f>
        <v>2023-2024</v>
      </c>
      <c r="R213" s="3"/>
      <c r="S213" s="3"/>
      <c r="T213" s="15" t="str">
        <f t="shared" ca="1" si="3"/>
        <v>0</v>
      </c>
      <c r="U213" s="3"/>
    </row>
    <row r="214" spans="1:21" x14ac:dyDescent="0.35">
      <c r="A214" s="3" t="s">
        <v>449</v>
      </c>
      <c r="B214" s="3" t="s">
        <v>450</v>
      </c>
      <c r="C214" s="3" t="s">
        <v>28</v>
      </c>
      <c r="D214" s="3" t="s">
        <v>31</v>
      </c>
      <c r="E214" s="6">
        <v>45245</v>
      </c>
      <c r="F214" s="3" t="s">
        <v>19</v>
      </c>
      <c r="G214" s="3">
        <v>13557</v>
      </c>
      <c r="H214" s="3">
        <v>7162</v>
      </c>
      <c r="I214" s="3">
        <v>2.0299999999999998</v>
      </c>
      <c r="J214" s="3">
        <v>111</v>
      </c>
      <c r="K214" s="15" t="str">
        <f ca="1">IF(F214="Enrolled",TODAY()-E214,"0")</f>
        <v>0</v>
      </c>
      <c r="L214" s="3" t="str">
        <f>IF(I214&gt;=3.5,"Excellent",IF(I214&gt;=3,"Good",IF(I214&gt;=2,"Average","Poor")))</f>
        <v>Average</v>
      </c>
      <c r="M214" s="3" t="str">
        <v>Dr.Sharma</v>
      </c>
      <c r="N214" s="3" t="str">
        <f>IF(H214 &gt; (G214*50%), "Yes", "No")</f>
        <v>Yes</v>
      </c>
      <c r="O214" s="16">
        <f>G214-H214</f>
        <v>6395</v>
      </c>
      <c r="P214" s="16">
        <f>SUMIFS(O214:O214,E214:E214,"Science",F214:F214,"Completed")</f>
        <v>0</v>
      </c>
      <c r="Q214" s="3" t="str">
        <f>IF(MONTH(E214)&gt;=7, YEAR(E214)&amp;"-"&amp;YEAR(E214)+1, YEAR(E214)-1&amp;"-"&amp;YEAR(E214))</f>
        <v>2023-2024</v>
      </c>
      <c r="R214" s="3"/>
      <c r="S214" s="3"/>
      <c r="T214" s="15">
        <f t="shared" ca="1" si="3"/>
        <v>809</v>
      </c>
      <c r="U214" s="3"/>
    </row>
    <row r="215" spans="1:21" x14ac:dyDescent="0.35">
      <c r="A215" s="3" t="s">
        <v>451</v>
      </c>
      <c r="B215" s="3" t="s">
        <v>452</v>
      </c>
      <c r="C215" s="3" t="s">
        <v>17</v>
      </c>
      <c r="D215" s="3" t="s">
        <v>62</v>
      </c>
      <c r="E215" s="6">
        <v>45175</v>
      </c>
      <c r="F215" s="3" t="s">
        <v>19</v>
      </c>
      <c r="G215" s="3">
        <v>9626</v>
      </c>
      <c r="H215" s="3">
        <v>5195</v>
      </c>
      <c r="I215" s="3">
        <v>3.38</v>
      </c>
      <c r="J215" s="3">
        <v>17</v>
      </c>
      <c r="K215" s="15" t="str">
        <f ca="1">IF(F215="Enrolled",TODAY()-E215,"0")</f>
        <v>0</v>
      </c>
      <c r="L215" s="3" t="str">
        <f>IF(I215&gt;=3.5,"Excellent",IF(I215&gt;=3,"Good",IF(I215&gt;=2,"Average","Poor")))</f>
        <v>Good</v>
      </c>
      <c r="M215" s="3" t="str">
        <v>Dr.Sinha</v>
      </c>
      <c r="N215" s="3" t="str">
        <f>IF(H215 &gt; (G215*50%), "Yes", "No")</f>
        <v>Yes</v>
      </c>
      <c r="O215" s="16">
        <f>G215-H215</f>
        <v>4431</v>
      </c>
      <c r="P215" s="16">
        <f>SUMIFS(O215:O215,E215:E215,"Science",F215:F215,"Completed")</f>
        <v>0</v>
      </c>
      <c r="Q215" s="3" t="str">
        <f>IF(MONTH(E215)&gt;=7, YEAR(E215)&amp;"-"&amp;YEAR(E215)+1, YEAR(E215)-1&amp;"-"&amp;YEAR(E215))</f>
        <v>2023-2024</v>
      </c>
      <c r="R215" s="3"/>
      <c r="S215" s="3"/>
      <c r="T215" s="15">
        <f t="shared" ca="1" si="3"/>
        <v>879</v>
      </c>
      <c r="U215" s="3"/>
    </row>
    <row r="216" spans="1:21" x14ac:dyDescent="0.35">
      <c r="A216" s="3" t="s">
        <v>453</v>
      </c>
      <c r="B216" s="3" t="s">
        <v>454</v>
      </c>
      <c r="C216" s="3" t="s">
        <v>12</v>
      </c>
      <c r="D216" s="3" t="s">
        <v>13</v>
      </c>
      <c r="E216" s="6">
        <v>45157</v>
      </c>
      <c r="F216" s="3" t="s">
        <v>14</v>
      </c>
      <c r="G216" s="3">
        <v>13924</v>
      </c>
      <c r="H216" s="3">
        <v>919</v>
      </c>
      <c r="I216" s="3">
        <v>2.89</v>
      </c>
      <c r="J216" s="3">
        <v>108</v>
      </c>
      <c r="K216" s="15">
        <f ca="1">IF(F216="Enrolled",TODAY()-E216,"0")</f>
        <v>897</v>
      </c>
      <c r="L216" s="3" t="str">
        <f>IF(I216&gt;=3.5,"Excellent",IF(I216&gt;=3,"Good",IF(I216&gt;=2,"Average","Poor")))</f>
        <v>Average</v>
      </c>
      <c r="M216" s="3" t="str">
        <v>Dr.Mehta</v>
      </c>
      <c r="N216" s="3" t="str">
        <f>IF(H216 &gt; (G216*50%), "Yes", "No")</f>
        <v>No</v>
      </c>
      <c r="O216" s="16">
        <f>G216-H216</f>
        <v>13005</v>
      </c>
      <c r="P216" s="16">
        <f>SUMIFS(O216:O216,E216:E216,"Science",F216:F216,"Completed")</f>
        <v>0</v>
      </c>
      <c r="Q216" s="3" t="str">
        <f>IF(MONTH(E216)&gt;=7, YEAR(E216)&amp;"-"&amp;YEAR(E216)+1, YEAR(E216)-1&amp;"-"&amp;YEAR(E216))</f>
        <v>2023-2024</v>
      </c>
      <c r="R216" s="3"/>
      <c r="S216" s="3"/>
      <c r="T216" s="15" t="str">
        <f t="shared" ca="1" si="3"/>
        <v>0</v>
      </c>
      <c r="U216" s="3"/>
    </row>
    <row r="217" spans="1:21" x14ac:dyDescent="0.35">
      <c r="A217" s="3" t="s">
        <v>455</v>
      </c>
      <c r="B217" s="3" t="s">
        <v>456</v>
      </c>
      <c r="C217" s="3" t="s">
        <v>17</v>
      </c>
      <c r="D217" s="3" t="s">
        <v>62</v>
      </c>
      <c r="E217" s="6">
        <v>44802</v>
      </c>
      <c r="F217" s="3" t="s">
        <v>14</v>
      </c>
      <c r="G217" s="3">
        <v>11491</v>
      </c>
      <c r="H217" s="3">
        <v>8965</v>
      </c>
      <c r="I217" s="3">
        <v>2.95</v>
      </c>
      <c r="J217" s="3">
        <v>5</v>
      </c>
      <c r="K217" s="15">
        <f ca="1">IF(F217="Enrolled",TODAY()-E217,"0")</f>
        <v>1252</v>
      </c>
      <c r="L217" s="3" t="str">
        <f>IF(I217&gt;=3.5,"Excellent",IF(I217&gt;=3,"Good",IF(I217&gt;=2,"Average","Poor")))</f>
        <v>Average</v>
      </c>
      <c r="M217" s="3" t="str">
        <v>Dr.Sinha</v>
      </c>
      <c r="N217" s="3" t="str">
        <f>IF(H217 &gt; (G217*50%), "Yes", "No")</f>
        <v>Yes</v>
      </c>
      <c r="O217" s="16">
        <f>G217-H217</f>
        <v>2526</v>
      </c>
      <c r="P217" s="16">
        <f>SUMIFS(O217:O217,E217:E217,"Science",F217:F217,"Completed")</f>
        <v>0</v>
      </c>
      <c r="Q217" s="3" t="str">
        <f>IF(MONTH(E217)&gt;=7, YEAR(E217)&amp;"-"&amp;YEAR(E217)+1, YEAR(E217)-1&amp;"-"&amp;YEAR(E217))</f>
        <v>2022-2023</v>
      </c>
      <c r="R217" s="3"/>
      <c r="S217" s="3"/>
      <c r="T217" s="15" t="str">
        <f t="shared" ca="1" si="3"/>
        <v>0</v>
      </c>
      <c r="U217" s="3"/>
    </row>
    <row r="218" spans="1:21" x14ac:dyDescent="0.35">
      <c r="A218" s="3" t="s">
        <v>457</v>
      </c>
      <c r="B218" s="3" t="s">
        <v>458</v>
      </c>
      <c r="C218" s="3" t="s">
        <v>57</v>
      </c>
      <c r="D218" s="3" t="s">
        <v>18</v>
      </c>
      <c r="E218" s="6">
        <v>45388</v>
      </c>
      <c r="F218" s="3" t="s">
        <v>14</v>
      </c>
      <c r="G218" s="3">
        <v>3781</v>
      </c>
      <c r="H218" s="3">
        <v>4601</v>
      </c>
      <c r="I218" s="3">
        <v>3.36</v>
      </c>
      <c r="J218" s="3">
        <v>6</v>
      </c>
      <c r="K218" s="15">
        <f ca="1">IF(F218="Enrolled",TODAY()-E218,"0")</f>
        <v>666</v>
      </c>
      <c r="L218" s="3" t="str">
        <f>IF(I218&gt;=3.5,"Excellent",IF(I218&gt;=3,"Good",IF(I218&gt;=2,"Average","Poor")))</f>
        <v>Good</v>
      </c>
      <c r="M218" s="3" t="str">
        <v>Dr.Roy</v>
      </c>
      <c r="N218" s="3" t="str">
        <f>IF(H218 &gt; (G218*50%), "Yes", "No")</f>
        <v>Yes</v>
      </c>
      <c r="O218" s="16">
        <f>G218-H218</f>
        <v>-820</v>
      </c>
      <c r="P218" s="16">
        <f>SUMIFS(O218:O218,E218:E218,"Science",F218:F218,"Completed")</f>
        <v>0</v>
      </c>
      <c r="Q218" s="3" t="str">
        <f>IF(MONTH(E218)&gt;=7, YEAR(E218)&amp;"-"&amp;YEAR(E218)+1, YEAR(E218)-1&amp;"-"&amp;YEAR(E218))</f>
        <v>2023-2024</v>
      </c>
      <c r="R218" s="3"/>
      <c r="S218" s="3"/>
      <c r="T218" s="15" t="str">
        <f t="shared" ca="1" si="3"/>
        <v>0</v>
      </c>
      <c r="U218" s="3"/>
    </row>
    <row r="219" spans="1:21" x14ac:dyDescent="0.35">
      <c r="A219" s="3" t="s">
        <v>459</v>
      </c>
      <c r="B219" s="3" t="s">
        <v>460</v>
      </c>
      <c r="C219" s="3" t="s">
        <v>17</v>
      </c>
      <c r="D219" s="3" t="s">
        <v>62</v>
      </c>
      <c r="E219" s="6">
        <v>45252</v>
      </c>
      <c r="F219" s="3" t="s">
        <v>19</v>
      </c>
      <c r="G219" s="3">
        <v>12986</v>
      </c>
      <c r="H219" s="3">
        <v>7952</v>
      </c>
      <c r="I219" s="3">
        <v>2.85</v>
      </c>
      <c r="J219" s="3">
        <v>90</v>
      </c>
      <c r="K219" s="15" t="str">
        <f ca="1">IF(F219="Enrolled",TODAY()-E219,"0")</f>
        <v>0</v>
      </c>
      <c r="L219" s="3" t="str">
        <f>IF(I219&gt;=3.5,"Excellent",IF(I219&gt;=3,"Good",IF(I219&gt;=2,"Average","Poor")))</f>
        <v>Average</v>
      </c>
      <c r="M219" s="3" t="str">
        <v>Dr.Sinha</v>
      </c>
      <c r="N219" s="3" t="str">
        <f>IF(H219 &gt; (G219*50%), "Yes", "No")</f>
        <v>Yes</v>
      </c>
      <c r="O219" s="16">
        <f>G219-H219</f>
        <v>5034</v>
      </c>
      <c r="P219" s="16">
        <f>SUMIFS(O219:O219,E219:E219,"Science",F219:F219,"Completed")</f>
        <v>0</v>
      </c>
      <c r="Q219" s="3" t="str">
        <f>IF(MONTH(E219)&gt;=7, YEAR(E219)&amp;"-"&amp;YEAR(E219)+1, YEAR(E219)-1&amp;"-"&amp;YEAR(E219))</f>
        <v>2023-2024</v>
      </c>
      <c r="R219" s="3"/>
      <c r="S219" s="3"/>
      <c r="T219" s="15">
        <f t="shared" ca="1" si="3"/>
        <v>802</v>
      </c>
      <c r="U219" s="3"/>
    </row>
    <row r="220" spans="1:21" x14ac:dyDescent="0.35">
      <c r="A220" s="3" t="s">
        <v>461</v>
      </c>
      <c r="B220" s="3" t="s">
        <v>462</v>
      </c>
      <c r="C220" s="3" t="s">
        <v>57</v>
      </c>
      <c r="D220" s="3" t="s">
        <v>13</v>
      </c>
      <c r="E220" s="6">
        <v>44719</v>
      </c>
      <c r="F220" s="3" t="s">
        <v>14</v>
      </c>
      <c r="G220" s="3">
        <v>5785</v>
      </c>
      <c r="H220" s="3">
        <v>8652</v>
      </c>
      <c r="I220" s="3">
        <v>3.75</v>
      </c>
      <c r="J220" s="3">
        <v>96</v>
      </c>
      <c r="K220" s="15">
        <f ca="1">IF(F220="Enrolled",TODAY()-E220,"0")</f>
        <v>1335</v>
      </c>
      <c r="L220" s="3" t="str">
        <f>IF(I220&gt;=3.5,"Excellent",IF(I220&gt;=3,"Good",IF(I220&gt;=2,"Average","Poor")))</f>
        <v>Excellent</v>
      </c>
      <c r="M220" s="3" t="str">
        <v>Dr.Mehta</v>
      </c>
      <c r="N220" s="3" t="str">
        <f>IF(H220 &gt; (G220*50%), "Yes", "No")</f>
        <v>Yes</v>
      </c>
      <c r="O220" s="16">
        <f>G220-H220</f>
        <v>-2867</v>
      </c>
      <c r="P220" s="16">
        <f>SUMIFS(O220:O220,E220:E220,"Science",F220:F220,"Completed")</f>
        <v>0</v>
      </c>
      <c r="Q220" s="3" t="str">
        <f>IF(MONTH(E220)&gt;=7, YEAR(E220)&amp;"-"&amp;YEAR(E220)+1, YEAR(E220)-1&amp;"-"&amp;YEAR(E220))</f>
        <v>2021-2022</v>
      </c>
      <c r="R220" s="3"/>
      <c r="S220" s="3"/>
      <c r="T220" s="15" t="str">
        <f t="shared" ca="1" si="3"/>
        <v>0</v>
      </c>
      <c r="U220" s="3"/>
    </row>
    <row r="221" spans="1:21" x14ac:dyDescent="0.35">
      <c r="A221" s="3" t="s">
        <v>463</v>
      </c>
      <c r="B221" s="3" t="s">
        <v>464</v>
      </c>
      <c r="C221" s="3" t="s">
        <v>17</v>
      </c>
      <c r="D221" s="3" t="s">
        <v>62</v>
      </c>
      <c r="E221" s="6">
        <v>44924</v>
      </c>
      <c r="F221" s="3" t="s">
        <v>14</v>
      </c>
      <c r="G221" s="3">
        <v>6786</v>
      </c>
      <c r="H221" s="3">
        <v>6481</v>
      </c>
      <c r="I221" s="3">
        <v>2.57</v>
      </c>
      <c r="J221" s="3">
        <v>28</v>
      </c>
      <c r="K221" s="15">
        <f ca="1">IF(F221="Enrolled",TODAY()-E221,"0")</f>
        <v>1130</v>
      </c>
      <c r="L221" s="3" t="str">
        <f>IF(I221&gt;=3.5,"Excellent",IF(I221&gt;=3,"Good",IF(I221&gt;=2,"Average","Poor")))</f>
        <v>Average</v>
      </c>
      <c r="M221" s="3" t="str">
        <v>Dr.Sinha</v>
      </c>
      <c r="N221" s="3" t="str">
        <f>IF(H221 &gt; (G221*50%), "Yes", "No")</f>
        <v>Yes</v>
      </c>
      <c r="O221" s="16">
        <f>G221-H221</f>
        <v>305</v>
      </c>
      <c r="P221" s="16">
        <f>SUMIFS(O221:O221,E221:E221,"Science",F221:F221,"Completed")</f>
        <v>0</v>
      </c>
      <c r="Q221" s="3" t="str">
        <f>IF(MONTH(E221)&gt;=7, YEAR(E221)&amp;"-"&amp;YEAR(E221)+1, YEAR(E221)-1&amp;"-"&amp;YEAR(E221))</f>
        <v>2022-2023</v>
      </c>
      <c r="R221" s="3"/>
      <c r="S221" s="3"/>
      <c r="T221" s="15" t="str">
        <f t="shared" ca="1" si="3"/>
        <v>0</v>
      </c>
      <c r="U221" s="3"/>
    </row>
    <row r="222" spans="1:21" x14ac:dyDescent="0.35">
      <c r="A222" s="3" t="s">
        <v>465</v>
      </c>
      <c r="B222" s="3" t="s">
        <v>466</v>
      </c>
      <c r="C222" s="3" t="s">
        <v>28</v>
      </c>
      <c r="D222" s="3" t="s">
        <v>31</v>
      </c>
      <c r="E222" s="6">
        <v>44843</v>
      </c>
      <c r="F222" s="3" t="s">
        <v>14</v>
      </c>
      <c r="G222" s="3">
        <v>6615</v>
      </c>
      <c r="H222" s="3">
        <v>199</v>
      </c>
      <c r="I222" s="3">
        <v>2.04</v>
      </c>
      <c r="J222" s="3">
        <v>38</v>
      </c>
      <c r="K222" s="15">
        <f ca="1">IF(F222="Enrolled",TODAY()-E222,"0")</f>
        <v>1211</v>
      </c>
      <c r="L222" s="3" t="str">
        <f>IF(I222&gt;=3.5,"Excellent",IF(I222&gt;=3,"Good",IF(I222&gt;=2,"Average","Poor")))</f>
        <v>Average</v>
      </c>
      <c r="M222" s="3" t="str">
        <v>Dr.Sharma</v>
      </c>
      <c r="N222" s="3" t="str">
        <f>IF(H222 &gt; (G222*50%), "Yes", "No")</f>
        <v>No</v>
      </c>
      <c r="O222" s="16">
        <f>G222-H222</f>
        <v>6416</v>
      </c>
      <c r="P222" s="16">
        <f>SUMIFS(O222:O222,E222:E222,"Science",F222:F222,"Completed")</f>
        <v>0</v>
      </c>
      <c r="Q222" s="3" t="str">
        <f>IF(MONTH(E222)&gt;=7, YEAR(E222)&amp;"-"&amp;YEAR(E222)+1, YEAR(E222)-1&amp;"-"&amp;YEAR(E222))</f>
        <v>2022-2023</v>
      </c>
      <c r="R222" s="3"/>
      <c r="S222" s="3"/>
      <c r="T222" s="15" t="str">
        <f t="shared" ca="1" si="3"/>
        <v>0</v>
      </c>
      <c r="U222" s="3"/>
    </row>
    <row r="223" spans="1:21" x14ac:dyDescent="0.35">
      <c r="A223" s="3" t="s">
        <v>467</v>
      </c>
      <c r="B223" s="3" t="s">
        <v>468</v>
      </c>
      <c r="C223" s="3" t="s">
        <v>54</v>
      </c>
      <c r="D223" s="3" t="s">
        <v>18</v>
      </c>
      <c r="E223" s="6">
        <v>45449</v>
      </c>
      <c r="F223" s="3" t="s">
        <v>14</v>
      </c>
      <c r="G223" s="3">
        <v>9625</v>
      </c>
      <c r="H223" s="3">
        <v>8374</v>
      </c>
      <c r="I223" s="3">
        <v>3.69</v>
      </c>
      <c r="J223" s="3">
        <v>6</v>
      </c>
      <c r="K223" s="15">
        <f ca="1">IF(F223="Enrolled",TODAY()-E223,"0")</f>
        <v>605</v>
      </c>
      <c r="L223" s="3" t="str">
        <f>IF(I223&gt;=3.5,"Excellent",IF(I223&gt;=3,"Good",IF(I223&gt;=2,"Average","Poor")))</f>
        <v>Excellent</v>
      </c>
      <c r="M223" s="3" t="str">
        <v>Dr.Roy</v>
      </c>
      <c r="N223" s="3" t="str">
        <f>IF(H223 &gt; (G223*50%), "Yes", "No")</f>
        <v>Yes</v>
      </c>
      <c r="O223" s="16">
        <f>G223-H223</f>
        <v>1251</v>
      </c>
      <c r="P223" s="16">
        <f>SUMIFS(O223:O223,E223:E223,"Science",F223:F223,"Completed")</f>
        <v>0</v>
      </c>
      <c r="Q223" s="3" t="str">
        <f>IF(MONTH(E223)&gt;=7, YEAR(E223)&amp;"-"&amp;YEAR(E223)+1, YEAR(E223)-1&amp;"-"&amp;YEAR(E223))</f>
        <v>2023-2024</v>
      </c>
      <c r="R223" s="3"/>
      <c r="S223" s="3"/>
      <c r="T223" s="15" t="str">
        <f t="shared" ca="1" si="3"/>
        <v>0</v>
      </c>
      <c r="U223" s="3"/>
    </row>
    <row r="224" spans="1:21" x14ac:dyDescent="0.35">
      <c r="A224" s="3" t="s">
        <v>469</v>
      </c>
      <c r="B224" s="3" t="s">
        <v>470</v>
      </c>
      <c r="C224" s="3" t="s">
        <v>57</v>
      </c>
      <c r="D224" s="3" t="s">
        <v>62</v>
      </c>
      <c r="E224" s="6">
        <v>45192</v>
      </c>
      <c r="F224" s="3" t="s">
        <v>14</v>
      </c>
      <c r="G224" s="3">
        <v>13304</v>
      </c>
      <c r="H224" s="3">
        <v>6463</v>
      </c>
      <c r="I224" s="3">
        <v>3.24</v>
      </c>
      <c r="J224" s="3">
        <v>96</v>
      </c>
      <c r="K224" s="15">
        <f ca="1">IF(F224="Enrolled",TODAY()-E224,"0")</f>
        <v>862</v>
      </c>
      <c r="L224" s="3" t="str">
        <f>IF(I224&gt;=3.5,"Excellent",IF(I224&gt;=3,"Good",IF(I224&gt;=2,"Average","Poor")))</f>
        <v>Good</v>
      </c>
      <c r="M224" s="3" t="str">
        <v>Dr.Sinha</v>
      </c>
      <c r="N224" s="3" t="str">
        <f>IF(H224 &gt; (G224*50%), "Yes", "No")</f>
        <v>No</v>
      </c>
      <c r="O224" s="16">
        <f>G224-H224</f>
        <v>6841</v>
      </c>
      <c r="P224" s="16">
        <f>SUMIFS(O224:O224,E224:E224,"Science",F224:F224,"Completed")</f>
        <v>0</v>
      </c>
      <c r="Q224" s="3" t="str">
        <f>IF(MONTH(E224)&gt;=7, YEAR(E224)&amp;"-"&amp;YEAR(E224)+1, YEAR(E224)-1&amp;"-"&amp;YEAR(E224))</f>
        <v>2023-2024</v>
      </c>
      <c r="R224" s="3"/>
      <c r="S224" s="3"/>
      <c r="T224" s="15" t="str">
        <f t="shared" ca="1" si="3"/>
        <v>0</v>
      </c>
      <c r="U224" s="3"/>
    </row>
    <row r="225" spans="1:21" x14ac:dyDescent="0.35">
      <c r="A225" s="3" t="s">
        <v>471</v>
      </c>
      <c r="B225" s="3" t="s">
        <v>472</v>
      </c>
      <c r="C225" s="3" t="s">
        <v>54</v>
      </c>
      <c r="D225" s="3" t="s">
        <v>13</v>
      </c>
      <c r="E225" s="6">
        <v>45116</v>
      </c>
      <c r="F225" s="3" t="s">
        <v>14</v>
      </c>
      <c r="G225" s="3">
        <v>4559</v>
      </c>
      <c r="H225" s="3">
        <v>385</v>
      </c>
      <c r="I225" s="3">
        <v>3.67</v>
      </c>
      <c r="J225" s="3">
        <v>105</v>
      </c>
      <c r="K225" s="15">
        <f ca="1">IF(F225="Enrolled",TODAY()-E225,"0")</f>
        <v>938</v>
      </c>
      <c r="L225" s="3" t="str">
        <f>IF(I225&gt;=3.5,"Excellent",IF(I225&gt;=3,"Good",IF(I225&gt;=2,"Average","Poor")))</f>
        <v>Excellent</v>
      </c>
      <c r="M225" s="3" t="str">
        <v>Dr.Mehta</v>
      </c>
      <c r="N225" s="3" t="str">
        <f>IF(H225 &gt; (G225*50%), "Yes", "No")</f>
        <v>No</v>
      </c>
      <c r="O225" s="16">
        <f>G225-H225</f>
        <v>4174</v>
      </c>
      <c r="P225" s="16">
        <f>SUMIFS(O225:O225,E225:E225,"Science",F225:F225,"Completed")</f>
        <v>0</v>
      </c>
      <c r="Q225" s="3" t="str">
        <f>IF(MONTH(E225)&gt;=7, YEAR(E225)&amp;"-"&amp;YEAR(E225)+1, YEAR(E225)-1&amp;"-"&amp;YEAR(E225))</f>
        <v>2023-2024</v>
      </c>
      <c r="R225" s="3"/>
      <c r="S225" s="3"/>
      <c r="T225" s="15" t="str">
        <f t="shared" ca="1" si="3"/>
        <v>0</v>
      </c>
      <c r="U225" s="3"/>
    </row>
    <row r="226" spans="1:21" x14ac:dyDescent="0.35">
      <c r="A226" s="3" t="s">
        <v>473</v>
      </c>
      <c r="B226" s="3" t="s">
        <v>474</v>
      </c>
      <c r="C226" s="3" t="s">
        <v>57</v>
      </c>
      <c r="D226" s="3" t="s">
        <v>31</v>
      </c>
      <c r="E226" s="6">
        <v>44777</v>
      </c>
      <c r="F226" s="3" t="s">
        <v>14</v>
      </c>
      <c r="G226" s="3">
        <v>4418</v>
      </c>
      <c r="H226" s="3">
        <v>295</v>
      </c>
      <c r="I226" s="3">
        <v>2.12</v>
      </c>
      <c r="J226" s="3">
        <v>65</v>
      </c>
      <c r="K226" s="15">
        <f ca="1">IF(F226="Enrolled",TODAY()-E226,"0")</f>
        <v>1277</v>
      </c>
      <c r="L226" s="3" t="str">
        <f>IF(I226&gt;=3.5,"Excellent",IF(I226&gt;=3,"Good",IF(I226&gt;=2,"Average","Poor")))</f>
        <v>Average</v>
      </c>
      <c r="M226" s="3" t="str">
        <v>Dr.Sharma</v>
      </c>
      <c r="N226" s="3" t="str">
        <f>IF(H226 &gt; (G226*50%), "Yes", "No")</f>
        <v>No</v>
      </c>
      <c r="O226" s="16">
        <f>G226-H226</f>
        <v>4123</v>
      </c>
      <c r="P226" s="16">
        <f>SUMIFS(O226:O226,E226:E226,"Science",F226:F226,"Completed")</f>
        <v>0</v>
      </c>
      <c r="Q226" s="3" t="str">
        <f>IF(MONTH(E226)&gt;=7, YEAR(E226)&amp;"-"&amp;YEAR(E226)+1, YEAR(E226)-1&amp;"-"&amp;YEAR(E226))</f>
        <v>2022-2023</v>
      </c>
      <c r="R226" s="3"/>
      <c r="S226" s="3"/>
      <c r="T226" s="15" t="str">
        <f t="shared" ca="1" si="3"/>
        <v>0</v>
      </c>
      <c r="U226" s="3"/>
    </row>
    <row r="227" spans="1:21" x14ac:dyDescent="0.35">
      <c r="A227" s="3" t="s">
        <v>475</v>
      </c>
      <c r="B227" s="3" t="s">
        <v>476</v>
      </c>
      <c r="C227" s="3" t="s">
        <v>28</v>
      </c>
      <c r="D227" s="3" t="s">
        <v>18</v>
      </c>
      <c r="E227" s="6">
        <v>44842</v>
      </c>
      <c r="F227" s="3" t="s">
        <v>14</v>
      </c>
      <c r="G227" s="3">
        <v>11433</v>
      </c>
      <c r="H227" s="3">
        <v>5463</v>
      </c>
      <c r="I227" s="3">
        <v>2.87</v>
      </c>
      <c r="J227" s="3">
        <v>55</v>
      </c>
      <c r="K227" s="15">
        <f ca="1">IF(F227="Enrolled",TODAY()-E227,"0")</f>
        <v>1212</v>
      </c>
      <c r="L227" s="3" t="str">
        <f>IF(I227&gt;=3.5,"Excellent",IF(I227&gt;=3,"Good",IF(I227&gt;=2,"Average","Poor")))</f>
        <v>Average</v>
      </c>
      <c r="M227" s="3" t="str">
        <v>Dr.Roy</v>
      </c>
      <c r="N227" s="3" t="str">
        <f>IF(H227 &gt; (G227*50%), "Yes", "No")</f>
        <v>No</v>
      </c>
      <c r="O227" s="16">
        <f>G227-H227</f>
        <v>5970</v>
      </c>
      <c r="P227" s="16">
        <f>SUMIFS(O227:O227,E227:E227,"Science",F227:F227,"Completed")</f>
        <v>0</v>
      </c>
      <c r="Q227" s="3" t="str">
        <f>IF(MONTH(E227)&gt;=7, YEAR(E227)&amp;"-"&amp;YEAR(E227)+1, YEAR(E227)-1&amp;"-"&amp;YEAR(E227))</f>
        <v>2022-2023</v>
      </c>
      <c r="R227" s="3"/>
      <c r="S227" s="3"/>
      <c r="T227" s="15" t="str">
        <f t="shared" ca="1" si="3"/>
        <v>0</v>
      </c>
      <c r="U227" s="3"/>
    </row>
    <row r="228" spans="1:21" x14ac:dyDescent="0.35">
      <c r="A228" s="3" t="s">
        <v>477</v>
      </c>
      <c r="B228" s="3" t="s">
        <v>478</v>
      </c>
      <c r="C228" s="3" t="s">
        <v>28</v>
      </c>
      <c r="D228" s="3" t="s">
        <v>62</v>
      </c>
      <c r="E228" s="6">
        <v>45149</v>
      </c>
      <c r="F228" s="3" t="s">
        <v>14</v>
      </c>
      <c r="G228" s="3">
        <v>10920</v>
      </c>
      <c r="H228" s="3">
        <v>1855</v>
      </c>
      <c r="I228" s="3">
        <v>2.5299999999999998</v>
      </c>
      <c r="J228" s="3">
        <v>35</v>
      </c>
      <c r="K228" s="15">
        <f ca="1">IF(F228="Enrolled",TODAY()-E228,"0")</f>
        <v>905</v>
      </c>
      <c r="L228" s="3" t="str">
        <f>IF(I228&gt;=3.5,"Excellent",IF(I228&gt;=3,"Good",IF(I228&gt;=2,"Average","Poor")))</f>
        <v>Average</v>
      </c>
      <c r="M228" s="3" t="str">
        <v>Dr.Sinha</v>
      </c>
      <c r="N228" s="3" t="str">
        <f>IF(H228 &gt; (G228*50%), "Yes", "No")</f>
        <v>No</v>
      </c>
      <c r="O228" s="16">
        <f>G228-H228</f>
        <v>9065</v>
      </c>
      <c r="P228" s="16">
        <f>SUMIFS(O228:O228,E228:E228,"Science",F228:F228,"Completed")</f>
        <v>0</v>
      </c>
      <c r="Q228" s="3" t="str">
        <f>IF(MONTH(E228)&gt;=7, YEAR(E228)&amp;"-"&amp;YEAR(E228)+1, YEAR(E228)-1&amp;"-"&amp;YEAR(E228))</f>
        <v>2023-2024</v>
      </c>
      <c r="R228" s="3"/>
      <c r="S228" s="3"/>
      <c r="T228" s="15" t="str">
        <f t="shared" ca="1" si="3"/>
        <v>0</v>
      </c>
      <c r="U228" s="3"/>
    </row>
    <row r="229" spans="1:21" x14ac:dyDescent="0.35">
      <c r="A229" s="3" t="s">
        <v>479</v>
      </c>
      <c r="B229" s="3" t="s">
        <v>480</v>
      </c>
      <c r="C229" s="3" t="s">
        <v>36</v>
      </c>
      <c r="D229" s="3" t="s">
        <v>13</v>
      </c>
      <c r="E229" s="6">
        <v>44644</v>
      </c>
      <c r="F229" s="3" t="s">
        <v>19</v>
      </c>
      <c r="G229" s="3">
        <v>7532</v>
      </c>
      <c r="H229" s="3">
        <v>5770</v>
      </c>
      <c r="I229" s="3">
        <v>2.84</v>
      </c>
      <c r="J229" s="3">
        <v>53</v>
      </c>
      <c r="K229" s="15" t="str">
        <f ca="1">IF(F229="Enrolled",TODAY()-E229,"0")</f>
        <v>0</v>
      </c>
      <c r="L229" s="3" t="str">
        <f>IF(I229&gt;=3.5,"Excellent",IF(I229&gt;=3,"Good",IF(I229&gt;=2,"Average","Poor")))</f>
        <v>Average</v>
      </c>
      <c r="M229" s="3" t="str">
        <v>Dr.Mehta</v>
      </c>
      <c r="N229" s="3" t="str">
        <f>IF(H229 &gt; (G229*50%), "Yes", "No")</f>
        <v>Yes</v>
      </c>
      <c r="O229" s="16">
        <f>G229-H229</f>
        <v>1762</v>
      </c>
      <c r="P229" s="16">
        <f>SUMIFS(O229:O229,E229:E229,"Science",F229:F229,"Completed")</f>
        <v>0</v>
      </c>
      <c r="Q229" s="3" t="str">
        <f>IF(MONTH(E229)&gt;=7, YEAR(E229)&amp;"-"&amp;YEAR(E229)+1, YEAR(E229)-1&amp;"-"&amp;YEAR(E229))</f>
        <v>2021-2022</v>
      </c>
      <c r="R229" s="3"/>
      <c r="S229" s="3"/>
      <c r="T229" s="15">
        <f t="shared" ca="1" si="3"/>
        <v>1410</v>
      </c>
      <c r="U229" s="3"/>
    </row>
    <row r="230" spans="1:21" x14ac:dyDescent="0.35">
      <c r="A230" s="3" t="s">
        <v>481</v>
      </c>
      <c r="B230" s="3" t="s">
        <v>482</v>
      </c>
      <c r="C230" s="3" t="s">
        <v>28</v>
      </c>
      <c r="D230" s="3" t="s">
        <v>62</v>
      </c>
      <c r="E230" s="6">
        <v>45226</v>
      </c>
      <c r="F230" s="3" t="s">
        <v>14</v>
      </c>
      <c r="G230" s="3">
        <v>4365</v>
      </c>
      <c r="H230" s="3">
        <v>9361</v>
      </c>
      <c r="I230" s="3">
        <v>3.09</v>
      </c>
      <c r="J230" s="3">
        <v>24</v>
      </c>
      <c r="K230" s="15">
        <f ca="1">IF(F230="Enrolled",TODAY()-E230,"0")</f>
        <v>828</v>
      </c>
      <c r="L230" s="3" t="str">
        <f>IF(I230&gt;=3.5,"Excellent",IF(I230&gt;=3,"Good",IF(I230&gt;=2,"Average","Poor")))</f>
        <v>Good</v>
      </c>
      <c r="M230" s="3" t="str">
        <v>Dr.Sinha</v>
      </c>
      <c r="N230" s="3" t="str">
        <f>IF(H230 &gt; (G230*50%), "Yes", "No")</f>
        <v>Yes</v>
      </c>
      <c r="O230" s="16">
        <f>G230-H230</f>
        <v>-4996</v>
      </c>
      <c r="P230" s="16">
        <f>SUMIFS(O230:O230,E230:E230,"Science",F230:F230,"Completed")</f>
        <v>0</v>
      </c>
      <c r="Q230" s="3" t="str">
        <f>IF(MONTH(E230)&gt;=7, YEAR(E230)&amp;"-"&amp;YEAR(E230)+1, YEAR(E230)-1&amp;"-"&amp;YEAR(E230))</f>
        <v>2023-2024</v>
      </c>
      <c r="R230" s="3"/>
      <c r="S230" s="3"/>
      <c r="T230" s="15" t="str">
        <f t="shared" ca="1" si="3"/>
        <v>0</v>
      </c>
      <c r="U230" s="3"/>
    </row>
    <row r="231" spans="1:21" x14ac:dyDescent="0.35">
      <c r="A231" s="3" t="s">
        <v>483</v>
      </c>
      <c r="B231" s="3" t="s">
        <v>484</v>
      </c>
      <c r="C231" s="3" t="s">
        <v>54</v>
      </c>
      <c r="D231" s="3" t="s">
        <v>13</v>
      </c>
      <c r="E231" s="6">
        <v>44568</v>
      </c>
      <c r="F231" s="3" t="s">
        <v>19</v>
      </c>
      <c r="G231" s="3">
        <v>8437</v>
      </c>
      <c r="H231" s="3">
        <v>5207</v>
      </c>
      <c r="I231" s="3">
        <v>2.61</v>
      </c>
      <c r="J231" s="3">
        <v>78</v>
      </c>
      <c r="K231" s="15" t="str">
        <f ca="1">IF(F231="Enrolled",TODAY()-E231,"0")</f>
        <v>0</v>
      </c>
      <c r="L231" s="3" t="str">
        <f>IF(I231&gt;=3.5,"Excellent",IF(I231&gt;=3,"Good",IF(I231&gt;=2,"Average","Poor")))</f>
        <v>Average</v>
      </c>
      <c r="M231" s="3" t="str">
        <v>Dr.Mehta</v>
      </c>
      <c r="N231" s="3" t="str">
        <f>IF(H231 &gt; (G231*50%), "Yes", "No")</f>
        <v>Yes</v>
      </c>
      <c r="O231" s="16">
        <f>G231-H231</f>
        <v>3230</v>
      </c>
      <c r="P231" s="16">
        <f>SUMIFS(O231:O231,E231:E231,"Science",F231:F231,"Completed")</f>
        <v>0</v>
      </c>
      <c r="Q231" s="3" t="str">
        <f>IF(MONTH(E231)&gt;=7, YEAR(E231)&amp;"-"&amp;YEAR(E231)+1, YEAR(E231)-1&amp;"-"&amp;YEAR(E231))</f>
        <v>2021-2022</v>
      </c>
      <c r="R231" s="3"/>
      <c r="S231" s="3"/>
      <c r="T231" s="15">
        <f t="shared" ca="1" si="3"/>
        <v>1486</v>
      </c>
      <c r="U231" s="3"/>
    </row>
    <row r="232" spans="1:21" x14ac:dyDescent="0.35">
      <c r="A232" s="3" t="s">
        <v>485</v>
      </c>
      <c r="B232" s="3" t="s">
        <v>486</v>
      </c>
      <c r="C232" s="3" t="s">
        <v>54</v>
      </c>
      <c r="D232" s="3" t="s">
        <v>62</v>
      </c>
      <c r="E232" s="6">
        <v>44985</v>
      </c>
      <c r="F232" s="3" t="s">
        <v>14</v>
      </c>
      <c r="G232" s="3">
        <v>8696</v>
      </c>
      <c r="H232" s="3">
        <v>684</v>
      </c>
      <c r="I232" s="3">
        <v>2.88</v>
      </c>
      <c r="J232" s="3">
        <v>83</v>
      </c>
      <c r="K232" s="15">
        <f ca="1">IF(F232="Enrolled",TODAY()-E232,"0")</f>
        <v>1069</v>
      </c>
      <c r="L232" s="3" t="str">
        <f>IF(I232&gt;=3.5,"Excellent",IF(I232&gt;=3,"Good",IF(I232&gt;=2,"Average","Poor")))</f>
        <v>Average</v>
      </c>
      <c r="M232" s="3" t="str">
        <v>Dr.Sinha</v>
      </c>
      <c r="N232" s="3" t="str">
        <f>IF(H232 &gt; (G232*50%), "Yes", "No")</f>
        <v>No</v>
      </c>
      <c r="O232" s="16">
        <f>G232-H232</f>
        <v>8012</v>
      </c>
      <c r="P232" s="16">
        <f>SUMIFS(O232:O232,E232:E232,"Science",F232:F232,"Completed")</f>
        <v>0</v>
      </c>
      <c r="Q232" s="3" t="str">
        <f>IF(MONTH(E232)&gt;=7, YEAR(E232)&amp;"-"&amp;YEAR(E232)+1, YEAR(E232)-1&amp;"-"&amp;YEAR(E232))</f>
        <v>2022-2023</v>
      </c>
      <c r="R232" s="3"/>
      <c r="S232" s="3"/>
      <c r="T232" s="15" t="str">
        <f t="shared" ca="1" si="3"/>
        <v>0</v>
      </c>
      <c r="U232" s="3"/>
    </row>
    <row r="233" spans="1:21" x14ac:dyDescent="0.35">
      <c r="A233" s="3" t="s">
        <v>487</v>
      </c>
      <c r="B233" s="3" t="s">
        <v>488</v>
      </c>
      <c r="C233" s="3" t="s">
        <v>22</v>
      </c>
      <c r="D233" s="3" t="s">
        <v>62</v>
      </c>
      <c r="E233" s="6">
        <v>44682</v>
      </c>
      <c r="F233" s="3" t="s">
        <v>19</v>
      </c>
      <c r="G233" s="3">
        <v>11639</v>
      </c>
      <c r="H233" s="3">
        <v>4226</v>
      </c>
      <c r="I233" s="3">
        <v>3.24</v>
      </c>
      <c r="J233" s="3">
        <v>43</v>
      </c>
      <c r="K233" s="15" t="str">
        <f ca="1">IF(F233="Enrolled",TODAY()-E233,"0")</f>
        <v>0</v>
      </c>
      <c r="L233" s="3" t="str">
        <f>IF(I233&gt;=3.5,"Excellent",IF(I233&gt;=3,"Good",IF(I233&gt;=2,"Average","Poor")))</f>
        <v>Good</v>
      </c>
      <c r="M233" s="3" t="str">
        <v>Dr.Sinha</v>
      </c>
      <c r="N233" s="3" t="str">
        <f>IF(H233 &gt; (G233*50%), "Yes", "No")</f>
        <v>No</v>
      </c>
      <c r="O233" s="16">
        <f>G233-H233</f>
        <v>7413</v>
      </c>
      <c r="P233" s="16">
        <f>SUMIFS(O233:O233,E233:E233,"Science",F233:F233,"Completed")</f>
        <v>0</v>
      </c>
      <c r="Q233" s="3" t="str">
        <f>IF(MONTH(E233)&gt;=7, YEAR(E233)&amp;"-"&amp;YEAR(E233)+1, YEAR(E233)-1&amp;"-"&amp;YEAR(E233))</f>
        <v>2021-2022</v>
      </c>
      <c r="R233" s="3"/>
      <c r="S233" s="3"/>
      <c r="T233" s="15">
        <f t="shared" ca="1" si="3"/>
        <v>1372</v>
      </c>
      <c r="U233" s="3"/>
    </row>
    <row r="234" spans="1:21" x14ac:dyDescent="0.35">
      <c r="A234" s="3" t="s">
        <v>489</v>
      </c>
      <c r="B234" s="3" t="s">
        <v>490</v>
      </c>
      <c r="C234" s="3" t="s">
        <v>28</v>
      </c>
      <c r="D234" s="3" t="s">
        <v>18</v>
      </c>
      <c r="E234" s="6">
        <v>45280</v>
      </c>
      <c r="F234" s="3" t="s">
        <v>19</v>
      </c>
      <c r="G234" s="3">
        <v>14104</v>
      </c>
      <c r="H234" s="3">
        <v>7961</v>
      </c>
      <c r="I234" s="3">
        <v>3.12</v>
      </c>
      <c r="J234" s="3">
        <v>119</v>
      </c>
      <c r="K234" s="15" t="str">
        <f ca="1">IF(F234="Enrolled",TODAY()-E234,"0")</f>
        <v>0</v>
      </c>
      <c r="L234" s="3" t="str">
        <f>IF(I234&gt;=3.5,"Excellent",IF(I234&gt;=3,"Good",IF(I234&gt;=2,"Average","Poor")))</f>
        <v>Good</v>
      </c>
      <c r="M234" s="3" t="str">
        <v>Dr.Roy</v>
      </c>
      <c r="N234" s="3" t="str">
        <f>IF(H234 &gt; (G234*50%), "Yes", "No")</f>
        <v>Yes</v>
      </c>
      <c r="O234" s="16">
        <f>G234-H234</f>
        <v>6143</v>
      </c>
      <c r="P234" s="16">
        <f>SUMIFS(O234:O234,E234:E234,"Science",F234:F234,"Completed")</f>
        <v>0</v>
      </c>
      <c r="Q234" s="3" t="str">
        <f>IF(MONTH(E234)&gt;=7, YEAR(E234)&amp;"-"&amp;YEAR(E234)+1, YEAR(E234)-1&amp;"-"&amp;YEAR(E234))</f>
        <v>2023-2024</v>
      </c>
      <c r="R234" s="3"/>
      <c r="S234" s="3"/>
      <c r="T234" s="15">
        <f t="shared" ca="1" si="3"/>
        <v>774</v>
      </c>
      <c r="U234" s="3"/>
    </row>
    <row r="235" spans="1:21" x14ac:dyDescent="0.35">
      <c r="A235" s="3" t="s">
        <v>491</v>
      </c>
      <c r="B235" s="3" t="s">
        <v>492</v>
      </c>
      <c r="C235" s="3" t="s">
        <v>25</v>
      </c>
      <c r="D235" s="3" t="s">
        <v>18</v>
      </c>
      <c r="E235" s="6">
        <v>45181</v>
      </c>
      <c r="F235" s="3" t="s">
        <v>39</v>
      </c>
      <c r="G235" s="3">
        <v>8577</v>
      </c>
      <c r="H235" s="3">
        <v>1188</v>
      </c>
      <c r="I235" s="3">
        <v>2.21</v>
      </c>
      <c r="J235" s="3">
        <v>47</v>
      </c>
      <c r="K235" s="15" t="str">
        <f ca="1">IF(F235="Enrolled",TODAY()-E235,"0")</f>
        <v>0</v>
      </c>
      <c r="L235" s="3" t="str">
        <f>IF(I235&gt;=3.5,"Excellent",IF(I235&gt;=3,"Good",IF(I235&gt;=2,"Average","Poor")))</f>
        <v>Average</v>
      </c>
      <c r="M235" s="3" t="str">
        <v>Dr.Roy</v>
      </c>
      <c r="N235" s="3" t="str">
        <f>IF(H235 &gt; (G235*50%), "Yes", "No")</f>
        <v>No</v>
      </c>
      <c r="O235" s="16">
        <f>G235-H235</f>
        <v>7389</v>
      </c>
      <c r="P235" s="16">
        <f>SUMIFS(O235:O235,E235:E235,"Science",F235:F235,"Completed")</f>
        <v>0</v>
      </c>
      <c r="Q235" s="3" t="str">
        <f>IF(MONTH(E235)&gt;=7, YEAR(E235)&amp;"-"&amp;YEAR(E235)+1, YEAR(E235)-1&amp;"-"&amp;YEAR(E235))</f>
        <v>2023-2024</v>
      </c>
      <c r="R235" s="3"/>
      <c r="S235" s="3"/>
      <c r="T235" s="15" t="str">
        <f t="shared" ca="1" si="3"/>
        <v>0</v>
      </c>
      <c r="U235" s="3"/>
    </row>
    <row r="236" spans="1:21" x14ac:dyDescent="0.35">
      <c r="A236" s="3" t="s">
        <v>493</v>
      </c>
      <c r="B236" s="3" t="s">
        <v>494</v>
      </c>
      <c r="C236" s="3" t="s">
        <v>25</v>
      </c>
      <c r="D236" s="3" t="s">
        <v>13</v>
      </c>
      <c r="E236" s="6">
        <v>44955</v>
      </c>
      <c r="F236" s="3" t="s">
        <v>19</v>
      </c>
      <c r="G236" s="3">
        <v>9465</v>
      </c>
      <c r="H236" s="3">
        <v>4415</v>
      </c>
      <c r="I236" s="3">
        <v>2.44</v>
      </c>
      <c r="J236" s="3">
        <v>62</v>
      </c>
      <c r="K236" s="15" t="str">
        <f ca="1">IF(F236="Enrolled",TODAY()-E236,"0")</f>
        <v>0</v>
      </c>
      <c r="L236" s="3" t="str">
        <f>IF(I236&gt;=3.5,"Excellent",IF(I236&gt;=3,"Good",IF(I236&gt;=2,"Average","Poor")))</f>
        <v>Average</v>
      </c>
      <c r="M236" s="3" t="str">
        <v>Dr.Mehta</v>
      </c>
      <c r="N236" s="3" t="str">
        <f>IF(H236 &gt; (G236*50%), "Yes", "No")</f>
        <v>No</v>
      </c>
      <c r="O236" s="16">
        <f>G236-H236</f>
        <v>5050</v>
      </c>
      <c r="P236" s="16">
        <f>SUMIFS(O236:O236,E236:E236,"Science",F236:F236,"Completed")</f>
        <v>0</v>
      </c>
      <c r="Q236" s="3" t="str">
        <f>IF(MONTH(E236)&gt;=7, YEAR(E236)&amp;"-"&amp;YEAR(E236)+1, YEAR(E236)-1&amp;"-"&amp;YEAR(E236))</f>
        <v>2022-2023</v>
      </c>
      <c r="R236" s="3"/>
      <c r="S236" s="3"/>
      <c r="T236" s="15">
        <f t="shared" ca="1" si="3"/>
        <v>1099</v>
      </c>
      <c r="U236" s="3"/>
    </row>
    <row r="237" spans="1:21" x14ac:dyDescent="0.35">
      <c r="A237" s="3" t="s">
        <v>495</v>
      </c>
      <c r="B237" s="3" t="s">
        <v>496</v>
      </c>
      <c r="C237" s="3" t="s">
        <v>57</v>
      </c>
      <c r="D237" s="3" t="s">
        <v>13</v>
      </c>
      <c r="E237" s="6">
        <v>44736</v>
      </c>
      <c r="F237" s="3" t="s">
        <v>14</v>
      </c>
      <c r="G237" s="3">
        <v>11825</v>
      </c>
      <c r="H237" s="3">
        <v>1060</v>
      </c>
      <c r="I237" s="3">
        <v>2.14</v>
      </c>
      <c r="J237" s="3">
        <v>90</v>
      </c>
      <c r="K237" s="15">
        <f ca="1">IF(F237="Enrolled",TODAY()-E237,"0")</f>
        <v>1318</v>
      </c>
      <c r="L237" s="3" t="str">
        <f>IF(I237&gt;=3.5,"Excellent",IF(I237&gt;=3,"Good",IF(I237&gt;=2,"Average","Poor")))</f>
        <v>Average</v>
      </c>
      <c r="M237" s="3" t="str">
        <v>Dr.Mehta</v>
      </c>
      <c r="N237" s="3" t="str">
        <f>IF(H237 &gt; (G237*50%), "Yes", "No")</f>
        <v>No</v>
      </c>
      <c r="O237" s="16">
        <f>G237-H237</f>
        <v>10765</v>
      </c>
      <c r="P237" s="16">
        <f>SUMIFS(O237:O237,E237:E237,"Science",F237:F237,"Completed")</f>
        <v>0</v>
      </c>
      <c r="Q237" s="3" t="str">
        <f>IF(MONTH(E237)&gt;=7, YEAR(E237)&amp;"-"&amp;YEAR(E237)+1, YEAR(E237)-1&amp;"-"&amp;YEAR(E237))</f>
        <v>2021-2022</v>
      </c>
      <c r="R237" s="3"/>
      <c r="S237" s="3"/>
      <c r="T237" s="15" t="str">
        <f t="shared" ca="1" si="3"/>
        <v>0</v>
      </c>
      <c r="U237" s="3"/>
    </row>
    <row r="238" spans="1:21" x14ac:dyDescent="0.35">
      <c r="A238" s="3" t="s">
        <v>497</v>
      </c>
      <c r="B238" s="3" t="s">
        <v>498</v>
      </c>
      <c r="C238" s="3" t="s">
        <v>57</v>
      </c>
      <c r="D238" s="3" t="s">
        <v>62</v>
      </c>
      <c r="E238" s="6">
        <v>45268</v>
      </c>
      <c r="F238" s="3" t="s">
        <v>14</v>
      </c>
      <c r="G238" s="3">
        <v>12026</v>
      </c>
      <c r="H238" s="3">
        <v>5856</v>
      </c>
      <c r="I238" s="3">
        <v>3.64</v>
      </c>
      <c r="J238" s="3">
        <v>15</v>
      </c>
      <c r="K238" s="15">
        <f ca="1">IF(F238="Enrolled",TODAY()-E238,"0")</f>
        <v>786</v>
      </c>
      <c r="L238" s="3" t="str">
        <f>IF(I238&gt;=3.5,"Excellent",IF(I238&gt;=3,"Good",IF(I238&gt;=2,"Average","Poor")))</f>
        <v>Excellent</v>
      </c>
      <c r="M238" s="3" t="str">
        <v>Dr.Sinha</v>
      </c>
      <c r="N238" s="3" t="str">
        <f>IF(H238 &gt; (G238*50%), "Yes", "No")</f>
        <v>No</v>
      </c>
      <c r="O238" s="16">
        <f>G238-H238</f>
        <v>6170</v>
      </c>
      <c r="P238" s="16">
        <f>SUMIFS(O238:O238,E238:E238,"Science",F238:F238,"Completed")</f>
        <v>0</v>
      </c>
      <c r="Q238" s="3" t="str">
        <f>IF(MONTH(E238)&gt;=7, YEAR(E238)&amp;"-"&amp;YEAR(E238)+1, YEAR(E238)-1&amp;"-"&amp;YEAR(E238))</f>
        <v>2023-2024</v>
      </c>
      <c r="R238" s="3"/>
      <c r="S238" s="3"/>
      <c r="T238" s="15" t="str">
        <f t="shared" ca="1" si="3"/>
        <v>0</v>
      </c>
      <c r="U238" s="3"/>
    </row>
    <row r="239" spans="1:21" x14ac:dyDescent="0.35">
      <c r="A239" s="3" t="s">
        <v>499</v>
      </c>
      <c r="B239" s="3" t="s">
        <v>500</v>
      </c>
      <c r="C239" s="3" t="s">
        <v>36</v>
      </c>
      <c r="D239" s="3" t="s">
        <v>13</v>
      </c>
      <c r="E239" s="6">
        <v>45055</v>
      </c>
      <c r="F239" s="3" t="s">
        <v>14</v>
      </c>
      <c r="G239" s="3">
        <v>12137</v>
      </c>
      <c r="H239" s="3">
        <v>8974</v>
      </c>
      <c r="I239" s="3">
        <v>3.33</v>
      </c>
      <c r="J239" s="3">
        <v>59</v>
      </c>
      <c r="K239" s="15">
        <f ca="1">IF(F239="Enrolled",TODAY()-E239,"0")</f>
        <v>999</v>
      </c>
      <c r="L239" s="3" t="str">
        <f>IF(I239&gt;=3.5,"Excellent",IF(I239&gt;=3,"Good",IF(I239&gt;=2,"Average","Poor")))</f>
        <v>Good</v>
      </c>
      <c r="M239" s="3" t="str">
        <v>Dr.Mehta</v>
      </c>
      <c r="N239" s="3" t="str">
        <f>IF(H239 &gt; (G239*50%), "Yes", "No")</f>
        <v>Yes</v>
      </c>
      <c r="O239" s="16">
        <f>G239-H239</f>
        <v>3163</v>
      </c>
      <c r="P239" s="16">
        <f>SUMIFS(O239:O239,E239:E239,"Science",F239:F239,"Completed")</f>
        <v>0</v>
      </c>
      <c r="Q239" s="3" t="str">
        <f>IF(MONTH(E239)&gt;=7, YEAR(E239)&amp;"-"&amp;YEAR(E239)+1, YEAR(E239)-1&amp;"-"&amp;YEAR(E239))</f>
        <v>2022-2023</v>
      </c>
      <c r="R239" s="3"/>
      <c r="S239" s="3"/>
      <c r="T239" s="15" t="str">
        <f t="shared" ca="1" si="3"/>
        <v>0</v>
      </c>
      <c r="U239" s="3"/>
    </row>
    <row r="240" spans="1:21" x14ac:dyDescent="0.35">
      <c r="A240" s="3" t="s">
        <v>501</v>
      </c>
      <c r="B240" s="3" t="s">
        <v>502</v>
      </c>
      <c r="C240" s="3" t="s">
        <v>54</v>
      </c>
      <c r="D240" s="3" t="s">
        <v>18</v>
      </c>
      <c r="E240" s="6">
        <v>45316</v>
      </c>
      <c r="F240" s="3" t="s">
        <v>14</v>
      </c>
      <c r="G240" s="3">
        <v>13153</v>
      </c>
      <c r="H240" s="3">
        <v>7899</v>
      </c>
      <c r="I240" s="3">
        <v>3.35</v>
      </c>
      <c r="J240" s="3">
        <v>4</v>
      </c>
      <c r="K240" s="15">
        <f ca="1">IF(F240="Enrolled",TODAY()-E240,"0")</f>
        <v>738</v>
      </c>
      <c r="L240" s="3" t="str">
        <f>IF(I240&gt;=3.5,"Excellent",IF(I240&gt;=3,"Good",IF(I240&gt;=2,"Average","Poor")))</f>
        <v>Good</v>
      </c>
      <c r="M240" s="3" t="str">
        <v>Dr.Roy</v>
      </c>
      <c r="N240" s="3" t="str">
        <f>IF(H240 &gt; (G240*50%), "Yes", "No")</f>
        <v>Yes</v>
      </c>
      <c r="O240" s="16">
        <f>G240-H240</f>
        <v>5254</v>
      </c>
      <c r="P240" s="16">
        <f>SUMIFS(O240:O240,E240:E240,"Science",F240:F240,"Completed")</f>
        <v>0</v>
      </c>
      <c r="Q240" s="3" t="str">
        <f>IF(MONTH(E240)&gt;=7, YEAR(E240)&amp;"-"&amp;YEAR(E240)+1, YEAR(E240)-1&amp;"-"&amp;YEAR(E240))</f>
        <v>2023-2024</v>
      </c>
      <c r="R240" s="3"/>
      <c r="S240" s="3"/>
      <c r="T240" s="15" t="str">
        <f t="shared" ca="1" si="3"/>
        <v>0</v>
      </c>
      <c r="U240" s="3"/>
    </row>
    <row r="241" spans="1:21" x14ac:dyDescent="0.35">
      <c r="A241" s="3" t="s">
        <v>503</v>
      </c>
      <c r="B241" s="3" t="s">
        <v>504</v>
      </c>
      <c r="C241" s="3" t="s">
        <v>54</v>
      </c>
      <c r="D241" s="3" t="s">
        <v>31</v>
      </c>
      <c r="E241" s="6">
        <v>45377</v>
      </c>
      <c r="F241" s="3" t="s">
        <v>14</v>
      </c>
      <c r="G241" s="3">
        <v>8445</v>
      </c>
      <c r="H241" s="3">
        <v>5645</v>
      </c>
      <c r="I241" s="3">
        <v>2.66</v>
      </c>
      <c r="J241" s="3">
        <v>106</v>
      </c>
      <c r="K241" s="15">
        <f ca="1">IF(F241="Enrolled",TODAY()-E241,"0")</f>
        <v>677</v>
      </c>
      <c r="L241" s="3" t="str">
        <f>IF(I241&gt;=3.5,"Excellent",IF(I241&gt;=3,"Good",IF(I241&gt;=2,"Average","Poor")))</f>
        <v>Average</v>
      </c>
      <c r="M241" s="3" t="str">
        <v>Dr.Sharma</v>
      </c>
      <c r="N241" s="3" t="str">
        <f>IF(H241 &gt; (G241*50%), "Yes", "No")</f>
        <v>Yes</v>
      </c>
      <c r="O241" s="16">
        <f>G241-H241</f>
        <v>2800</v>
      </c>
      <c r="P241" s="16">
        <f>SUMIFS(O241:O241,E241:E241,"Science",F241:F241,"Completed")</f>
        <v>0</v>
      </c>
      <c r="Q241" s="3" t="str">
        <f>IF(MONTH(E241)&gt;=7, YEAR(E241)&amp;"-"&amp;YEAR(E241)+1, YEAR(E241)-1&amp;"-"&amp;YEAR(E241))</f>
        <v>2023-2024</v>
      </c>
      <c r="R241" s="3"/>
      <c r="S241" s="3"/>
      <c r="T241" s="15" t="str">
        <f t="shared" ca="1" si="3"/>
        <v>0</v>
      </c>
      <c r="U241" s="3"/>
    </row>
    <row r="242" spans="1:21" x14ac:dyDescent="0.35">
      <c r="A242" s="3" t="s">
        <v>505</v>
      </c>
      <c r="B242" s="3" t="s">
        <v>506</v>
      </c>
      <c r="C242" s="3" t="s">
        <v>25</v>
      </c>
      <c r="D242" s="3" t="s">
        <v>62</v>
      </c>
      <c r="E242" s="6">
        <v>44847</v>
      </c>
      <c r="F242" s="3" t="s">
        <v>19</v>
      </c>
      <c r="G242" s="3">
        <v>6582</v>
      </c>
      <c r="H242" s="3">
        <v>7383</v>
      </c>
      <c r="I242" s="3">
        <v>2.9</v>
      </c>
      <c r="J242" s="3">
        <v>68</v>
      </c>
      <c r="K242" s="15" t="str">
        <f ca="1">IF(F242="Enrolled",TODAY()-E242,"0")</f>
        <v>0</v>
      </c>
      <c r="L242" s="3" t="str">
        <f>IF(I242&gt;=3.5,"Excellent",IF(I242&gt;=3,"Good",IF(I242&gt;=2,"Average","Poor")))</f>
        <v>Average</v>
      </c>
      <c r="M242" s="3" t="str">
        <v>Dr.Sinha</v>
      </c>
      <c r="N242" s="3" t="str">
        <f>IF(H242 &gt; (G242*50%), "Yes", "No")</f>
        <v>Yes</v>
      </c>
      <c r="O242" s="16">
        <f>G242-H242</f>
        <v>-801</v>
      </c>
      <c r="P242" s="16">
        <f>SUMIFS(O242:O242,E242:E242,"Science",F242:F242,"Completed")</f>
        <v>0</v>
      </c>
      <c r="Q242" s="3" t="str">
        <f>IF(MONTH(E242)&gt;=7, YEAR(E242)&amp;"-"&amp;YEAR(E242)+1, YEAR(E242)-1&amp;"-"&amp;YEAR(E242))</f>
        <v>2022-2023</v>
      </c>
      <c r="R242" s="3"/>
      <c r="S242" s="3"/>
      <c r="T242" s="15">
        <f t="shared" ca="1" si="3"/>
        <v>1207</v>
      </c>
      <c r="U242" s="3"/>
    </row>
    <row r="243" spans="1:21" x14ac:dyDescent="0.35">
      <c r="A243" s="3" t="s">
        <v>507</v>
      </c>
      <c r="B243" s="3" t="s">
        <v>508</v>
      </c>
      <c r="C243" s="3" t="s">
        <v>36</v>
      </c>
      <c r="D243" s="3" t="s">
        <v>62</v>
      </c>
      <c r="E243" s="6">
        <v>45026</v>
      </c>
      <c r="F243" s="3" t="s">
        <v>19</v>
      </c>
      <c r="G243" s="3">
        <v>9924</v>
      </c>
      <c r="H243" s="3">
        <v>4822</v>
      </c>
      <c r="I243" s="3">
        <v>2.79</v>
      </c>
      <c r="J243" s="3">
        <v>25</v>
      </c>
      <c r="K243" s="15" t="str">
        <f ca="1">IF(F243="Enrolled",TODAY()-E243,"0")</f>
        <v>0</v>
      </c>
      <c r="L243" s="3" t="str">
        <f>IF(I243&gt;=3.5,"Excellent",IF(I243&gt;=3,"Good",IF(I243&gt;=2,"Average","Poor")))</f>
        <v>Average</v>
      </c>
      <c r="M243" s="3" t="str">
        <v>Dr.Sinha</v>
      </c>
      <c r="N243" s="3" t="str">
        <f>IF(H243 &gt; (G243*50%), "Yes", "No")</f>
        <v>No</v>
      </c>
      <c r="O243" s="16">
        <f>G243-H243</f>
        <v>5102</v>
      </c>
      <c r="P243" s="16">
        <f>SUMIFS(O243:O243,E243:E243,"Science",F243:F243,"Completed")</f>
        <v>0</v>
      </c>
      <c r="Q243" s="3" t="str">
        <f>IF(MONTH(E243)&gt;=7, YEAR(E243)&amp;"-"&amp;YEAR(E243)+1, YEAR(E243)-1&amp;"-"&amp;YEAR(E243))</f>
        <v>2022-2023</v>
      </c>
      <c r="R243" s="3"/>
      <c r="S243" s="3"/>
      <c r="T243" s="15">
        <f t="shared" ca="1" si="3"/>
        <v>1028</v>
      </c>
      <c r="U243" s="3"/>
    </row>
    <row r="244" spans="1:21" x14ac:dyDescent="0.35">
      <c r="A244" s="3" t="s">
        <v>509</v>
      </c>
      <c r="B244" s="3" t="s">
        <v>510</v>
      </c>
      <c r="C244" s="3" t="s">
        <v>36</v>
      </c>
      <c r="D244" s="3" t="s">
        <v>13</v>
      </c>
      <c r="E244" s="6">
        <v>45292</v>
      </c>
      <c r="F244" s="3" t="s">
        <v>19</v>
      </c>
      <c r="G244" s="3">
        <v>9436</v>
      </c>
      <c r="H244" s="3">
        <v>3767</v>
      </c>
      <c r="I244" s="3">
        <v>2.27</v>
      </c>
      <c r="J244" s="3">
        <v>69</v>
      </c>
      <c r="K244" s="15" t="str">
        <f ca="1">IF(F244="Enrolled",TODAY()-E244,"0")</f>
        <v>0</v>
      </c>
      <c r="L244" s="3" t="str">
        <f>IF(I244&gt;=3.5,"Excellent",IF(I244&gt;=3,"Good",IF(I244&gt;=2,"Average","Poor")))</f>
        <v>Average</v>
      </c>
      <c r="M244" s="3" t="str">
        <v>Dr.Mehta</v>
      </c>
      <c r="N244" s="3" t="str">
        <f>IF(H244 &gt; (G244*50%), "Yes", "No")</f>
        <v>No</v>
      </c>
      <c r="O244" s="16">
        <f>G244-H244</f>
        <v>5669</v>
      </c>
      <c r="P244" s="16">
        <f>SUMIFS(O244:O244,E244:E244,"Science",F244:F244,"Completed")</f>
        <v>0</v>
      </c>
      <c r="Q244" s="3" t="str">
        <f>IF(MONTH(E244)&gt;=7, YEAR(E244)&amp;"-"&amp;YEAR(E244)+1, YEAR(E244)-1&amp;"-"&amp;YEAR(E244))</f>
        <v>2023-2024</v>
      </c>
      <c r="R244" s="3"/>
      <c r="S244" s="3"/>
      <c r="T244" s="15">
        <f t="shared" ca="1" si="3"/>
        <v>762</v>
      </c>
      <c r="U244" s="3"/>
    </row>
    <row r="245" spans="1:21" x14ac:dyDescent="0.35">
      <c r="A245" s="3" t="s">
        <v>511</v>
      </c>
      <c r="B245" s="3" t="s">
        <v>512</v>
      </c>
      <c r="C245" s="3" t="s">
        <v>28</v>
      </c>
      <c r="D245" s="3" t="s">
        <v>31</v>
      </c>
      <c r="E245" s="6">
        <v>44982</v>
      </c>
      <c r="F245" s="3" t="s">
        <v>14</v>
      </c>
      <c r="G245" s="3">
        <v>11021</v>
      </c>
      <c r="H245" s="3">
        <v>1197</v>
      </c>
      <c r="I245" s="3">
        <v>2.08</v>
      </c>
      <c r="J245" s="3">
        <v>13</v>
      </c>
      <c r="K245" s="15">
        <f ca="1">IF(F245="Enrolled",TODAY()-E245,"0")</f>
        <v>1072</v>
      </c>
      <c r="L245" s="3" t="str">
        <f>IF(I245&gt;=3.5,"Excellent",IF(I245&gt;=3,"Good",IF(I245&gt;=2,"Average","Poor")))</f>
        <v>Average</v>
      </c>
      <c r="M245" s="3" t="str">
        <v>Dr.Sharma</v>
      </c>
      <c r="N245" s="3" t="str">
        <f>IF(H245 &gt; (G245*50%), "Yes", "No")</f>
        <v>No</v>
      </c>
      <c r="O245" s="16">
        <f>G245-H245</f>
        <v>9824</v>
      </c>
      <c r="P245" s="16">
        <f>SUMIFS(O245:O245,E245:E245,"Science",F245:F245,"Completed")</f>
        <v>0</v>
      </c>
      <c r="Q245" s="3" t="str">
        <f>IF(MONTH(E245)&gt;=7, YEAR(E245)&amp;"-"&amp;YEAR(E245)+1, YEAR(E245)-1&amp;"-"&amp;YEAR(E245))</f>
        <v>2022-2023</v>
      </c>
      <c r="R245" s="3"/>
      <c r="S245" s="3"/>
      <c r="T245" s="15" t="str">
        <f t="shared" ca="1" si="3"/>
        <v>0</v>
      </c>
      <c r="U245" s="3"/>
    </row>
    <row r="246" spans="1:21" x14ac:dyDescent="0.35">
      <c r="A246" s="3" t="s">
        <v>513</v>
      </c>
      <c r="B246" s="3" t="s">
        <v>514</v>
      </c>
      <c r="C246" s="3" t="s">
        <v>17</v>
      </c>
      <c r="D246" s="3" t="s">
        <v>62</v>
      </c>
      <c r="E246" s="6">
        <v>45147</v>
      </c>
      <c r="F246" s="3" t="s">
        <v>39</v>
      </c>
      <c r="G246" s="3">
        <v>5204</v>
      </c>
      <c r="H246" s="3">
        <v>3851</v>
      </c>
      <c r="I246" s="3">
        <v>2.2799999999999998</v>
      </c>
      <c r="J246" s="3">
        <v>29</v>
      </c>
      <c r="K246" s="15" t="str">
        <f ca="1">IF(F246="Enrolled",TODAY()-E246,"0")</f>
        <v>0</v>
      </c>
      <c r="L246" s="3" t="str">
        <f>IF(I246&gt;=3.5,"Excellent",IF(I246&gt;=3,"Good",IF(I246&gt;=2,"Average","Poor")))</f>
        <v>Average</v>
      </c>
      <c r="M246" s="3" t="str">
        <v>Dr.Sinha</v>
      </c>
      <c r="N246" s="3" t="str">
        <f>IF(H246 &gt; (G246*50%), "Yes", "No")</f>
        <v>Yes</v>
      </c>
      <c r="O246" s="16">
        <f>G246-H246</f>
        <v>1353</v>
      </c>
      <c r="P246" s="16">
        <f>SUMIFS(O246:O246,E246:E246,"Science",F246:F246,"Completed")</f>
        <v>0</v>
      </c>
      <c r="Q246" s="3" t="str">
        <f>IF(MONTH(E246)&gt;=7, YEAR(E246)&amp;"-"&amp;YEAR(E246)+1, YEAR(E246)-1&amp;"-"&amp;YEAR(E246))</f>
        <v>2023-2024</v>
      </c>
      <c r="R246" s="3"/>
      <c r="S246" s="3"/>
      <c r="T246" s="15" t="str">
        <f t="shared" ca="1" si="3"/>
        <v>0</v>
      </c>
      <c r="U246" s="3"/>
    </row>
    <row r="247" spans="1:21" x14ac:dyDescent="0.35">
      <c r="A247" s="3" t="s">
        <v>515</v>
      </c>
      <c r="B247" s="3" t="s">
        <v>516</v>
      </c>
      <c r="C247" s="3" t="s">
        <v>17</v>
      </c>
      <c r="D247" s="3" t="s">
        <v>62</v>
      </c>
      <c r="E247" s="6">
        <v>45423</v>
      </c>
      <c r="F247" s="3" t="s">
        <v>14</v>
      </c>
      <c r="G247" s="3">
        <v>2031</v>
      </c>
      <c r="H247" s="3">
        <v>9223</v>
      </c>
      <c r="I247" s="3">
        <v>2.78</v>
      </c>
      <c r="J247" s="3">
        <v>49</v>
      </c>
      <c r="K247" s="15">
        <f ca="1">IF(F247="Enrolled",TODAY()-E247,"0")</f>
        <v>631</v>
      </c>
      <c r="L247" s="3" t="str">
        <f>IF(I247&gt;=3.5,"Excellent",IF(I247&gt;=3,"Good",IF(I247&gt;=2,"Average","Poor")))</f>
        <v>Average</v>
      </c>
      <c r="M247" s="3" t="str">
        <v>Dr.Sinha</v>
      </c>
      <c r="N247" s="3" t="str">
        <f>IF(H247 &gt; (G247*50%), "Yes", "No")</f>
        <v>Yes</v>
      </c>
      <c r="O247" s="16">
        <f>G247-H247</f>
        <v>-7192</v>
      </c>
      <c r="P247" s="16">
        <f>SUMIFS(O247:O247,E247:E247,"Science",F247:F247,"Completed")</f>
        <v>0</v>
      </c>
      <c r="Q247" s="3" t="str">
        <f>IF(MONTH(E247)&gt;=7, YEAR(E247)&amp;"-"&amp;YEAR(E247)+1, YEAR(E247)-1&amp;"-"&amp;YEAR(E247))</f>
        <v>2023-2024</v>
      </c>
      <c r="R247" s="3"/>
      <c r="S247" s="3"/>
      <c r="T247" s="15" t="str">
        <f t="shared" ca="1" si="3"/>
        <v>0</v>
      </c>
      <c r="U247" s="3"/>
    </row>
    <row r="248" spans="1:21" x14ac:dyDescent="0.35">
      <c r="A248" s="3" t="s">
        <v>517</v>
      </c>
      <c r="B248" s="3" t="s">
        <v>518</v>
      </c>
      <c r="C248" s="3" t="s">
        <v>36</v>
      </c>
      <c r="D248" s="3" t="s">
        <v>62</v>
      </c>
      <c r="E248" s="6">
        <v>45334</v>
      </c>
      <c r="F248" s="3" t="s">
        <v>14</v>
      </c>
      <c r="G248" s="3">
        <v>9136</v>
      </c>
      <c r="H248" s="3">
        <v>9130</v>
      </c>
      <c r="I248" s="3">
        <v>2.15</v>
      </c>
      <c r="J248" s="3">
        <v>53</v>
      </c>
      <c r="K248" s="15">
        <f ca="1">IF(F248="Enrolled",TODAY()-E248,"0")</f>
        <v>720</v>
      </c>
      <c r="L248" s="3" t="str">
        <f>IF(I248&gt;=3.5,"Excellent",IF(I248&gt;=3,"Good",IF(I248&gt;=2,"Average","Poor")))</f>
        <v>Average</v>
      </c>
      <c r="M248" s="3" t="str">
        <v>Dr.Sinha</v>
      </c>
      <c r="N248" s="3" t="str">
        <f>IF(H248 &gt; (G248*50%), "Yes", "No")</f>
        <v>Yes</v>
      </c>
      <c r="O248" s="16">
        <f>G248-H248</f>
        <v>6</v>
      </c>
      <c r="P248" s="16">
        <f>SUMIFS(O248:O248,E248:E248,"Science",F248:F248,"Completed")</f>
        <v>0</v>
      </c>
      <c r="Q248" s="3" t="str">
        <f>IF(MONTH(E248)&gt;=7, YEAR(E248)&amp;"-"&amp;YEAR(E248)+1, YEAR(E248)-1&amp;"-"&amp;YEAR(E248))</f>
        <v>2023-2024</v>
      </c>
      <c r="R248" s="3"/>
      <c r="S248" s="3"/>
      <c r="T248" s="15" t="str">
        <f t="shared" ca="1" si="3"/>
        <v>0</v>
      </c>
      <c r="U248" s="3"/>
    </row>
    <row r="249" spans="1:21" x14ac:dyDescent="0.35">
      <c r="A249" s="3" t="s">
        <v>519</v>
      </c>
      <c r="B249" s="3" t="s">
        <v>520</v>
      </c>
      <c r="C249" s="3" t="s">
        <v>28</v>
      </c>
      <c r="D249" s="3" t="s">
        <v>62</v>
      </c>
      <c r="E249" s="6">
        <v>44894</v>
      </c>
      <c r="F249" s="3" t="s">
        <v>14</v>
      </c>
      <c r="G249" s="3">
        <v>7624</v>
      </c>
      <c r="H249" s="3">
        <v>2182</v>
      </c>
      <c r="I249" s="3">
        <v>2.35</v>
      </c>
      <c r="J249" s="3">
        <v>21</v>
      </c>
      <c r="K249" s="15">
        <f ca="1">IF(F249="Enrolled",TODAY()-E249,"0")</f>
        <v>1160</v>
      </c>
      <c r="L249" s="3" t="str">
        <f>IF(I249&gt;=3.5,"Excellent",IF(I249&gt;=3,"Good",IF(I249&gt;=2,"Average","Poor")))</f>
        <v>Average</v>
      </c>
      <c r="M249" s="3" t="str">
        <v>Dr.Sinha</v>
      </c>
      <c r="N249" s="3" t="str">
        <f>IF(H249 &gt; (G249*50%), "Yes", "No")</f>
        <v>No</v>
      </c>
      <c r="O249" s="16">
        <f>G249-H249</f>
        <v>5442</v>
      </c>
      <c r="P249" s="16">
        <f>SUMIFS(O249:O249,E249:E249,"Science",F249:F249,"Completed")</f>
        <v>0</v>
      </c>
      <c r="Q249" s="3" t="str">
        <f>IF(MONTH(E249)&gt;=7, YEAR(E249)&amp;"-"&amp;YEAR(E249)+1, YEAR(E249)-1&amp;"-"&amp;YEAR(E249))</f>
        <v>2022-2023</v>
      </c>
      <c r="R249" s="3"/>
      <c r="S249" s="3"/>
      <c r="T249" s="15" t="str">
        <f t="shared" ca="1" si="3"/>
        <v>0</v>
      </c>
      <c r="U249" s="3"/>
    </row>
    <row r="250" spans="1:21" x14ac:dyDescent="0.35">
      <c r="A250" s="3" t="s">
        <v>521</v>
      </c>
      <c r="B250" s="3" t="s">
        <v>522</v>
      </c>
      <c r="C250" s="3" t="s">
        <v>54</v>
      </c>
      <c r="D250" s="3" t="s">
        <v>18</v>
      </c>
      <c r="E250" s="6">
        <v>45137</v>
      </c>
      <c r="F250" s="3" t="s">
        <v>14</v>
      </c>
      <c r="G250" s="3">
        <v>14896</v>
      </c>
      <c r="H250" s="3">
        <v>7193</v>
      </c>
      <c r="I250" s="3">
        <v>2.99</v>
      </c>
      <c r="J250" s="3">
        <v>19</v>
      </c>
      <c r="K250" s="15">
        <f ca="1">IF(F250="Enrolled",TODAY()-E250,"0")</f>
        <v>917</v>
      </c>
      <c r="L250" s="3" t="str">
        <f>IF(I250&gt;=3.5,"Excellent",IF(I250&gt;=3,"Good",IF(I250&gt;=2,"Average","Poor")))</f>
        <v>Average</v>
      </c>
      <c r="M250" s="3" t="str">
        <v>Dr.Roy</v>
      </c>
      <c r="N250" s="3" t="str">
        <f>IF(H250 &gt; (G250*50%), "Yes", "No")</f>
        <v>No</v>
      </c>
      <c r="O250" s="16">
        <f>G250-H250</f>
        <v>7703</v>
      </c>
      <c r="P250" s="16">
        <f>SUMIFS(O250:O250,E250:E250,"Science",F250:F250,"Completed")</f>
        <v>0</v>
      </c>
      <c r="Q250" s="3" t="str">
        <f>IF(MONTH(E250)&gt;=7, YEAR(E250)&amp;"-"&amp;YEAR(E250)+1, YEAR(E250)-1&amp;"-"&amp;YEAR(E250))</f>
        <v>2023-2024</v>
      </c>
      <c r="R250" s="3"/>
      <c r="S250" s="3"/>
      <c r="T250" s="15" t="str">
        <f t="shared" ca="1" si="3"/>
        <v>0</v>
      </c>
      <c r="U250" s="3"/>
    </row>
    <row r="251" spans="1:21" x14ac:dyDescent="0.35">
      <c r="A251" s="3" t="s">
        <v>523</v>
      </c>
      <c r="B251" s="3" t="s">
        <v>524</v>
      </c>
      <c r="C251" s="3" t="s">
        <v>22</v>
      </c>
      <c r="D251" s="3" t="s">
        <v>18</v>
      </c>
      <c r="E251" s="6">
        <v>44942</v>
      </c>
      <c r="F251" s="3" t="s">
        <v>14</v>
      </c>
      <c r="G251" s="3">
        <v>9944</v>
      </c>
      <c r="H251" s="3">
        <v>1801</v>
      </c>
      <c r="I251" s="3">
        <v>2.2000000000000002</v>
      </c>
      <c r="J251" s="3">
        <v>74</v>
      </c>
      <c r="K251" s="15">
        <f ca="1">IF(F251="Enrolled",TODAY()-E251,"0")</f>
        <v>1112</v>
      </c>
      <c r="L251" s="3" t="str">
        <f>IF(I251&gt;=3.5,"Excellent",IF(I251&gt;=3,"Good",IF(I251&gt;=2,"Average","Poor")))</f>
        <v>Average</v>
      </c>
      <c r="M251" s="3" t="str">
        <v>Dr.Roy</v>
      </c>
      <c r="N251" s="3" t="str">
        <f>IF(H251 &gt; (G251*50%), "Yes", "No")</f>
        <v>No</v>
      </c>
      <c r="O251" s="16">
        <f>G251-H251</f>
        <v>8143</v>
      </c>
      <c r="P251" s="16">
        <f>SUMIFS(O251:O251,E251:E251,"Science",F251:F251,"Completed")</f>
        <v>0</v>
      </c>
      <c r="Q251" s="3" t="str">
        <f>IF(MONTH(E251)&gt;=7, YEAR(E251)&amp;"-"&amp;YEAR(E251)+1, YEAR(E251)-1&amp;"-"&amp;YEAR(E251))</f>
        <v>2022-2023</v>
      </c>
      <c r="R251" s="3"/>
      <c r="S251" s="3"/>
      <c r="T251" s="15" t="str">
        <f t="shared" ca="1" si="3"/>
        <v>0</v>
      </c>
      <c r="U251" s="3"/>
    </row>
    <row r="252" spans="1:21" x14ac:dyDescent="0.35">
      <c r="A252" s="3" t="s">
        <v>525</v>
      </c>
      <c r="B252" s="3" t="s">
        <v>526</v>
      </c>
      <c r="C252" s="3" t="s">
        <v>12</v>
      </c>
      <c r="D252" s="3" t="s">
        <v>62</v>
      </c>
      <c r="E252" s="6">
        <v>45391</v>
      </c>
      <c r="F252" s="3" t="s">
        <v>14</v>
      </c>
      <c r="G252" s="3">
        <v>4101</v>
      </c>
      <c r="H252" s="3">
        <v>6124</v>
      </c>
      <c r="I252" s="3">
        <v>2.59</v>
      </c>
      <c r="J252" s="3">
        <v>77</v>
      </c>
      <c r="K252" s="15">
        <f ca="1">IF(F252="Enrolled",TODAY()-E252,"0")</f>
        <v>663</v>
      </c>
      <c r="L252" s="3" t="str">
        <f>IF(I252&gt;=3.5,"Excellent",IF(I252&gt;=3,"Good",IF(I252&gt;=2,"Average","Poor")))</f>
        <v>Average</v>
      </c>
      <c r="M252" s="3" t="str">
        <v>Dr.Sinha</v>
      </c>
      <c r="N252" s="3" t="str">
        <f>IF(H252 &gt; (G252*50%), "Yes", "No")</f>
        <v>Yes</v>
      </c>
      <c r="O252" s="16">
        <f>G252-H252</f>
        <v>-2023</v>
      </c>
      <c r="P252" s="16">
        <f>SUMIFS(O252:O252,E252:E252,"Science",F252:F252,"Completed")</f>
        <v>0</v>
      </c>
      <c r="Q252" s="3" t="str">
        <f>IF(MONTH(E252)&gt;=7, YEAR(E252)&amp;"-"&amp;YEAR(E252)+1, YEAR(E252)-1&amp;"-"&amp;YEAR(E252))</f>
        <v>2023-2024</v>
      </c>
      <c r="R252" s="3"/>
      <c r="S252" s="3"/>
      <c r="T252" s="15" t="str">
        <f t="shared" ca="1" si="3"/>
        <v>0</v>
      </c>
      <c r="U252" s="3"/>
    </row>
    <row r="253" spans="1:21" x14ac:dyDescent="0.35">
      <c r="A253" s="3" t="s">
        <v>527</v>
      </c>
      <c r="B253" s="3" t="s">
        <v>528</v>
      </c>
      <c r="C253" s="3" t="s">
        <v>28</v>
      </c>
      <c r="D253" s="3" t="s">
        <v>13</v>
      </c>
      <c r="E253" s="6">
        <v>45016</v>
      </c>
      <c r="F253" s="3" t="s">
        <v>14</v>
      </c>
      <c r="G253" s="3">
        <v>2923</v>
      </c>
      <c r="H253" s="3">
        <v>6728</v>
      </c>
      <c r="I253" s="3">
        <v>3.9</v>
      </c>
      <c r="J253" s="3">
        <v>116</v>
      </c>
      <c r="K253" s="15">
        <f ca="1">IF(F253="Enrolled",TODAY()-E253,"0")</f>
        <v>1038</v>
      </c>
      <c r="L253" s="3" t="str">
        <f>IF(I253&gt;=3.5,"Excellent",IF(I253&gt;=3,"Good",IF(I253&gt;=2,"Average","Poor")))</f>
        <v>Excellent</v>
      </c>
      <c r="M253" s="3" t="str">
        <v>Dr.Mehta</v>
      </c>
      <c r="N253" s="3" t="str">
        <f>IF(H253 &gt; (G253*50%), "Yes", "No")</f>
        <v>Yes</v>
      </c>
      <c r="O253" s="16">
        <f>G253-H253</f>
        <v>-3805</v>
      </c>
      <c r="P253" s="16">
        <f>SUMIFS(O253:O253,E253:E253,"Science",F253:F253,"Completed")</f>
        <v>0</v>
      </c>
      <c r="Q253" s="3" t="str">
        <f>IF(MONTH(E253)&gt;=7, YEAR(E253)&amp;"-"&amp;YEAR(E253)+1, YEAR(E253)-1&amp;"-"&amp;YEAR(E253))</f>
        <v>2022-2023</v>
      </c>
      <c r="R253" s="3"/>
      <c r="S253" s="3"/>
      <c r="T253" s="15" t="str">
        <f t="shared" ca="1" si="3"/>
        <v>0</v>
      </c>
      <c r="U253" s="3"/>
    </row>
    <row r="254" spans="1:21" x14ac:dyDescent="0.35">
      <c r="A254" s="3" t="s">
        <v>529</v>
      </c>
      <c r="B254" s="3" t="s">
        <v>530</v>
      </c>
      <c r="C254" s="3" t="s">
        <v>12</v>
      </c>
      <c r="D254" s="3" t="s">
        <v>31</v>
      </c>
      <c r="E254" s="6">
        <v>44725</v>
      </c>
      <c r="F254" s="3" t="s">
        <v>14</v>
      </c>
      <c r="G254" s="3">
        <v>6135</v>
      </c>
      <c r="H254" s="3">
        <v>4716</v>
      </c>
      <c r="I254" s="3">
        <v>2.1800000000000002</v>
      </c>
      <c r="J254" s="3">
        <v>52</v>
      </c>
      <c r="K254" s="15">
        <f ca="1">IF(F254="Enrolled",TODAY()-E254,"0")</f>
        <v>1329</v>
      </c>
      <c r="L254" s="3" t="str">
        <f>IF(I254&gt;=3.5,"Excellent",IF(I254&gt;=3,"Good",IF(I254&gt;=2,"Average","Poor")))</f>
        <v>Average</v>
      </c>
      <c r="M254" s="3" t="str">
        <v>Dr.Sharma</v>
      </c>
      <c r="N254" s="3" t="str">
        <f>IF(H254 &gt; (G254*50%), "Yes", "No")</f>
        <v>Yes</v>
      </c>
      <c r="O254" s="16">
        <f>G254-H254</f>
        <v>1419</v>
      </c>
      <c r="P254" s="16">
        <f>SUMIFS(O254:O254,E254:E254,"Science",F254:F254,"Completed")</f>
        <v>0</v>
      </c>
      <c r="Q254" s="3" t="str">
        <f>IF(MONTH(E254)&gt;=7, YEAR(E254)&amp;"-"&amp;YEAR(E254)+1, YEAR(E254)-1&amp;"-"&amp;YEAR(E254))</f>
        <v>2021-2022</v>
      </c>
      <c r="R254" s="3"/>
      <c r="S254" s="3"/>
      <c r="T254" s="15" t="str">
        <f t="shared" ca="1" si="3"/>
        <v>0</v>
      </c>
      <c r="U254" s="3"/>
    </row>
    <row r="255" spans="1:21" x14ac:dyDescent="0.35">
      <c r="A255" s="3" t="s">
        <v>531</v>
      </c>
      <c r="B255" s="3" t="s">
        <v>532</v>
      </c>
      <c r="C255" s="3" t="s">
        <v>54</v>
      </c>
      <c r="D255" s="3" t="s">
        <v>62</v>
      </c>
      <c r="E255" s="6">
        <v>45084</v>
      </c>
      <c r="F255" s="3" t="s">
        <v>39</v>
      </c>
      <c r="G255" s="3">
        <v>5429</v>
      </c>
      <c r="H255" s="3">
        <v>7603</v>
      </c>
      <c r="I255" s="3">
        <v>2.35</v>
      </c>
      <c r="J255" s="3">
        <v>18</v>
      </c>
      <c r="K255" s="15" t="str">
        <f ca="1">IF(F255="Enrolled",TODAY()-E255,"0")</f>
        <v>0</v>
      </c>
      <c r="L255" s="3" t="str">
        <f>IF(I255&gt;=3.5,"Excellent",IF(I255&gt;=3,"Good",IF(I255&gt;=2,"Average","Poor")))</f>
        <v>Average</v>
      </c>
      <c r="M255" s="3" t="str">
        <v>Dr.Sinha</v>
      </c>
      <c r="N255" s="3" t="str">
        <f>IF(H255 &gt; (G255*50%), "Yes", "No")</f>
        <v>Yes</v>
      </c>
      <c r="O255" s="16">
        <f>G255-H255</f>
        <v>-2174</v>
      </c>
      <c r="P255" s="16">
        <f>SUMIFS(O255:O255,E255:E255,"Science",F255:F255,"Completed")</f>
        <v>0</v>
      </c>
      <c r="Q255" s="3" t="str">
        <f>IF(MONTH(E255)&gt;=7, YEAR(E255)&amp;"-"&amp;YEAR(E255)+1, YEAR(E255)-1&amp;"-"&amp;YEAR(E255))</f>
        <v>2022-2023</v>
      </c>
      <c r="R255" s="3"/>
      <c r="S255" s="3"/>
      <c r="T255" s="15" t="str">
        <f t="shared" ca="1" si="3"/>
        <v>0</v>
      </c>
      <c r="U255" s="3"/>
    </row>
    <row r="256" spans="1:21" x14ac:dyDescent="0.35">
      <c r="A256" s="3" t="s">
        <v>533</v>
      </c>
      <c r="B256" s="3" t="s">
        <v>534</v>
      </c>
      <c r="C256" s="3" t="s">
        <v>28</v>
      </c>
      <c r="D256" s="3" t="s">
        <v>62</v>
      </c>
      <c r="E256" s="6">
        <v>45340</v>
      </c>
      <c r="F256" s="3" t="s">
        <v>14</v>
      </c>
      <c r="G256" s="3">
        <v>9722</v>
      </c>
      <c r="H256" s="3">
        <v>9487</v>
      </c>
      <c r="I256" s="3">
        <v>3.38</v>
      </c>
      <c r="J256" s="3">
        <v>35</v>
      </c>
      <c r="K256" s="15">
        <f ca="1">IF(F256="Enrolled",TODAY()-E256,"0")</f>
        <v>714</v>
      </c>
      <c r="L256" s="3" t="str">
        <f>IF(I256&gt;=3.5,"Excellent",IF(I256&gt;=3,"Good",IF(I256&gt;=2,"Average","Poor")))</f>
        <v>Good</v>
      </c>
      <c r="M256" s="3" t="str">
        <v>Dr.Sinha</v>
      </c>
      <c r="N256" s="3" t="str">
        <f>IF(H256 &gt; (G256*50%), "Yes", "No")</f>
        <v>Yes</v>
      </c>
      <c r="O256" s="16">
        <f>G256-H256</f>
        <v>235</v>
      </c>
      <c r="P256" s="16">
        <f>SUMIFS(O256:O256,E256:E256,"Science",F256:F256,"Completed")</f>
        <v>0</v>
      </c>
      <c r="Q256" s="3" t="str">
        <f>IF(MONTH(E256)&gt;=7, YEAR(E256)&amp;"-"&amp;YEAR(E256)+1, YEAR(E256)-1&amp;"-"&amp;YEAR(E256))</f>
        <v>2023-2024</v>
      </c>
      <c r="R256" s="3"/>
      <c r="S256" s="3"/>
      <c r="T256" s="15" t="str">
        <f t="shared" ca="1" si="3"/>
        <v>0</v>
      </c>
      <c r="U256" s="3"/>
    </row>
    <row r="257" spans="1:21" x14ac:dyDescent="0.35">
      <c r="A257" s="3" t="s">
        <v>535</v>
      </c>
      <c r="B257" s="3" t="s">
        <v>536</v>
      </c>
      <c r="C257" s="3" t="s">
        <v>12</v>
      </c>
      <c r="D257" s="3" t="s">
        <v>31</v>
      </c>
      <c r="E257" s="6">
        <v>44585</v>
      </c>
      <c r="F257" s="3" t="s">
        <v>14</v>
      </c>
      <c r="G257" s="3">
        <v>8231</v>
      </c>
      <c r="H257" s="3">
        <v>7185</v>
      </c>
      <c r="I257" s="3">
        <v>2.23</v>
      </c>
      <c r="J257" s="3">
        <v>106</v>
      </c>
      <c r="K257" s="15">
        <f ca="1">IF(F257="Enrolled",TODAY()-E257,"0")</f>
        <v>1469</v>
      </c>
      <c r="L257" s="3" t="str">
        <f>IF(I257&gt;=3.5,"Excellent",IF(I257&gt;=3,"Good",IF(I257&gt;=2,"Average","Poor")))</f>
        <v>Average</v>
      </c>
      <c r="M257" s="3" t="str">
        <v>Dr.Sharma</v>
      </c>
      <c r="N257" s="3" t="str">
        <f>IF(H257 &gt; (G257*50%), "Yes", "No")</f>
        <v>Yes</v>
      </c>
      <c r="O257" s="16">
        <f>G257-H257</f>
        <v>1046</v>
      </c>
      <c r="P257" s="16">
        <f>SUMIFS(O257:O257,E257:E257,"Science",F257:F257,"Completed")</f>
        <v>0</v>
      </c>
      <c r="Q257" s="3" t="str">
        <f>IF(MONTH(E257)&gt;=7, YEAR(E257)&amp;"-"&amp;YEAR(E257)+1, YEAR(E257)-1&amp;"-"&amp;YEAR(E257))</f>
        <v>2021-2022</v>
      </c>
      <c r="R257" s="3"/>
      <c r="S257" s="3"/>
      <c r="T257" s="15" t="str">
        <f t="shared" ca="1" si="3"/>
        <v>0</v>
      </c>
      <c r="U257" s="3"/>
    </row>
    <row r="258" spans="1:21" x14ac:dyDescent="0.35">
      <c r="A258" s="3" t="s">
        <v>537</v>
      </c>
      <c r="B258" s="3" t="s">
        <v>538</v>
      </c>
      <c r="C258" s="3" t="s">
        <v>25</v>
      </c>
      <c r="D258" s="3" t="s">
        <v>13</v>
      </c>
      <c r="E258" s="6">
        <v>45189</v>
      </c>
      <c r="F258" s="3" t="s">
        <v>14</v>
      </c>
      <c r="G258" s="3">
        <v>6740</v>
      </c>
      <c r="H258" s="3">
        <v>1446</v>
      </c>
      <c r="I258" s="3">
        <v>3.06</v>
      </c>
      <c r="J258" s="3">
        <v>88</v>
      </c>
      <c r="K258" s="15">
        <f ca="1">IF(F258="Enrolled",TODAY()-E258,"0")</f>
        <v>865</v>
      </c>
      <c r="L258" s="3" t="str">
        <f>IF(I258&gt;=3.5,"Excellent",IF(I258&gt;=3,"Good",IF(I258&gt;=2,"Average","Poor")))</f>
        <v>Good</v>
      </c>
      <c r="M258" s="3" t="str">
        <v>Dr.Mehta</v>
      </c>
      <c r="N258" s="3" t="str">
        <f>IF(H258 &gt; (G258*50%), "Yes", "No")</f>
        <v>No</v>
      </c>
      <c r="O258" s="16">
        <f>G258-H258</f>
        <v>5294</v>
      </c>
      <c r="P258" s="16">
        <f>SUMIFS(O258:O258,E258:E258,"Science",F258:F258,"Completed")</f>
        <v>0</v>
      </c>
      <c r="Q258" s="3" t="str">
        <f>IF(MONTH(E258)&gt;=7, YEAR(E258)&amp;"-"&amp;YEAR(E258)+1, YEAR(E258)-1&amp;"-"&amp;YEAR(E258))</f>
        <v>2023-2024</v>
      </c>
      <c r="R258" s="3"/>
      <c r="S258" s="3"/>
      <c r="T258" s="15" t="str">
        <f t="shared" ca="1" si="3"/>
        <v>0</v>
      </c>
      <c r="U258" s="3"/>
    </row>
    <row r="259" spans="1:21" x14ac:dyDescent="0.35">
      <c r="A259" s="3" t="s">
        <v>539</v>
      </c>
      <c r="B259" s="3" t="s">
        <v>540</v>
      </c>
      <c r="C259" s="3" t="s">
        <v>54</v>
      </c>
      <c r="D259" s="3" t="s">
        <v>31</v>
      </c>
      <c r="E259" s="6">
        <v>44857</v>
      </c>
      <c r="F259" s="3" t="s">
        <v>19</v>
      </c>
      <c r="G259" s="3">
        <v>3472</v>
      </c>
      <c r="H259" s="3">
        <v>7647</v>
      </c>
      <c r="I259" s="3">
        <v>2.27</v>
      </c>
      <c r="J259" s="3">
        <v>70</v>
      </c>
      <c r="K259" s="15" t="str">
        <f ca="1">IF(F259="Enrolled",TODAY()-E259,"0")</f>
        <v>0</v>
      </c>
      <c r="L259" s="3" t="str">
        <f>IF(I259&gt;=3.5,"Excellent",IF(I259&gt;=3,"Good",IF(I259&gt;=2,"Average","Poor")))</f>
        <v>Average</v>
      </c>
      <c r="M259" s="3" t="str">
        <v>Dr.Sharma</v>
      </c>
      <c r="N259" s="3" t="str">
        <f>IF(H259 &gt; (G259*50%), "Yes", "No")</f>
        <v>Yes</v>
      </c>
      <c r="O259" s="16">
        <f>G259-H259</f>
        <v>-4175</v>
      </c>
      <c r="P259" s="16">
        <f>SUMIFS(O259:O259,E259:E259,"Science",F259:F259,"Completed")</f>
        <v>0</v>
      </c>
      <c r="Q259" s="3" t="str">
        <f>IF(MONTH(E259)&gt;=7, YEAR(E259)&amp;"-"&amp;YEAR(E259)+1, YEAR(E259)-1&amp;"-"&amp;YEAR(E259))</f>
        <v>2022-2023</v>
      </c>
      <c r="R259" s="3"/>
      <c r="S259" s="3"/>
      <c r="T259" s="15">
        <f t="shared" ref="T259:T322" ca="1" si="4">IF(F259="Completed",TODAY()-E259,"0")</f>
        <v>1197</v>
      </c>
      <c r="U259" s="3"/>
    </row>
    <row r="260" spans="1:21" x14ac:dyDescent="0.35">
      <c r="A260" s="3" t="s">
        <v>541</v>
      </c>
      <c r="B260" s="3" t="s">
        <v>542</v>
      </c>
      <c r="C260" s="3" t="s">
        <v>28</v>
      </c>
      <c r="D260" s="3" t="s">
        <v>31</v>
      </c>
      <c r="E260" s="6">
        <v>45361</v>
      </c>
      <c r="F260" s="3" t="s">
        <v>39</v>
      </c>
      <c r="G260" s="3">
        <v>14136</v>
      </c>
      <c r="H260" s="3">
        <v>1781</v>
      </c>
      <c r="I260" s="3">
        <v>2.06</v>
      </c>
      <c r="J260" s="3">
        <v>81</v>
      </c>
      <c r="K260" s="15" t="str">
        <f ca="1">IF(F260="Enrolled",TODAY()-E260,"0")</f>
        <v>0</v>
      </c>
      <c r="L260" s="3" t="str">
        <f>IF(I260&gt;=3.5,"Excellent",IF(I260&gt;=3,"Good",IF(I260&gt;=2,"Average","Poor")))</f>
        <v>Average</v>
      </c>
      <c r="M260" s="3" t="str">
        <v>Dr.Sharma</v>
      </c>
      <c r="N260" s="3" t="str">
        <f>IF(H260 &gt; (G260*50%), "Yes", "No")</f>
        <v>No</v>
      </c>
      <c r="O260" s="16">
        <f>G260-H260</f>
        <v>12355</v>
      </c>
      <c r="P260" s="16">
        <f>SUMIFS(O260:O260,E260:E260,"Science",F260:F260,"Completed")</f>
        <v>0</v>
      </c>
      <c r="Q260" s="3" t="str">
        <f>IF(MONTH(E260)&gt;=7, YEAR(E260)&amp;"-"&amp;YEAR(E260)+1, YEAR(E260)-1&amp;"-"&amp;YEAR(E260))</f>
        <v>2023-2024</v>
      </c>
      <c r="R260" s="3"/>
      <c r="S260" s="3"/>
      <c r="T260" s="15" t="str">
        <f t="shared" ca="1" si="4"/>
        <v>0</v>
      </c>
      <c r="U260" s="3"/>
    </row>
    <row r="261" spans="1:21" x14ac:dyDescent="0.35">
      <c r="A261" s="3" t="s">
        <v>543</v>
      </c>
      <c r="B261" s="3" t="s">
        <v>544</v>
      </c>
      <c r="C261" s="3" t="s">
        <v>54</v>
      </c>
      <c r="D261" s="3" t="s">
        <v>13</v>
      </c>
      <c r="E261" s="6">
        <v>44937</v>
      </c>
      <c r="F261" s="3" t="s">
        <v>19</v>
      </c>
      <c r="G261" s="3">
        <v>8110</v>
      </c>
      <c r="H261" s="3">
        <v>2427</v>
      </c>
      <c r="I261" s="3">
        <v>3.44</v>
      </c>
      <c r="J261" s="3">
        <v>55</v>
      </c>
      <c r="K261" s="15" t="str">
        <f ca="1">IF(F261="Enrolled",TODAY()-E261,"0")</f>
        <v>0</v>
      </c>
      <c r="L261" s="3" t="str">
        <f>IF(I261&gt;=3.5,"Excellent",IF(I261&gt;=3,"Good",IF(I261&gt;=2,"Average","Poor")))</f>
        <v>Good</v>
      </c>
      <c r="M261" s="3" t="str">
        <v>Dr.Mehta</v>
      </c>
      <c r="N261" s="3" t="str">
        <f>IF(H261 &gt; (G261*50%), "Yes", "No")</f>
        <v>No</v>
      </c>
      <c r="O261" s="16">
        <f>G261-H261</f>
        <v>5683</v>
      </c>
      <c r="P261" s="16">
        <f>SUMIFS(O261:O261,E261:E261,"Science",F261:F261,"Completed")</f>
        <v>0</v>
      </c>
      <c r="Q261" s="3" t="str">
        <f>IF(MONTH(E261)&gt;=7, YEAR(E261)&amp;"-"&amp;YEAR(E261)+1, YEAR(E261)-1&amp;"-"&amp;YEAR(E261))</f>
        <v>2022-2023</v>
      </c>
      <c r="R261" s="3"/>
      <c r="S261" s="3"/>
      <c r="T261" s="15">
        <f t="shared" ca="1" si="4"/>
        <v>1117</v>
      </c>
      <c r="U261" s="3"/>
    </row>
    <row r="262" spans="1:21" x14ac:dyDescent="0.35">
      <c r="A262" s="3" t="s">
        <v>545</v>
      </c>
      <c r="B262" s="3" t="s">
        <v>546</v>
      </c>
      <c r="C262" s="3" t="s">
        <v>28</v>
      </c>
      <c r="D262" s="3" t="s">
        <v>18</v>
      </c>
      <c r="E262" s="6">
        <v>44995</v>
      </c>
      <c r="F262" s="3" t="s">
        <v>19</v>
      </c>
      <c r="G262" s="3">
        <v>4090</v>
      </c>
      <c r="H262" s="3">
        <v>1536</v>
      </c>
      <c r="I262" s="3">
        <v>2.95</v>
      </c>
      <c r="J262" s="3">
        <v>60</v>
      </c>
      <c r="K262" s="15" t="str">
        <f ca="1">IF(F262="Enrolled",TODAY()-E262,"0")</f>
        <v>0</v>
      </c>
      <c r="L262" s="3" t="str">
        <f>IF(I262&gt;=3.5,"Excellent",IF(I262&gt;=3,"Good",IF(I262&gt;=2,"Average","Poor")))</f>
        <v>Average</v>
      </c>
      <c r="M262" s="3" t="str">
        <v>Dr.Roy</v>
      </c>
      <c r="N262" s="3" t="str">
        <f>IF(H262 &gt; (G262*50%), "Yes", "No")</f>
        <v>No</v>
      </c>
      <c r="O262" s="16">
        <f>G262-H262</f>
        <v>2554</v>
      </c>
      <c r="P262" s="16">
        <f>SUMIFS(O262:O262,E262:E262,"Science",F262:F262,"Completed")</f>
        <v>0</v>
      </c>
      <c r="Q262" s="3" t="str">
        <f>IF(MONTH(E262)&gt;=7, YEAR(E262)&amp;"-"&amp;YEAR(E262)+1, YEAR(E262)-1&amp;"-"&amp;YEAR(E262))</f>
        <v>2022-2023</v>
      </c>
      <c r="R262" s="3"/>
      <c r="S262" s="3"/>
      <c r="T262" s="15">
        <f t="shared" ca="1" si="4"/>
        <v>1059</v>
      </c>
      <c r="U262" s="3"/>
    </row>
    <row r="263" spans="1:21" x14ac:dyDescent="0.35">
      <c r="A263" s="3" t="s">
        <v>547</v>
      </c>
      <c r="B263" s="3" t="s">
        <v>548</v>
      </c>
      <c r="C263" s="3" t="s">
        <v>36</v>
      </c>
      <c r="D263" s="3" t="s">
        <v>13</v>
      </c>
      <c r="E263" s="6">
        <v>44952</v>
      </c>
      <c r="F263" s="3" t="s">
        <v>14</v>
      </c>
      <c r="G263" s="3">
        <v>2654</v>
      </c>
      <c r="H263" s="3">
        <v>1494</v>
      </c>
      <c r="I263" s="3">
        <v>3.44</v>
      </c>
      <c r="J263" s="3">
        <v>78</v>
      </c>
      <c r="K263" s="15">
        <f ca="1">IF(F263="Enrolled",TODAY()-E263,"0")</f>
        <v>1102</v>
      </c>
      <c r="L263" s="3" t="str">
        <f>IF(I263&gt;=3.5,"Excellent",IF(I263&gt;=3,"Good",IF(I263&gt;=2,"Average","Poor")))</f>
        <v>Good</v>
      </c>
      <c r="M263" s="3" t="str">
        <v>Dr.Mehta</v>
      </c>
      <c r="N263" s="3" t="str">
        <f>IF(H263 &gt; (G263*50%), "Yes", "No")</f>
        <v>Yes</v>
      </c>
      <c r="O263" s="16">
        <f>G263-H263</f>
        <v>1160</v>
      </c>
      <c r="P263" s="16">
        <f>SUMIFS(O263:O263,E263:E263,"Science",F263:F263,"Completed")</f>
        <v>0</v>
      </c>
      <c r="Q263" s="3" t="str">
        <f>IF(MONTH(E263)&gt;=7, YEAR(E263)&amp;"-"&amp;YEAR(E263)+1, YEAR(E263)-1&amp;"-"&amp;YEAR(E263))</f>
        <v>2022-2023</v>
      </c>
      <c r="R263" s="3"/>
      <c r="S263" s="3"/>
      <c r="T263" s="15" t="str">
        <f t="shared" ca="1" si="4"/>
        <v>0</v>
      </c>
      <c r="U263" s="3"/>
    </row>
    <row r="264" spans="1:21" x14ac:dyDescent="0.35">
      <c r="A264" s="3" t="s">
        <v>549</v>
      </c>
      <c r="B264" s="3" t="s">
        <v>550</v>
      </c>
      <c r="C264" s="3" t="s">
        <v>12</v>
      </c>
      <c r="D264" s="3" t="s">
        <v>62</v>
      </c>
      <c r="E264" s="6">
        <v>45276</v>
      </c>
      <c r="F264" s="3" t="s">
        <v>14</v>
      </c>
      <c r="G264" s="3">
        <v>14036</v>
      </c>
      <c r="H264" s="3">
        <v>9481</v>
      </c>
      <c r="I264" s="3">
        <v>3.17</v>
      </c>
      <c r="J264" s="3">
        <v>85</v>
      </c>
      <c r="K264" s="15">
        <f ca="1">IF(F264="Enrolled",TODAY()-E264,"0")</f>
        <v>778</v>
      </c>
      <c r="L264" s="3" t="str">
        <f>IF(I264&gt;=3.5,"Excellent",IF(I264&gt;=3,"Good",IF(I264&gt;=2,"Average","Poor")))</f>
        <v>Good</v>
      </c>
      <c r="M264" s="3" t="str">
        <v>Dr.Sinha</v>
      </c>
      <c r="N264" s="3" t="str">
        <f>IF(H264 &gt; (G264*50%), "Yes", "No")</f>
        <v>Yes</v>
      </c>
      <c r="O264" s="16">
        <f>G264-H264</f>
        <v>4555</v>
      </c>
      <c r="P264" s="16">
        <f>SUMIFS(O264:O264,E264:E264,"Science",F264:F264,"Completed")</f>
        <v>0</v>
      </c>
      <c r="Q264" s="3" t="str">
        <f>IF(MONTH(E264)&gt;=7, YEAR(E264)&amp;"-"&amp;YEAR(E264)+1, YEAR(E264)-1&amp;"-"&amp;YEAR(E264))</f>
        <v>2023-2024</v>
      </c>
      <c r="R264" s="3"/>
      <c r="S264" s="3"/>
      <c r="T264" s="15" t="str">
        <f t="shared" ca="1" si="4"/>
        <v>0</v>
      </c>
      <c r="U264" s="3"/>
    </row>
    <row r="265" spans="1:21" x14ac:dyDescent="0.35">
      <c r="A265" s="3" t="s">
        <v>551</v>
      </c>
      <c r="B265" s="3" t="s">
        <v>552</v>
      </c>
      <c r="C265" s="3" t="s">
        <v>12</v>
      </c>
      <c r="D265" s="3" t="s">
        <v>31</v>
      </c>
      <c r="E265" s="6">
        <v>44619</v>
      </c>
      <c r="F265" s="3" t="s">
        <v>19</v>
      </c>
      <c r="G265" s="3">
        <v>9912</v>
      </c>
      <c r="H265" s="3">
        <v>9447</v>
      </c>
      <c r="I265" s="3">
        <v>2.11</v>
      </c>
      <c r="J265" s="3">
        <v>10</v>
      </c>
      <c r="K265" s="15" t="str">
        <f ca="1">IF(F265="Enrolled",TODAY()-E265,"0")</f>
        <v>0</v>
      </c>
      <c r="L265" s="3" t="str">
        <f>IF(I265&gt;=3.5,"Excellent",IF(I265&gt;=3,"Good",IF(I265&gt;=2,"Average","Poor")))</f>
        <v>Average</v>
      </c>
      <c r="M265" s="3" t="str">
        <v>Dr.Sharma</v>
      </c>
      <c r="N265" s="3" t="str">
        <f>IF(H265 &gt; (G265*50%), "Yes", "No")</f>
        <v>Yes</v>
      </c>
      <c r="O265" s="16">
        <f>G265-H265</f>
        <v>465</v>
      </c>
      <c r="P265" s="16">
        <f>SUMIFS(O265:O265,E265:E265,"Science",F265:F265,"Completed")</f>
        <v>0</v>
      </c>
      <c r="Q265" s="3" t="str">
        <f>IF(MONTH(E265)&gt;=7, YEAR(E265)&amp;"-"&amp;YEAR(E265)+1, YEAR(E265)-1&amp;"-"&amp;YEAR(E265))</f>
        <v>2021-2022</v>
      </c>
      <c r="R265" s="3"/>
      <c r="S265" s="3"/>
      <c r="T265" s="15">
        <f t="shared" ca="1" si="4"/>
        <v>1435</v>
      </c>
      <c r="U265" s="3"/>
    </row>
    <row r="266" spans="1:21" x14ac:dyDescent="0.35">
      <c r="A266" s="3" t="s">
        <v>553</v>
      </c>
      <c r="B266" s="3" t="s">
        <v>554</v>
      </c>
      <c r="C266" s="3" t="s">
        <v>25</v>
      </c>
      <c r="D266" s="3" t="s">
        <v>13</v>
      </c>
      <c r="E266" s="6">
        <v>44922</v>
      </c>
      <c r="F266" s="3" t="s">
        <v>19</v>
      </c>
      <c r="G266" s="3">
        <v>6111</v>
      </c>
      <c r="H266" s="3">
        <v>1558</v>
      </c>
      <c r="I266" s="3">
        <v>2.2200000000000002</v>
      </c>
      <c r="J266" s="3">
        <v>48</v>
      </c>
      <c r="K266" s="15" t="str">
        <f ca="1">IF(F266="Enrolled",TODAY()-E266,"0")</f>
        <v>0</v>
      </c>
      <c r="L266" s="3" t="str">
        <f>IF(I266&gt;=3.5,"Excellent",IF(I266&gt;=3,"Good",IF(I266&gt;=2,"Average","Poor")))</f>
        <v>Average</v>
      </c>
      <c r="M266" s="3" t="str">
        <v>Dr.Mehta</v>
      </c>
      <c r="N266" s="3" t="str">
        <f>IF(H266 &gt; (G266*50%), "Yes", "No")</f>
        <v>No</v>
      </c>
      <c r="O266" s="16">
        <f>G266-H266</f>
        <v>4553</v>
      </c>
      <c r="P266" s="16">
        <f>SUMIFS(O266:O266,E266:E266,"Science",F266:F266,"Completed")</f>
        <v>0</v>
      </c>
      <c r="Q266" s="3" t="str">
        <f>IF(MONTH(E266)&gt;=7, YEAR(E266)&amp;"-"&amp;YEAR(E266)+1, YEAR(E266)-1&amp;"-"&amp;YEAR(E266))</f>
        <v>2022-2023</v>
      </c>
      <c r="R266" s="3"/>
      <c r="S266" s="3"/>
      <c r="T266" s="15">
        <f t="shared" ca="1" si="4"/>
        <v>1132</v>
      </c>
      <c r="U266" s="3"/>
    </row>
    <row r="267" spans="1:21" x14ac:dyDescent="0.35">
      <c r="A267" s="3" t="s">
        <v>555</v>
      </c>
      <c r="B267" s="3" t="s">
        <v>556</v>
      </c>
      <c r="C267" s="3" t="s">
        <v>25</v>
      </c>
      <c r="D267" s="3" t="s">
        <v>62</v>
      </c>
      <c r="E267" s="6">
        <v>45360</v>
      </c>
      <c r="F267" s="3" t="s">
        <v>14</v>
      </c>
      <c r="G267" s="3">
        <v>12375</v>
      </c>
      <c r="H267" s="3">
        <v>1292</v>
      </c>
      <c r="I267" s="3">
        <v>2.54</v>
      </c>
      <c r="J267" s="3">
        <v>40</v>
      </c>
      <c r="K267" s="15">
        <f ca="1">IF(F267="Enrolled",TODAY()-E267,"0")</f>
        <v>694</v>
      </c>
      <c r="L267" s="3" t="str">
        <f>IF(I267&gt;=3.5,"Excellent",IF(I267&gt;=3,"Good",IF(I267&gt;=2,"Average","Poor")))</f>
        <v>Average</v>
      </c>
      <c r="M267" s="3" t="str">
        <v>Dr.Sinha</v>
      </c>
      <c r="N267" s="3" t="str">
        <f>IF(H267 &gt; (G267*50%), "Yes", "No")</f>
        <v>No</v>
      </c>
      <c r="O267" s="16">
        <f>G267-H267</f>
        <v>11083</v>
      </c>
      <c r="P267" s="16">
        <f>SUMIFS(O267:O267,E267:E267,"Science",F267:F267,"Completed")</f>
        <v>0</v>
      </c>
      <c r="Q267" s="3" t="str">
        <f>IF(MONTH(E267)&gt;=7, YEAR(E267)&amp;"-"&amp;YEAR(E267)+1, YEAR(E267)-1&amp;"-"&amp;YEAR(E267))</f>
        <v>2023-2024</v>
      </c>
      <c r="R267" s="3"/>
      <c r="S267" s="3"/>
      <c r="T267" s="15" t="str">
        <f t="shared" ca="1" si="4"/>
        <v>0</v>
      </c>
      <c r="U267" s="3"/>
    </row>
    <row r="268" spans="1:21" x14ac:dyDescent="0.35">
      <c r="A268" s="3" t="s">
        <v>557</v>
      </c>
      <c r="B268" s="3" t="s">
        <v>558</v>
      </c>
      <c r="C268" s="3" t="s">
        <v>54</v>
      </c>
      <c r="D268" s="3" t="s">
        <v>18</v>
      </c>
      <c r="E268" s="6">
        <v>44906</v>
      </c>
      <c r="F268" s="3" t="s">
        <v>14</v>
      </c>
      <c r="G268" s="3">
        <v>5864</v>
      </c>
      <c r="H268" s="3">
        <v>3943</v>
      </c>
      <c r="I268" s="3">
        <v>3.14</v>
      </c>
      <c r="J268" s="3">
        <v>79</v>
      </c>
      <c r="K268" s="15">
        <f ca="1">IF(F268="Enrolled",TODAY()-E268,"0")</f>
        <v>1148</v>
      </c>
      <c r="L268" s="3" t="str">
        <f>IF(I268&gt;=3.5,"Excellent",IF(I268&gt;=3,"Good",IF(I268&gt;=2,"Average","Poor")))</f>
        <v>Good</v>
      </c>
      <c r="M268" s="3" t="str">
        <v>Dr.Roy</v>
      </c>
      <c r="N268" s="3" t="str">
        <f>IF(H268 &gt; (G268*50%), "Yes", "No")</f>
        <v>Yes</v>
      </c>
      <c r="O268" s="16">
        <f>G268-H268</f>
        <v>1921</v>
      </c>
      <c r="P268" s="16">
        <f>SUMIFS(O268:O268,E268:E268,"Science",F268:F268,"Completed")</f>
        <v>0</v>
      </c>
      <c r="Q268" s="3" t="str">
        <f>IF(MONTH(E268)&gt;=7, YEAR(E268)&amp;"-"&amp;YEAR(E268)+1, YEAR(E268)-1&amp;"-"&amp;YEAR(E268))</f>
        <v>2022-2023</v>
      </c>
      <c r="R268" s="3"/>
      <c r="S268" s="3"/>
      <c r="T268" s="15" t="str">
        <f t="shared" ca="1" si="4"/>
        <v>0</v>
      </c>
      <c r="U268" s="3"/>
    </row>
    <row r="269" spans="1:21" x14ac:dyDescent="0.35">
      <c r="A269" s="3" t="s">
        <v>559</v>
      </c>
      <c r="B269" s="3" t="s">
        <v>560</v>
      </c>
      <c r="C269" s="3" t="s">
        <v>25</v>
      </c>
      <c r="D269" s="3" t="s">
        <v>13</v>
      </c>
      <c r="E269" s="6">
        <v>44637</v>
      </c>
      <c r="F269" s="3" t="s">
        <v>14</v>
      </c>
      <c r="G269" s="3">
        <v>14547</v>
      </c>
      <c r="H269" s="3">
        <v>4922</v>
      </c>
      <c r="I269" s="3">
        <v>3.06</v>
      </c>
      <c r="J269" s="3">
        <v>67</v>
      </c>
      <c r="K269" s="15">
        <f ca="1">IF(F269="Enrolled",TODAY()-E269,"0")</f>
        <v>1417</v>
      </c>
      <c r="L269" s="3" t="str">
        <f>IF(I269&gt;=3.5,"Excellent",IF(I269&gt;=3,"Good",IF(I269&gt;=2,"Average","Poor")))</f>
        <v>Good</v>
      </c>
      <c r="M269" s="3" t="str">
        <v>Dr.Mehta</v>
      </c>
      <c r="N269" s="3" t="str">
        <f>IF(H269 &gt; (G269*50%), "Yes", "No")</f>
        <v>No</v>
      </c>
      <c r="O269" s="16">
        <f>G269-H269</f>
        <v>9625</v>
      </c>
      <c r="P269" s="16">
        <f>SUMIFS(O269:O269,E269:E269,"Science",F269:F269,"Completed")</f>
        <v>0</v>
      </c>
      <c r="Q269" s="3" t="str">
        <f>IF(MONTH(E269)&gt;=7, YEAR(E269)&amp;"-"&amp;YEAR(E269)+1, YEAR(E269)-1&amp;"-"&amp;YEAR(E269))</f>
        <v>2021-2022</v>
      </c>
      <c r="R269" s="3"/>
      <c r="S269" s="3"/>
      <c r="T269" s="15" t="str">
        <f t="shared" ca="1" si="4"/>
        <v>0</v>
      </c>
      <c r="U269" s="3"/>
    </row>
    <row r="270" spans="1:21" x14ac:dyDescent="0.35">
      <c r="A270" s="3" t="s">
        <v>561</v>
      </c>
      <c r="B270" s="3" t="s">
        <v>562</v>
      </c>
      <c r="C270" s="3" t="s">
        <v>28</v>
      </c>
      <c r="D270" s="3" t="s">
        <v>13</v>
      </c>
      <c r="E270" s="6">
        <v>44647</v>
      </c>
      <c r="F270" s="3" t="s">
        <v>19</v>
      </c>
      <c r="G270" s="3">
        <v>12862</v>
      </c>
      <c r="H270" s="3">
        <v>6663</v>
      </c>
      <c r="I270" s="3">
        <v>3.69</v>
      </c>
      <c r="J270" s="3">
        <v>85</v>
      </c>
      <c r="K270" s="15" t="str">
        <f ca="1">IF(F270="Enrolled",TODAY()-E270,"0")</f>
        <v>0</v>
      </c>
      <c r="L270" s="3" t="str">
        <f>IF(I270&gt;=3.5,"Excellent",IF(I270&gt;=3,"Good",IF(I270&gt;=2,"Average","Poor")))</f>
        <v>Excellent</v>
      </c>
      <c r="M270" s="3" t="str">
        <v>Dr.Mehta</v>
      </c>
      <c r="N270" s="3" t="str">
        <f>IF(H270 &gt; (G270*50%), "Yes", "No")</f>
        <v>Yes</v>
      </c>
      <c r="O270" s="16">
        <f>G270-H270</f>
        <v>6199</v>
      </c>
      <c r="P270" s="16">
        <f>SUMIFS(O270:O270,E270:E270,"Science",F270:F270,"Completed")</f>
        <v>0</v>
      </c>
      <c r="Q270" s="3" t="str">
        <f>IF(MONTH(E270)&gt;=7, YEAR(E270)&amp;"-"&amp;YEAR(E270)+1, YEAR(E270)-1&amp;"-"&amp;YEAR(E270))</f>
        <v>2021-2022</v>
      </c>
      <c r="R270" s="3"/>
      <c r="S270" s="3"/>
      <c r="T270" s="15">
        <f t="shared" ca="1" si="4"/>
        <v>1407</v>
      </c>
      <c r="U270" s="3"/>
    </row>
    <row r="271" spans="1:21" x14ac:dyDescent="0.35">
      <c r="A271" s="3" t="s">
        <v>563</v>
      </c>
      <c r="B271" s="3" t="s">
        <v>564</v>
      </c>
      <c r="C271" s="3" t="s">
        <v>22</v>
      </c>
      <c r="D271" s="3" t="s">
        <v>13</v>
      </c>
      <c r="E271" s="6">
        <v>45234</v>
      </c>
      <c r="F271" s="3" t="s">
        <v>14</v>
      </c>
      <c r="G271" s="3">
        <v>3181</v>
      </c>
      <c r="H271" s="3">
        <v>2030</v>
      </c>
      <c r="I271" s="3">
        <v>2.2200000000000002</v>
      </c>
      <c r="J271" s="3">
        <v>110</v>
      </c>
      <c r="K271" s="15">
        <f ca="1">IF(F271="Enrolled",TODAY()-E271,"0")</f>
        <v>820</v>
      </c>
      <c r="L271" s="3" t="str">
        <f>IF(I271&gt;=3.5,"Excellent",IF(I271&gt;=3,"Good",IF(I271&gt;=2,"Average","Poor")))</f>
        <v>Average</v>
      </c>
      <c r="M271" s="3" t="str">
        <v>Dr.Mehta</v>
      </c>
      <c r="N271" s="3" t="str">
        <f>IF(H271 &gt; (G271*50%), "Yes", "No")</f>
        <v>Yes</v>
      </c>
      <c r="O271" s="16">
        <f>G271-H271</f>
        <v>1151</v>
      </c>
      <c r="P271" s="16">
        <f>SUMIFS(O271:O271,E271:E271,"Science",F271:F271,"Completed")</f>
        <v>0</v>
      </c>
      <c r="Q271" s="3" t="str">
        <f>IF(MONTH(E271)&gt;=7, YEAR(E271)&amp;"-"&amp;YEAR(E271)+1, YEAR(E271)-1&amp;"-"&amp;YEAR(E271))</f>
        <v>2023-2024</v>
      </c>
      <c r="R271" s="3"/>
      <c r="S271" s="3"/>
      <c r="T271" s="15" t="str">
        <f t="shared" ca="1" si="4"/>
        <v>0</v>
      </c>
      <c r="U271" s="3"/>
    </row>
    <row r="272" spans="1:21" x14ac:dyDescent="0.35">
      <c r="A272" s="3" t="s">
        <v>565</v>
      </c>
      <c r="B272" s="3" t="s">
        <v>566</v>
      </c>
      <c r="C272" s="3" t="s">
        <v>17</v>
      </c>
      <c r="D272" s="3" t="s">
        <v>62</v>
      </c>
      <c r="E272" s="6">
        <v>44759</v>
      </c>
      <c r="F272" s="3" t="s">
        <v>19</v>
      </c>
      <c r="G272" s="3">
        <v>7961</v>
      </c>
      <c r="H272" s="3">
        <v>6424</v>
      </c>
      <c r="I272" s="3">
        <v>3.69</v>
      </c>
      <c r="J272" s="3">
        <v>12</v>
      </c>
      <c r="K272" s="15" t="str">
        <f ca="1">IF(F272="Enrolled",TODAY()-E272,"0")</f>
        <v>0</v>
      </c>
      <c r="L272" s="3" t="str">
        <f>IF(I272&gt;=3.5,"Excellent",IF(I272&gt;=3,"Good",IF(I272&gt;=2,"Average","Poor")))</f>
        <v>Excellent</v>
      </c>
      <c r="M272" s="3" t="str">
        <v>Dr.Sinha</v>
      </c>
      <c r="N272" s="3" t="str">
        <f>IF(H272 &gt; (G272*50%), "Yes", "No")</f>
        <v>Yes</v>
      </c>
      <c r="O272" s="16">
        <f>G272-H272</f>
        <v>1537</v>
      </c>
      <c r="P272" s="16">
        <f>SUMIFS(O272:O272,E272:E272,"Science",F272:F272,"Completed")</f>
        <v>0</v>
      </c>
      <c r="Q272" s="3" t="str">
        <f>IF(MONTH(E272)&gt;=7, YEAR(E272)&amp;"-"&amp;YEAR(E272)+1, YEAR(E272)-1&amp;"-"&amp;YEAR(E272))</f>
        <v>2022-2023</v>
      </c>
      <c r="R272" s="3"/>
      <c r="S272" s="3"/>
      <c r="T272" s="15">
        <f t="shared" ca="1" si="4"/>
        <v>1295</v>
      </c>
      <c r="U272" s="3"/>
    </row>
    <row r="273" spans="1:21" x14ac:dyDescent="0.35">
      <c r="A273" s="3" t="s">
        <v>567</v>
      </c>
      <c r="B273" s="3" t="s">
        <v>568</v>
      </c>
      <c r="C273" s="3" t="s">
        <v>54</v>
      </c>
      <c r="D273" s="3" t="s">
        <v>18</v>
      </c>
      <c r="E273" s="6">
        <v>44909</v>
      </c>
      <c r="F273" s="3" t="s">
        <v>19</v>
      </c>
      <c r="G273" s="3">
        <v>3134</v>
      </c>
      <c r="H273" s="3">
        <v>313</v>
      </c>
      <c r="I273" s="3">
        <v>2.02</v>
      </c>
      <c r="J273" s="3">
        <v>112</v>
      </c>
      <c r="K273" s="15" t="str">
        <f ca="1">IF(F273="Enrolled",TODAY()-E273,"0")</f>
        <v>0</v>
      </c>
      <c r="L273" s="3" t="str">
        <f>IF(I273&gt;=3.5,"Excellent",IF(I273&gt;=3,"Good",IF(I273&gt;=2,"Average","Poor")))</f>
        <v>Average</v>
      </c>
      <c r="M273" s="3" t="str">
        <v>Dr.Roy</v>
      </c>
      <c r="N273" s="3" t="str">
        <f>IF(H273 &gt; (G273*50%), "Yes", "No")</f>
        <v>No</v>
      </c>
      <c r="O273" s="16">
        <f>G273-H273</f>
        <v>2821</v>
      </c>
      <c r="P273" s="16">
        <f>SUMIFS(O273:O273,E273:E273,"Science",F273:F273,"Completed")</f>
        <v>0</v>
      </c>
      <c r="Q273" s="3" t="str">
        <f>IF(MONTH(E273)&gt;=7, YEAR(E273)&amp;"-"&amp;YEAR(E273)+1, YEAR(E273)-1&amp;"-"&amp;YEAR(E273))</f>
        <v>2022-2023</v>
      </c>
      <c r="R273" s="3"/>
      <c r="S273" s="3"/>
      <c r="T273" s="15">
        <f t="shared" ca="1" si="4"/>
        <v>1145</v>
      </c>
      <c r="U273" s="3"/>
    </row>
    <row r="274" spans="1:21" x14ac:dyDescent="0.35">
      <c r="A274" s="3" t="s">
        <v>569</v>
      </c>
      <c r="B274" s="3" t="s">
        <v>570</v>
      </c>
      <c r="C274" s="3" t="s">
        <v>57</v>
      </c>
      <c r="D274" s="3" t="s">
        <v>18</v>
      </c>
      <c r="E274" s="6">
        <v>45060</v>
      </c>
      <c r="F274" s="3" t="s">
        <v>19</v>
      </c>
      <c r="G274" s="3">
        <v>13777</v>
      </c>
      <c r="H274" s="3">
        <v>8538</v>
      </c>
      <c r="I274" s="3">
        <v>3.35</v>
      </c>
      <c r="J274" s="3">
        <v>22</v>
      </c>
      <c r="K274" s="15" t="str">
        <f ca="1">IF(F274="Enrolled",TODAY()-E274,"0")</f>
        <v>0</v>
      </c>
      <c r="L274" s="3" t="str">
        <f>IF(I274&gt;=3.5,"Excellent",IF(I274&gt;=3,"Good",IF(I274&gt;=2,"Average","Poor")))</f>
        <v>Good</v>
      </c>
      <c r="M274" s="3" t="str">
        <v>Dr.Roy</v>
      </c>
      <c r="N274" s="3" t="str">
        <f>IF(H274 &gt; (G274*50%), "Yes", "No")</f>
        <v>Yes</v>
      </c>
      <c r="O274" s="16">
        <f>G274-H274</f>
        <v>5239</v>
      </c>
      <c r="P274" s="16">
        <f>SUMIFS(O274:O274,E274:E274,"Science",F274:F274,"Completed")</f>
        <v>0</v>
      </c>
      <c r="Q274" s="3" t="str">
        <f>IF(MONTH(E274)&gt;=7, YEAR(E274)&amp;"-"&amp;YEAR(E274)+1, YEAR(E274)-1&amp;"-"&amp;YEAR(E274))</f>
        <v>2022-2023</v>
      </c>
      <c r="R274" s="3"/>
      <c r="S274" s="3"/>
      <c r="T274" s="15">
        <f t="shared" ca="1" si="4"/>
        <v>994</v>
      </c>
      <c r="U274" s="3"/>
    </row>
    <row r="275" spans="1:21" x14ac:dyDescent="0.35">
      <c r="A275" s="3" t="s">
        <v>571</v>
      </c>
      <c r="B275" s="3" t="s">
        <v>572</v>
      </c>
      <c r="C275" s="3" t="s">
        <v>57</v>
      </c>
      <c r="D275" s="3" t="s">
        <v>13</v>
      </c>
      <c r="E275" s="6">
        <v>45387</v>
      </c>
      <c r="F275" s="3" t="s">
        <v>14</v>
      </c>
      <c r="G275" s="3">
        <v>13439</v>
      </c>
      <c r="H275" s="3">
        <v>2405</v>
      </c>
      <c r="I275" s="3">
        <v>2.5099999999999998</v>
      </c>
      <c r="J275" s="3">
        <v>104</v>
      </c>
      <c r="K275" s="15">
        <f ca="1">IF(F275="Enrolled",TODAY()-E275,"0")</f>
        <v>667</v>
      </c>
      <c r="L275" s="3" t="str">
        <f>IF(I275&gt;=3.5,"Excellent",IF(I275&gt;=3,"Good",IF(I275&gt;=2,"Average","Poor")))</f>
        <v>Average</v>
      </c>
      <c r="M275" s="3" t="str">
        <v>Dr.Mehta</v>
      </c>
      <c r="N275" s="3" t="str">
        <f>IF(H275 &gt; (G275*50%), "Yes", "No")</f>
        <v>No</v>
      </c>
      <c r="O275" s="16">
        <f>G275-H275</f>
        <v>11034</v>
      </c>
      <c r="P275" s="16">
        <f>SUMIFS(O275:O275,E275:E275,"Science",F275:F275,"Completed")</f>
        <v>0</v>
      </c>
      <c r="Q275" s="3" t="str">
        <f>IF(MONTH(E275)&gt;=7, YEAR(E275)&amp;"-"&amp;YEAR(E275)+1, YEAR(E275)-1&amp;"-"&amp;YEAR(E275))</f>
        <v>2023-2024</v>
      </c>
      <c r="R275" s="3"/>
      <c r="S275" s="3"/>
      <c r="T275" s="15" t="str">
        <f t="shared" ca="1" si="4"/>
        <v>0</v>
      </c>
      <c r="U275" s="3"/>
    </row>
    <row r="276" spans="1:21" x14ac:dyDescent="0.35">
      <c r="A276" s="3" t="s">
        <v>573</v>
      </c>
      <c r="B276" s="3" t="s">
        <v>574</v>
      </c>
      <c r="C276" s="3" t="s">
        <v>54</v>
      </c>
      <c r="D276" s="3" t="s">
        <v>18</v>
      </c>
      <c r="E276" s="6">
        <v>44944</v>
      </c>
      <c r="F276" s="3" t="s">
        <v>19</v>
      </c>
      <c r="G276" s="3">
        <v>7518</v>
      </c>
      <c r="H276" s="3">
        <v>6229</v>
      </c>
      <c r="I276" s="3">
        <v>3.59</v>
      </c>
      <c r="J276" s="3">
        <v>48</v>
      </c>
      <c r="K276" s="15" t="str">
        <f ca="1">IF(F276="Enrolled",TODAY()-E276,"0")</f>
        <v>0</v>
      </c>
      <c r="L276" s="3" t="str">
        <f>IF(I276&gt;=3.5,"Excellent",IF(I276&gt;=3,"Good",IF(I276&gt;=2,"Average","Poor")))</f>
        <v>Excellent</v>
      </c>
      <c r="M276" s="3" t="str">
        <v>Dr.Roy</v>
      </c>
      <c r="N276" s="3" t="str">
        <f>IF(H276 &gt; (G276*50%), "Yes", "No")</f>
        <v>Yes</v>
      </c>
      <c r="O276" s="16">
        <f>G276-H276</f>
        <v>1289</v>
      </c>
      <c r="P276" s="16">
        <f>SUMIFS(O276:O276,E276:E276,"Science",F276:F276,"Completed")</f>
        <v>0</v>
      </c>
      <c r="Q276" s="3" t="str">
        <f>IF(MONTH(E276)&gt;=7, YEAR(E276)&amp;"-"&amp;YEAR(E276)+1, YEAR(E276)-1&amp;"-"&amp;YEAR(E276))</f>
        <v>2022-2023</v>
      </c>
      <c r="R276" s="3"/>
      <c r="S276" s="3"/>
      <c r="T276" s="15">
        <f t="shared" ca="1" si="4"/>
        <v>1110</v>
      </c>
      <c r="U276" s="3"/>
    </row>
    <row r="277" spans="1:21" x14ac:dyDescent="0.35">
      <c r="A277" s="3" t="s">
        <v>575</v>
      </c>
      <c r="B277" s="3" t="s">
        <v>576</v>
      </c>
      <c r="C277" s="3" t="s">
        <v>36</v>
      </c>
      <c r="D277" s="3" t="s">
        <v>31</v>
      </c>
      <c r="E277" s="6">
        <v>45073</v>
      </c>
      <c r="F277" s="3" t="s">
        <v>14</v>
      </c>
      <c r="G277" s="3">
        <v>13408</v>
      </c>
      <c r="H277" s="3">
        <v>4476</v>
      </c>
      <c r="I277" s="3">
        <v>2.15</v>
      </c>
      <c r="J277" s="3">
        <v>22</v>
      </c>
      <c r="K277" s="15">
        <f ca="1">IF(F277="Enrolled",TODAY()-E277,"0")</f>
        <v>981</v>
      </c>
      <c r="L277" s="3" t="str">
        <f>IF(I277&gt;=3.5,"Excellent",IF(I277&gt;=3,"Good",IF(I277&gt;=2,"Average","Poor")))</f>
        <v>Average</v>
      </c>
      <c r="M277" s="3" t="str">
        <v>Dr.Sharma</v>
      </c>
      <c r="N277" s="3" t="str">
        <f>IF(H277 &gt; (G277*50%), "Yes", "No")</f>
        <v>No</v>
      </c>
      <c r="O277" s="16">
        <f>G277-H277</f>
        <v>8932</v>
      </c>
      <c r="P277" s="16">
        <f>SUMIFS(O277:O277,E277:E277,"Science",F277:F277,"Completed")</f>
        <v>0</v>
      </c>
      <c r="Q277" s="3" t="str">
        <f>IF(MONTH(E277)&gt;=7, YEAR(E277)&amp;"-"&amp;YEAR(E277)+1, YEAR(E277)-1&amp;"-"&amp;YEAR(E277))</f>
        <v>2022-2023</v>
      </c>
      <c r="R277" s="3"/>
      <c r="S277" s="3"/>
      <c r="T277" s="15" t="str">
        <f t="shared" ca="1" si="4"/>
        <v>0</v>
      </c>
      <c r="U277" s="3"/>
    </row>
    <row r="278" spans="1:21" x14ac:dyDescent="0.35">
      <c r="A278" s="3" t="s">
        <v>577</v>
      </c>
      <c r="B278" s="3" t="s">
        <v>578</v>
      </c>
      <c r="C278" s="3" t="s">
        <v>12</v>
      </c>
      <c r="D278" s="3" t="s">
        <v>13</v>
      </c>
      <c r="E278" s="6">
        <v>45450</v>
      </c>
      <c r="F278" s="3" t="s">
        <v>14</v>
      </c>
      <c r="G278" s="3">
        <v>8007</v>
      </c>
      <c r="H278" s="3">
        <v>9251</v>
      </c>
      <c r="I278" s="3">
        <v>2.42</v>
      </c>
      <c r="J278" s="3">
        <v>37</v>
      </c>
      <c r="K278" s="15">
        <f ca="1">IF(F278="Enrolled",TODAY()-E278,"0")</f>
        <v>604</v>
      </c>
      <c r="L278" s="3" t="str">
        <f>IF(I278&gt;=3.5,"Excellent",IF(I278&gt;=3,"Good",IF(I278&gt;=2,"Average","Poor")))</f>
        <v>Average</v>
      </c>
      <c r="M278" s="3" t="str">
        <v>Dr.Mehta</v>
      </c>
      <c r="N278" s="3" t="str">
        <f>IF(H278 &gt; (G278*50%), "Yes", "No")</f>
        <v>Yes</v>
      </c>
      <c r="O278" s="16">
        <f>G278-H278</f>
        <v>-1244</v>
      </c>
      <c r="P278" s="16">
        <f>SUMIFS(O278:O278,E278:E278,"Science",F278:F278,"Completed")</f>
        <v>0</v>
      </c>
      <c r="Q278" s="3" t="str">
        <f>IF(MONTH(E278)&gt;=7, YEAR(E278)&amp;"-"&amp;YEAR(E278)+1, YEAR(E278)-1&amp;"-"&amp;YEAR(E278))</f>
        <v>2023-2024</v>
      </c>
      <c r="R278" s="3"/>
      <c r="S278" s="3"/>
      <c r="T278" s="15" t="str">
        <f t="shared" ca="1" si="4"/>
        <v>0</v>
      </c>
      <c r="U278" s="3"/>
    </row>
    <row r="279" spans="1:21" x14ac:dyDescent="0.35">
      <c r="A279" s="3" t="s">
        <v>579</v>
      </c>
      <c r="B279" s="3" t="s">
        <v>580</v>
      </c>
      <c r="C279" s="3" t="s">
        <v>12</v>
      </c>
      <c r="D279" s="3" t="s">
        <v>62</v>
      </c>
      <c r="E279" s="6">
        <v>45183</v>
      </c>
      <c r="F279" s="3" t="s">
        <v>19</v>
      </c>
      <c r="G279" s="3">
        <v>9757</v>
      </c>
      <c r="H279" s="3">
        <v>7770</v>
      </c>
      <c r="I279" s="3">
        <v>3.36</v>
      </c>
      <c r="J279" s="3">
        <v>103</v>
      </c>
      <c r="K279" s="15" t="str">
        <f ca="1">IF(F279="Enrolled",TODAY()-E279,"0")</f>
        <v>0</v>
      </c>
      <c r="L279" s="3" t="str">
        <f>IF(I279&gt;=3.5,"Excellent",IF(I279&gt;=3,"Good",IF(I279&gt;=2,"Average","Poor")))</f>
        <v>Good</v>
      </c>
      <c r="M279" s="3" t="str">
        <v>Dr.Sinha</v>
      </c>
      <c r="N279" s="3" t="str">
        <f>IF(H279 &gt; (G279*50%), "Yes", "No")</f>
        <v>Yes</v>
      </c>
      <c r="O279" s="16">
        <f>G279-H279</f>
        <v>1987</v>
      </c>
      <c r="P279" s="16">
        <f>SUMIFS(O279:O279,E279:E279,"Science",F279:F279,"Completed")</f>
        <v>0</v>
      </c>
      <c r="Q279" s="3" t="str">
        <f>IF(MONTH(E279)&gt;=7, YEAR(E279)&amp;"-"&amp;YEAR(E279)+1, YEAR(E279)-1&amp;"-"&amp;YEAR(E279))</f>
        <v>2023-2024</v>
      </c>
      <c r="R279" s="3"/>
      <c r="S279" s="3"/>
      <c r="T279" s="15">
        <f t="shared" ca="1" si="4"/>
        <v>871</v>
      </c>
      <c r="U279" s="3"/>
    </row>
    <row r="280" spans="1:21" x14ac:dyDescent="0.35">
      <c r="A280" s="3" t="s">
        <v>581</v>
      </c>
      <c r="B280" s="3" t="s">
        <v>582</v>
      </c>
      <c r="C280" s="3" t="s">
        <v>25</v>
      </c>
      <c r="D280" s="3" t="s">
        <v>62</v>
      </c>
      <c r="E280" s="6">
        <v>44989</v>
      </c>
      <c r="F280" s="3" t="s">
        <v>19</v>
      </c>
      <c r="G280" s="3">
        <v>5923</v>
      </c>
      <c r="H280" s="3">
        <v>8679</v>
      </c>
      <c r="I280" s="3">
        <v>2.2799999999999998</v>
      </c>
      <c r="J280" s="3">
        <v>65</v>
      </c>
      <c r="K280" s="15" t="str">
        <f ca="1">IF(F280="Enrolled",TODAY()-E280,"0")</f>
        <v>0</v>
      </c>
      <c r="L280" s="3" t="str">
        <f>IF(I280&gt;=3.5,"Excellent",IF(I280&gt;=3,"Good",IF(I280&gt;=2,"Average","Poor")))</f>
        <v>Average</v>
      </c>
      <c r="M280" s="3" t="str">
        <v>Dr.Sinha</v>
      </c>
      <c r="N280" s="3" t="str">
        <f>IF(H280 &gt; (G280*50%), "Yes", "No")</f>
        <v>Yes</v>
      </c>
      <c r="O280" s="16">
        <f>G280-H280</f>
        <v>-2756</v>
      </c>
      <c r="P280" s="16">
        <f>SUMIFS(O280:O280,E280:E280,"Science",F280:F280,"Completed")</f>
        <v>0</v>
      </c>
      <c r="Q280" s="3" t="str">
        <f>IF(MONTH(E280)&gt;=7, YEAR(E280)&amp;"-"&amp;YEAR(E280)+1, YEAR(E280)-1&amp;"-"&amp;YEAR(E280))</f>
        <v>2022-2023</v>
      </c>
      <c r="R280" s="3"/>
      <c r="S280" s="3"/>
      <c r="T280" s="15">
        <f t="shared" ca="1" si="4"/>
        <v>1065</v>
      </c>
      <c r="U280" s="3"/>
    </row>
    <row r="281" spans="1:21" x14ac:dyDescent="0.35">
      <c r="A281" s="3" t="s">
        <v>583</v>
      </c>
      <c r="B281" s="3" t="s">
        <v>584</v>
      </c>
      <c r="C281" s="3" t="s">
        <v>54</v>
      </c>
      <c r="D281" s="3" t="s">
        <v>31</v>
      </c>
      <c r="E281" s="6">
        <v>45210</v>
      </c>
      <c r="F281" s="3" t="s">
        <v>19</v>
      </c>
      <c r="G281" s="3">
        <v>11940</v>
      </c>
      <c r="H281" s="3">
        <v>9530</v>
      </c>
      <c r="I281" s="3">
        <v>2.02</v>
      </c>
      <c r="J281" s="3">
        <v>30</v>
      </c>
      <c r="K281" s="15" t="str">
        <f ca="1">IF(F281="Enrolled",TODAY()-E281,"0")</f>
        <v>0</v>
      </c>
      <c r="L281" s="3" t="str">
        <f>IF(I281&gt;=3.5,"Excellent",IF(I281&gt;=3,"Good",IF(I281&gt;=2,"Average","Poor")))</f>
        <v>Average</v>
      </c>
      <c r="M281" s="3" t="str">
        <v>Dr.Sharma</v>
      </c>
      <c r="N281" s="3" t="str">
        <f>IF(H281 &gt; (G281*50%), "Yes", "No")</f>
        <v>Yes</v>
      </c>
      <c r="O281" s="16">
        <f>G281-H281</f>
        <v>2410</v>
      </c>
      <c r="P281" s="16">
        <f>SUMIFS(O281:O281,E281:E281,"Science",F281:F281,"Completed")</f>
        <v>0</v>
      </c>
      <c r="Q281" s="3" t="str">
        <f>IF(MONTH(E281)&gt;=7, YEAR(E281)&amp;"-"&amp;YEAR(E281)+1, YEAR(E281)-1&amp;"-"&amp;YEAR(E281))</f>
        <v>2023-2024</v>
      </c>
      <c r="R281" s="3"/>
      <c r="S281" s="3"/>
      <c r="T281" s="15">
        <f t="shared" ca="1" si="4"/>
        <v>844</v>
      </c>
      <c r="U281" s="3"/>
    </row>
    <row r="282" spans="1:21" x14ac:dyDescent="0.35">
      <c r="A282" s="3" t="s">
        <v>585</v>
      </c>
      <c r="B282" s="3" t="s">
        <v>586</v>
      </c>
      <c r="C282" s="3" t="s">
        <v>36</v>
      </c>
      <c r="D282" s="3" t="s">
        <v>13</v>
      </c>
      <c r="E282" s="6">
        <v>45155</v>
      </c>
      <c r="F282" s="3" t="s">
        <v>19</v>
      </c>
      <c r="G282" s="3">
        <v>12216</v>
      </c>
      <c r="H282" s="3">
        <v>8265</v>
      </c>
      <c r="I282" s="3">
        <v>3.42</v>
      </c>
      <c r="J282" s="3">
        <v>5</v>
      </c>
      <c r="K282" s="15" t="str">
        <f ca="1">IF(F282="Enrolled",TODAY()-E282,"0")</f>
        <v>0</v>
      </c>
      <c r="L282" s="3" t="str">
        <f>IF(I282&gt;=3.5,"Excellent",IF(I282&gt;=3,"Good",IF(I282&gt;=2,"Average","Poor")))</f>
        <v>Good</v>
      </c>
      <c r="M282" s="3" t="str">
        <v>Dr.Mehta</v>
      </c>
      <c r="N282" s="3" t="str">
        <f>IF(H282 &gt; (G282*50%), "Yes", "No")</f>
        <v>Yes</v>
      </c>
      <c r="O282" s="16">
        <f>G282-H282</f>
        <v>3951</v>
      </c>
      <c r="P282" s="16">
        <f>SUMIFS(O282:O282,E282:E282,"Science",F282:F282,"Completed")</f>
        <v>0</v>
      </c>
      <c r="Q282" s="3" t="str">
        <f>IF(MONTH(E282)&gt;=7, YEAR(E282)&amp;"-"&amp;YEAR(E282)+1, YEAR(E282)-1&amp;"-"&amp;YEAR(E282))</f>
        <v>2023-2024</v>
      </c>
      <c r="R282" s="3"/>
      <c r="S282" s="3"/>
      <c r="T282" s="15">
        <f t="shared" ca="1" si="4"/>
        <v>899</v>
      </c>
      <c r="U282" s="3"/>
    </row>
    <row r="283" spans="1:21" x14ac:dyDescent="0.35">
      <c r="A283" s="3" t="s">
        <v>587</v>
      </c>
      <c r="B283" s="3" t="s">
        <v>588</v>
      </c>
      <c r="C283" s="3" t="s">
        <v>54</v>
      </c>
      <c r="D283" s="3" t="s">
        <v>31</v>
      </c>
      <c r="E283" s="6">
        <v>44910</v>
      </c>
      <c r="F283" s="3" t="s">
        <v>14</v>
      </c>
      <c r="G283" s="3">
        <v>8332</v>
      </c>
      <c r="H283" s="3">
        <v>4580</v>
      </c>
      <c r="I283" s="3">
        <v>2.6</v>
      </c>
      <c r="J283" s="3">
        <v>53</v>
      </c>
      <c r="K283" s="15">
        <f ca="1">IF(F283="Enrolled",TODAY()-E283,"0")</f>
        <v>1144</v>
      </c>
      <c r="L283" s="3" t="str">
        <f>IF(I283&gt;=3.5,"Excellent",IF(I283&gt;=3,"Good",IF(I283&gt;=2,"Average","Poor")))</f>
        <v>Average</v>
      </c>
      <c r="M283" s="3" t="str">
        <v>Dr.Sharma</v>
      </c>
      <c r="N283" s="3" t="str">
        <f>IF(H283 &gt; (G283*50%), "Yes", "No")</f>
        <v>Yes</v>
      </c>
      <c r="O283" s="16">
        <f>G283-H283</f>
        <v>3752</v>
      </c>
      <c r="P283" s="16">
        <f>SUMIFS(O283:O283,E283:E283,"Science",F283:F283,"Completed")</f>
        <v>0</v>
      </c>
      <c r="Q283" s="3" t="str">
        <f>IF(MONTH(E283)&gt;=7, YEAR(E283)&amp;"-"&amp;YEAR(E283)+1, YEAR(E283)-1&amp;"-"&amp;YEAR(E283))</f>
        <v>2022-2023</v>
      </c>
      <c r="R283" s="3"/>
      <c r="S283" s="3"/>
      <c r="T283" s="15" t="str">
        <f t="shared" ca="1" si="4"/>
        <v>0</v>
      </c>
      <c r="U283" s="3"/>
    </row>
    <row r="284" spans="1:21" x14ac:dyDescent="0.35">
      <c r="A284" s="3" t="s">
        <v>589</v>
      </c>
      <c r="B284" s="3" t="s">
        <v>590</v>
      </c>
      <c r="C284" s="3" t="s">
        <v>54</v>
      </c>
      <c r="D284" s="3" t="s">
        <v>31</v>
      </c>
      <c r="E284" s="6">
        <v>44869</v>
      </c>
      <c r="F284" s="3" t="s">
        <v>14</v>
      </c>
      <c r="G284" s="3">
        <v>8893</v>
      </c>
      <c r="H284" s="3">
        <v>6924</v>
      </c>
      <c r="I284" s="3">
        <v>3.7</v>
      </c>
      <c r="J284" s="3">
        <v>51</v>
      </c>
      <c r="K284" s="15">
        <f ca="1">IF(F284="Enrolled",TODAY()-E284,"0")</f>
        <v>1185</v>
      </c>
      <c r="L284" s="3" t="str">
        <f>IF(I284&gt;=3.5,"Excellent",IF(I284&gt;=3,"Good",IF(I284&gt;=2,"Average","Poor")))</f>
        <v>Excellent</v>
      </c>
      <c r="M284" s="3" t="str">
        <v>Dr.Sharma</v>
      </c>
      <c r="N284" s="3" t="str">
        <f>IF(H284 &gt; (G284*50%), "Yes", "No")</f>
        <v>Yes</v>
      </c>
      <c r="O284" s="16">
        <f>G284-H284</f>
        <v>1969</v>
      </c>
      <c r="P284" s="16">
        <f>SUMIFS(O284:O284,E284:E284,"Science",F284:F284,"Completed")</f>
        <v>0</v>
      </c>
      <c r="Q284" s="3" t="str">
        <f>IF(MONTH(E284)&gt;=7, YEAR(E284)&amp;"-"&amp;YEAR(E284)+1, YEAR(E284)-1&amp;"-"&amp;YEAR(E284))</f>
        <v>2022-2023</v>
      </c>
      <c r="R284" s="3"/>
      <c r="S284" s="3"/>
      <c r="T284" s="15" t="str">
        <f t="shared" ca="1" si="4"/>
        <v>0</v>
      </c>
      <c r="U284" s="3"/>
    </row>
    <row r="285" spans="1:21" x14ac:dyDescent="0.35">
      <c r="A285" s="3" t="s">
        <v>591</v>
      </c>
      <c r="B285" s="3" t="s">
        <v>592</v>
      </c>
      <c r="C285" s="3" t="s">
        <v>28</v>
      </c>
      <c r="D285" s="3" t="s">
        <v>31</v>
      </c>
      <c r="E285" s="6">
        <v>44725</v>
      </c>
      <c r="F285" s="3" t="s">
        <v>39</v>
      </c>
      <c r="G285" s="3">
        <v>9981</v>
      </c>
      <c r="H285" s="3">
        <v>2190</v>
      </c>
      <c r="I285" s="3">
        <v>2.12</v>
      </c>
      <c r="J285" s="3">
        <v>53</v>
      </c>
      <c r="K285" s="15" t="str">
        <f ca="1">IF(F285="Enrolled",TODAY()-E285,"0")</f>
        <v>0</v>
      </c>
      <c r="L285" s="3" t="str">
        <f>IF(I285&gt;=3.5,"Excellent",IF(I285&gt;=3,"Good",IF(I285&gt;=2,"Average","Poor")))</f>
        <v>Average</v>
      </c>
      <c r="M285" s="3" t="str">
        <v>Dr.Sharma</v>
      </c>
      <c r="N285" s="3" t="str">
        <f>IF(H285 &gt; (G285*50%), "Yes", "No")</f>
        <v>No</v>
      </c>
      <c r="O285" s="16">
        <f>G285-H285</f>
        <v>7791</v>
      </c>
      <c r="P285" s="16">
        <f>SUMIFS(O285:O285,E285:E285,"Science",F285:F285,"Completed")</f>
        <v>0</v>
      </c>
      <c r="Q285" s="3" t="str">
        <f>IF(MONTH(E285)&gt;=7, YEAR(E285)&amp;"-"&amp;YEAR(E285)+1, YEAR(E285)-1&amp;"-"&amp;YEAR(E285))</f>
        <v>2021-2022</v>
      </c>
      <c r="R285" s="3"/>
      <c r="S285" s="3"/>
      <c r="T285" s="15" t="str">
        <f t="shared" ca="1" si="4"/>
        <v>0</v>
      </c>
      <c r="U285" s="3"/>
    </row>
    <row r="286" spans="1:21" x14ac:dyDescent="0.35">
      <c r="A286" s="3" t="s">
        <v>593</v>
      </c>
      <c r="B286" s="3" t="s">
        <v>594</v>
      </c>
      <c r="C286" s="3" t="s">
        <v>22</v>
      </c>
      <c r="D286" s="3" t="s">
        <v>31</v>
      </c>
      <c r="E286" s="6">
        <v>45254</v>
      </c>
      <c r="F286" s="3" t="s">
        <v>19</v>
      </c>
      <c r="G286" s="3">
        <v>9881</v>
      </c>
      <c r="H286" s="3">
        <v>561</v>
      </c>
      <c r="I286" s="3">
        <v>2.93</v>
      </c>
      <c r="J286" s="3">
        <v>90</v>
      </c>
      <c r="K286" s="15" t="str">
        <f ca="1">IF(F286="Enrolled",TODAY()-E286,"0")</f>
        <v>0</v>
      </c>
      <c r="L286" s="3" t="str">
        <f>IF(I286&gt;=3.5,"Excellent",IF(I286&gt;=3,"Good",IF(I286&gt;=2,"Average","Poor")))</f>
        <v>Average</v>
      </c>
      <c r="M286" s="3" t="str">
        <v>Dr.Sharma</v>
      </c>
      <c r="N286" s="3" t="str">
        <f>IF(H286 &gt; (G286*50%), "Yes", "No")</f>
        <v>No</v>
      </c>
      <c r="O286" s="16">
        <f>G286-H286</f>
        <v>9320</v>
      </c>
      <c r="P286" s="16">
        <f>SUMIFS(O286:O286,E286:E286,"Science",F286:F286,"Completed")</f>
        <v>0</v>
      </c>
      <c r="Q286" s="3" t="str">
        <f>IF(MONTH(E286)&gt;=7, YEAR(E286)&amp;"-"&amp;YEAR(E286)+1, YEAR(E286)-1&amp;"-"&amp;YEAR(E286))</f>
        <v>2023-2024</v>
      </c>
      <c r="R286" s="3"/>
      <c r="S286" s="3"/>
      <c r="T286" s="15">
        <f t="shared" ca="1" si="4"/>
        <v>800</v>
      </c>
      <c r="U286" s="3"/>
    </row>
    <row r="287" spans="1:21" x14ac:dyDescent="0.35">
      <c r="A287" s="3" t="s">
        <v>595</v>
      </c>
      <c r="B287" s="3" t="s">
        <v>596</v>
      </c>
      <c r="C287" s="3" t="s">
        <v>12</v>
      </c>
      <c r="D287" s="3" t="s">
        <v>13</v>
      </c>
      <c r="E287" s="6">
        <v>45178</v>
      </c>
      <c r="F287" s="3" t="s">
        <v>14</v>
      </c>
      <c r="G287" s="3">
        <v>2709</v>
      </c>
      <c r="H287" s="3">
        <v>4201</v>
      </c>
      <c r="I287" s="3">
        <v>2.2599999999999998</v>
      </c>
      <c r="J287" s="3">
        <v>50</v>
      </c>
      <c r="K287" s="15">
        <f ca="1">IF(F287="Enrolled",TODAY()-E287,"0")</f>
        <v>876</v>
      </c>
      <c r="L287" s="3" t="str">
        <f>IF(I287&gt;=3.5,"Excellent",IF(I287&gt;=3,"Good",IF(I287&gt;=2,"Average","Poor")))</f>
        <v>Average</v>
      </c>
      <c r="M287" s="3" t="str">
        <v>Dr.Mehta</v>
      </c>
      <c r="N287" s="3" t="str">
        <f>IF(H287 &gt; (G287*50%), "Yes", "No")</f>
        <v>Yes</v>
      </c>
      <c r="O287" s="16">
        <f>G287-H287</f>
        <v>-1492</v>
      </c>
      <c r="P287" s="16">
        <f>SUMIFS(O287:O287,E287:E287,"Science",F287:F287,"Completed")</f>
        <v>0</v>
      </c>
      <c r="Q287" s="3" t="str">
        <f>IF(MONTH(E287)&gt;=7, YEAR(E287)&amp;"-"&amp;YEAR(E287)+1, YEAR(E287)-1&amp;"-"&amp;YEAR(E287))</f>
        <v>2023-2024</v>
      </c>
      <c r="R287" s="3"/>
      <c r="S287" s="3"/>
      <c r="T287" s="15" t="str">
        <f t="shared" ca="1" si="4"/>
        <v>0</v>
      </c>
      <c r="U287" s="3"/>
    </row>
    <row r="288" spans="1:21" x14ac:dyDescent="0.35">
      <c r="A288" s="3" t="s">
        <v>597</v>
      </c>
      <c r="B288" s="3" t="s">
        <v>598</v>
      </c>
      <c r="C288" s="3" t="s">
        <v>17</v>
      </c>
      <c r="D288" s="3" t="s">
        <v>31</v>
      </c>
      <c r="E288" s="6">
        <v>44580</v>
      </c>
      <c r="F288" s="3" t="s">
        <v>14</v>
      </c>
      <c r="G288" s="3">
        <v>11935</v>
      </c>
      <c r="H288" s="3">
        <v>4832</v>
      </c>
      <c r="I288" s="3">
        <v>2.36</v>
      </c>
      <c r="J288" s="3">
        <v>31</v>
      </c>
      <c r="K288" s="15">
        <f ca="1">IF(F288="Enrolled",TODAY()-E288,"0")</f>
        <v>1474</v>
      </c>
      <c r="L288" s="3" t="str">
        <f>IF(I288&gt;=3.5,"Excellent",IF(I288&gt;=3,"Good",IF(I288&gt;=2,"Average","Poor")))</f>
        <v>Average</v>
      </c>
      <c r="M288" s="3" t="str">
        <v>Dr.Sharma</v>
      </c>
      <c r="N288" s="3" t="str">
        <f>IF(H288 &gt; (G288*50%), "Yes", "No")</f>
        <v>No</v>
      </c>
      <c r="O288" s="16">
        <f>G288-H288</f>
        <v>7103</v>
      </c>
      <c r="P288" s="16">
        <f>SUMIFS(O288:O288,E288:E288,"Science",F288:F288,"Completed")</f>
        <v>0</v>
      </c>
      <c r="Q288" s="3" t="str">
        <f>IF(MONTH(E288)&gt;=7, YEAR(E288)&amp;"-"&amp;YEAR(E288)+1, YEAR(E288)-1&amp;"-"&amp;YEAR(E288))</f>
        <v>2021-2022</v>
      </c>
      <c r="R288" s="3"/>
      <c r="S288" s="3"/>
      <c r="T288" s="15" t="str">
        <f t="shared" ca="1" si="4"/>
        <v>0</v>
      </c>
      <c r="U288" s="3"/>
    </row>
    <row r="289" spans="1:21" x14ac:dyDescent="0.35">
      <c r="A289" s="3" t="s">
        <v>599</v>
      </c>
      <c r="B289" s="3" t="s">
        <v>600</v>
      </c>
      <c r="C289" s="3" t="s">
        <v>25</v>
      </c>
      <c r="D289" s="3" t="s">
        <v>31</v>
      </c>
      <c r="E289" s="6">
        <v>45452</v>
      </c>
      <c r="F289" s="3" t="s">
        <v>14</v>
      </c>
      <c r="G289" s="3">
        <v>11303</v>
      </c>
      <c r="H289" s="3">
        <v>4786</v>
      </c>
      <c r="I289" s="3">
        <v>2.72</v>
      </c>
      <c r="J289" s="3">
        <v>60</v>
      </c>
      <c r="K289" s="15">
        <f ca="1">IF(F289="Enrolled",TODAY()-E289,"0")</f>
        <v>602</v>
      </c>
      <c r="L289" s="3" t="str">
        <f>IF(I289&gt;=3.5,"Excellent",IF(I289&gt;=3,"Good",IF(I289&gt;=2,"Average","Poor")))</f>
        <v>Average</v>
      </c>
      <c r="M289" s="3" t="str">
        <v>Dr.Sharma</v>
      </c>
      <c r="N289" s="3" t="str">
        <f>IF(H289 &gt; (G289*50%), "Yes", "No")</f>
        <v>No</v>
      </c>
      <c r="O289" s="16">
        <f>G289-H289</f>
        <v>6517</v>
      </c>
      <c r="P289" s="16">
        <f>SUMIFS(O289:O289,E289:E289,"Science",F289:F289,"Completed")</f>
        <v>0</v>
      </c>
      <c r="Q289" s="3" t="str">
        <f>IF(MONTH(E289)&gt;=7, YEAR(E289)&amp;"-"&amp;YEAR(E289)+1, YEAR(E289)-1&amp;"-"&amp;YEAR(E289))</f>
        <v>2023-2024</v>
      </c>
      <c r="R289" s="3"/>
      <c r="S289" s="3"/>
      <c r="T289" s="15" t="str">
        <f t="shared" ca="1" si="4"/>
        <v>0</v>
      </c>
      <c r="U289" s="3"/>
    </row>
    <row r="290" spans="1:21" x14ac:dyDescent="0.35">
      <c r="A290" s="3" t="s">
        <v>601</v>
      </c>
      <c r="B290" s="3" t="s">
        <v>602</v>
      </c>
      <c r="C290" s="3" t="s">
        <v>57</v>
      </c>
      <c r="D290" s="3" t="s">
        <v>62</v>
      </c>
      <c r="E290" s="6">
        <v>44872</v>
      </c>
      <c r="F290" s="3" t="s">
        <v>19</v>
      </c>
      <c r="G290" s="3">
        <v>14396</v>
      </c>
      <c r="H290" s="3">
        <v>4065</v>
      </c>
      <c r="I290" s="3">
        <v>2.06</v>
      </c>
      <c r="J290" s="3">
        <v>34</v>
      </c>
      <c r="K290" s="15" t="str">
        <f ca="1">IF(F290="Enrolled",TODAY()-E290,"0")</f>
        <v>0</v>
      </c>
      <c r="L290" s="3" t="str">
        <f>IF(I290&gt;=3.5,"Excellent",IF(I290&gt;=3,"Good",IF(I290&gt;=2,"Average","Poor")))</f>
        <v>Average</v>
      </c>
      <c r="M290" s="3" t="str">
        <v>Dr.Sinha</v>
      </c>
      <c r="N290" s="3" t="str">
        <f>IF(H290 &gt; (G290*50%), "Yes", "No")</f>
        <v>No</v>
      </c>
      <c r="O290" s="16">
        <f>G290-H290</f>
        <v>10331</v>
      </c>
      <c r="P290" s="16">
        <f>SUMIFS(O290:O290,E290:E290,"Science",F290:F290,"Completed")</f>
        <v>0</v>
      </c>
      <c r="Q290" s="3" t="str">
        <f>IF(MONTH(E290)&gt;=7, YEAR(E290)&amp;"-"&amp;YEAR(E290)+1, YEAR(E290)-1&amp;"-"&amp;YEAR(E290))</f>
        <v>2022-2023</v>
      </c>
      <c r="R290" s="3"/>
      <c r="S290" s="3"/>
      <c r="T290" s="15">
        <f t="shared" ca="1" si="4"/>
        <v>1182</v>
      </c>
      <c r="U290" s="3"/>
    </row>
    <row r="291" spans="1:21" x14ac:dyDescent="0.35">
      <c r="A291" s="3" t="s">
        <v>603</v>
      </c>
      <c r="B291" s="3" t="s">
        <v>604</v>
      </c>
      <c r="C291" s="3" t="s">
        <v>36</v>
      </c>
      <c r="D291" s="3" t="s">
        <v>13</v>
      </c>
      <c r="E291" s="6">
        <v>44980</v>
      </c>
      <c r="F291" s="3" t="s">
        <v>19</v>
      </c>
      <c r="G291" s="3">
        <v>7215</v>
      </c>
      <c r="H291" s="3">
        <v>260</v>
      </c>
      <c r="I291" s="3">
        <v>2.98</v>
      </c>
      <c r="J291" s="3">
        <v>47</v>
      </c>
      <c r="K291" s="15" t="str">
        <f ca="1">IF(F291="Enrolled",TODAY()-E291,"0")</f>
        <v>0</v>
      </c>
      <c r="L291" s="3" t="str">
        <f>IF(I291&gt;=3.5,"Excellent",IF(I291&gt;=3,"Good",IF(I291&gt;=2,"Average","Poor")))</f>
        <v>Average</v>
      </c>
      <c r="M291" s="3" t="str">
        <v>Dr.Mehta</v>
      </c>
      <c r="N291" s="3" t="str">
        <f>IF(H291 &gt; (G291*50%), "Yes", "No")</f>
        <v>No</v>
      </c>
      <c r="O291" s="16">
        <f>G291-H291</f>
        <v>6955</v>
      </c>
      <c r="P291" s="16">
        <f>SUMIFS(O291:O291,E291:E291,"Science",F291:F291,"Completed")</f>
        <v>0</v>
      </c>
      <c r="Q291" s="3" t="str">
        <f>IF(MONTH(E291)&gt;=7, YEAR(E291)&amp;"-"&amp;YEAR(E291)+1, YEAR(E291)-1&amp;"-"&amp;YEAR(E291))</f>
        <v>2022-2023</v>
      </c>
      <c r="R291" s="3"/>
      <c r="S291" s="3"/>
      <c r="T291" s="15">
        <f t="shared" ca="1" si="4"/>
        <v>1074</v>
      </c>
      <c r="U291" s="3"/>
    </row>
    <row r="292" spans="1:21" x14ac:dyDescent="0.35">
      <c r="A292" s="3" t="s">
        <v>605</v>
      </c>
      <c r="B292" s="3" t="s">
        <v>606</v>
      </c>
      <c r="C292" s="3" t="s">
        <v>57</v>
      </c>
      <c r="D292" s="3" t="s">
        <v>62</v>
      </c>
      <c r="E292" s="6">
        <v>44698</v>
      </c>
      <c r="F292" s="3" t="s">
        <v>14</v>
      </c>
      <c r="G292" s="3">
        <v>5255</v>
      </c>
      <c r="H292" s="3">
        <v>6902</v>
      </c>
      <c r="I292" s="3">
        <v>3.64</v>
      </c>
      <c r="J292" s="3">
        <v>86</v>
      </c>
      <c r="K292" s="15">
        <f ca="1">IF(F292="Enrolled",TODAY()-E292,"0")</f>
        <v>1356</v>
      </c>
      <c r="L292" s="3" t="str">
        <f>IF(I292&gt;=3.5,"Excellent",IF(I292&gt;=3,"Good",IF(I292&gt;=2,"Average","Poor")))</f>
        <v>Excellent</v>
      </c>
      <c r="M292" s="3" t="str">
        <v>Dr.Sinha</v>
      </c>
      <c r="N292" s="3" t="str">
        <f>IF(H292 &gt; (G292*50%), "Yes", "No")</f>
        <v>Yes</v>
      </c>
      <c r="O292" s="16">
        <f>G292-H292</f>
        <v>-1647</v>
      </c>
      <c r="P292" s="16">
        <f>SUMIFS(O292:O292,E292:E292,"Science",F292:F292,"Completed")</f>
        <v>0</v>
      </c>
      <c r="Q292" s="3" t="str">
        <f>IF(MONTH(E292)&gt;=7, YEAR(E292)&amp;"-"&amp;YEAR(E292)+1, YEAR(E292)-1&amp;"-"&amp;YEAR(E292))</f>
        <v>2021-2022</v>
      </c>
      <c r="R292" s="3"/>
      <c r="S292" s="3"/>
      <c r="T292" s="15" t="str">
        <f t="shared" ca="1" si="4"/>
        <v>0</v>
      </c>
      <c r="U292" s="3"/>
    </row>
    <row r="293" spans="1:21" x14ac:dyDescent="0.35">
      <c r="A293" s="3" t="s">
        <v>607</v>
      </c>
      <c r="B293" s="3" t="s">
        <v>608</v>
      </c>
      <c r="C293" s="3" t="s">
        <v>54</v>
      </c>
      <c r="D293" s="3" t="s">
        <v>13</v>
      </c>
      <c r="E293" s="6">
        <v>45433</v>
      </c>
      <c r="F293" s="3" t="s">
        <v>39</v>
      </c>
      <c r="G293" s="3">
        <v>9805</v>
      </c>
      <c r="H293" s="3">
        <v>1354</v>
      </c>
      <c r="I293" s="3">
        <v>3.9</v>
      </c>
      <c r="J293" s="3">
        <v>83</v>
      </c>
      <c r="K293" s="15" t="str">
        <f ca="1">IF(F293="Enrolled",TODAY()-E293,"0")</f>
        <v>0</v>
      </c>
      <c r="L293" s="3" t="str">
        <f>IF(I293&gt;=3.5,"Excellent",IF(I293&gt;=3,"Good",IF(I293&gt;=2,"Average","Poor")))</f>
        <v>Excellent</v>
      </c>
      <c r="M293" s="3" t="str">
        <v>Dr.Mehta</v>
      </c>
      <c r="N293" s="3" t="str">
        <f>IF(H293 &gt; (G293*50%), "Yes", "No")</f>
        <v>No</v>
      </c>
      <c r="O293" s="16">
        <f>G293-H293</f>
        <v>8451</v>
      </c>
      <c r="P293" s="16">
        <f>SUMIFS(O293:O293,E293:E293,"Science",F293:F293,"Completed")</f>
        <v>0</v>
      </c>
      <c r="Q293" s="3" t="str">
        <f>IF(MONTH(E293)&gt;=7, YEAR(E293)&amp;"-"&amp;YEAR(E293)+1, YEAR(E293)-1&amp;"-"&amp;YEAR(E293))</f>
        <v>2023-2024</v>
      </c>
      <c r="R293" s="3"/>
      <c r="S293" s="3"/>
      <c r="T293" s="15" t="str">
        <f t="shared" ca="1" si="4"/>
        <v>0</v>
      </c>
      <c r="U293" s="3"/>
    </row>
    <row r="294" spans="1:21" x14ac:dyDescent="0.35">
      <c r="A294" s="3" t="s">
        <v>609</v>
      </c>
      <c r="B294" s="3" t="s">
        <v>610</v>
      </c>
      <c r="C294" s="3" t="s">
        <v>25</v>
      </c>
      <c r="D294" s="3" t="s">
        <v>18</v>
      </c>
      <c r="E294" s="6">
        <v>44933</v>
      </c>
      <c r="F294" s="3" t="s">
        <v>19</v>
      </c>
      <c r="G294" s="3">
        <v>4492</v>
      </c>
      <c r="H294" s="3">
        <v>9577</v>
      </c>
      <c r="I294" s="3">
        <v>3.78</v>
      </c>
      <c r="J294" s="3">
        <v>58</v>
      </c>
      <c r="K294" s="15" t="str">
        <f ca="1">IF(F294="Enrolled",TODAY()-E294,"0")</f>
        <v>0</v>
      </c>
      <c r="L294" s="3" t="str">
        <f>IF(I294&gt;=3.5,"Excellent",IF(I294&gt;=3,"Good",IF(I294&gt;=2,"Average","Poor")))</f>
        <v>Excellent</v>
      </c>
      <c r="M294" s="3" t="str">
        <v>Dr.Roy</v>
      </c>
      <c r="N294" s="3" t="str">
        <f>IF(H294 &gt; (G294*50%), "Yes", "No")</f>
        <v>Yes</v>
      </c>
      <c r="O294" s="16">
        <f>G294-H294</f>
        <v>-5085</v>
      </c>
      <c r="P294" s="16">
        <f>SUMIFS(O294:O294,E294:E294,"Science",F294:F294,"Completed")</f>
        <v>0</v>
      </c>
      <c r="Q294" s="3" t="str">
        <f>IF(MONTH(E294)&gt;=7, YEAR(E294)&amp;"-"&amp;YEAR(E294)+1, YEAR(E294)-1&amp;"-"&amp;YEAR(E294))</f>
        <v>2022-2023</v>
      </c>
      <c r="R294" s="3"/>
      <c r="S294" s="3"/>
      <c r="T294" s="15">
        <f t="shared" ca="1" si="4"/>
        <v>1121</v>
      </c>
      <c r="U294" s="3"/>
    </row>
    <row r="295" spans="1:21" x14ac:dyDescent="0.35">
      <c r="A295" s="3" t="s">
        <v>611</v>
      </c>
      <c r="B295" s="3" t="s">
        <v>612</v>
      </c>
      <c r="C295" s="3" t="s">
        <v>36</v>
      </c>
      <c r="D295" s="3" t="s">
        <v>62</v>
      </c>
      <c r="E295" s="6">
        <v>44691</v>
      </c>
      <c r="F295" s="3" t="s">
        <v>14</v>
      </c>
      <c r="G295" s="3">
        <v>14426</v>
      </c>
      <c r="H295" s="3">
        <v>9248</v>
      </c>
      <c r="I295" s="3">
        <v>2.79</v>
      </c>
      <c r="J295" s="3">
        <v>87</v>
      </c>
      <c r="K295" s="15">
        <f ca="1">IF(F295="Enrolled",TODAY()-E295,"0")</f>
        <v>1363</v>
      </c>
      <c r="L295" s="3" t="str">
        <f>IF(I295&gt;=3.5,"Excellent",IF(I295&gt;=3,"Good",IF(I295&gt;=2,"Average","Poor")))</f>
        <v>Average</v>
      </c>
      <c r="M295" s="3" t="str">
        <v>Dr.Sinha</v>
      </c>
      <c r="N295" s="3" t="str">
        <f>IF(H295 &gt; (G295*50%), "Yes", "No")</f>
        <v>Yes</v>
      </c>
      <c r="O295" s="16">
        <f>G295-H295</f>
        <v>5178</v>
      </c>
      <c r="P295" s="16">
        <f>SUMIFS(O295:O295,E295:E295,"Science",F295:F295,"Completed")</f>
        <v>0</v>
      </c>
      <c r="Q295" s="3" t="str">
        <f>IF(MONTH(E295)&gt;=7, YEAR(E295)&amp;"-"&amp;YEAR(E295)+1, YEAR(E295)-1&amp;"-"&amp;YEAR(E295))</f>
        <v>2021-2022</v>
      </c>
      <c r="R295" s="3"/>
      <c r="S295" s="3"/>
      <c r="T295" s="15" t="str">
        <f t="shared" ca="1" si="4"/>
        <v>0</v>
      </c>
      <c r="U295" s="3"/>
    </row>
    <row r="296" spans="1:21" x14ac:dyDescent="0.35">
      <c r="A296" s="3" t="s">
        <v>613</v>
      </c>
      <c r="B296" s="3" t="s">
        <v>614</v>
      </c>
      <c r="C296" s="3" t="s">
        <v>57</v>
      </c>
      <c r="D296" s="3" t="s">
        <v>62</v>
      </c>
      <c r="E296" s="6">
        <v>44914</v>
      </c>
      <c r="F296" s="3" t="s">
        <v>19</v>
      </c>
      <c r="G296" s="3">
        <v>5148</v>
      </c>
      <c r="H296" s="3">
        <v>2434</v>
      </c>
      <c r="I296" s="3">
        <v>3.96</v>
      </c>
      <c r="J296" s="3">
        <v>32</v>
      </c>
      <c r="K296" s="15" t="str">
        <f ca="1">IF(F296="Enrolled",TODAY()-E296,"0")</f>
        <v>0</v>
      </c>
      <c r="L296" s="3" t="str">
        <f>IF(I296&gt;=3.5,"Excellent",IF(I296&gt;=3,"Good",IF(I296&gt;=2,"Average","Poor")))</f>
        <v>Excellent</v>
      </c>
      <c r="M296" s="3" t="str">
        <v>Dr.Sinha</v>
      </c>
      <c r="N296" s="3" t="str">
        <f>IF(H296 &gt; (G296*50%), "Yes", "No")</f>
        <v>No</v>
      </c>
      <c r="O296" s="16">
        <f>G296-H296</f>
        <v>2714</v>
      </c>
      <c r="P296" s="16">
        <f>SUMIFS(O296:O296,E296:E296,"Science",F296:F296,"Completed")</f>
        <v>0</v>
      </c>
      <c r="Q296" s="3" t="str">
        <f>IF(MONTH(E296)&gt;=7, YEAR(E296)&amp;"-"&amp;YEAR(E296)+1, YEAR(E296)-1&amp;"-"&amp;YEAR(E296))</f>
        <v>2022-2023</v>
      </c>
      <c r="R296" s="3"/>
      <c r="S296" s="3"/>
      <c r="T296" s="15">
        <f t="shared" ca="1" si="4"/>
        <v>1140</v>
      </c>
      <c r="U296" s="3"/>
    </row>
    <row r="297" spans="1:21" x14ac:dyDescent="0.35">
      <c r="A297" s="3" t="s">
        <v>615</v>
      </c>
      <c r="B297" s="3" t="s">
        <v>616</v>
      </c>
      <c r="C297" s="3" t="s">
        <v>22</v>
      </c>
      <c r="D297" s="3" t="s">
        <v>18</v>
      </c>
      <c r="E297" s="6">
        <v>45240</v>
      </c>
      <c r="F297" s="3" t="s">
        <v>14</v>
      </c>
      <c r="G297" s="3">
        <v>11170</v>
      </c>
      <c r="H297" s="3">
        <v>7941</v>
      </c>
      <c r="I297" s="3">
        <v>2.06</v>
      </c>
      <c r="J297" s="3">
        <v>112</v>
      </c>
      <c r="K297" s="15">
        <f ca="1">IF(F297="Enrolled",TODAY()-E297,"0")</f>
        <v>814</v>
      </c>
      <c r="L297" s="3" t="str">
        <f>IF(I297&gt;=3.5,"Excellent",IF(I297&gt;=3,"Good",IF(I297&gt;=2,"Average","Poor")))</f>
        <v>Average</v>
      </c>
      <c r="M297" s="3" t="str">
        <v>Dr.Roy</v>
      </c>
      <c r="N297" s="3" t="str">
        <f>IF(H297 &gt; (G297*50%), "Yes", "No")</f>
        <v>Yes</v>
      </c>
      <c r="O297" s="16">
        <f>G297-H297</f>
        <v>3229</v>
      </c>
      <c r="P297" s="16">
        <f>SUMIFS(O297:O297,E297:E297,"Science",F297:F297,"Completed")</f>
        <v>0</v>
      </c>
      <c r="Q297" s="3" t="str">
        <f>IF(MONTH(E297)&gt;=7, YEAR(E297)&amp;"-"&amp;YEAR(E297)+1, YEAR(E297)-1&amp;"-"&amp;YEAR(E297))</f>
        <v>2023-2024</v>
      </c>
      <c r="R297" s="3"/>
      <c r="S297" s="3"/>
      <c r="T297" s="15" t="str">
        <f t="shared" ca="1" si="4"/>
        <v>0</v>
      </c>
      <c r="U297" s="3"/>
    </row>
    <row r="298" spans="1:21" x14ac:dyDescent="0.35">
      <c r="A298" s="3" t="s">
        <v>617</v>
      </c>
      <c r="B298" s="3" t="s">
        <v>618</v>
      </c>
      <c r="C298" s="3" t="s">
        <v>57</v>
      </c>
      <c r="D298" s="3" t="s">
        <v>62</v>
      </c>
      <c r="E298" s="6">
        <v>44765</v>
      </c>
      <c r="F298" s="3" t="s">
        <v>14</v>
      </c>
      <c r="G298" s="3">
        <v>12190</v>
      </c>
      <c r="H298" s="3">
        <v>3721</v>
      </c>
      <c r="I298" s="3">
        <v>3.4</v>
      </c>
      <c r="J298" s="3">
        <v>5</v>
      </c>
      <c r="K298" s="15">
        <f ca="1">IF(F298="Enrolled",TODAY()-E298,"0")</f>
        <v>1289</v>
      </c>
      <c r="L298" s="3" t="str">
        <f>IF(I298&gt;=3.5,"Excellent",IF(I298&gt;=3,"Good",IF(I298&gt;=2,"Average","Poor")))</f>
        <v>Good</v>
      </c>
      <c r="M298" s="3" t="str">
        <v>Dr.Sinha</v>
      </c>
      <c r="N298" s="3" t="str">
        <f>IF(H298 &gt; (G298*50%), "Yes", "No")</f>
        <v>No</v>
      </c>
      <c r="O298" s="16">
        <f>G298-H298</f>
        <v>8469</v>
      </c>
      <c r="P298" s="16">
        <f>SUMIFS(O298:O298,E298:E298,"Science",F298:F298,"Completed")</f>
        <v>0</v>
      </c>
      <c r="Q298" s="3" t="str">
        <f>IF(MONTH(E298)&gt;=7, YEAR(E298)&amp;"-"&amp;YEAR(E298)+1, YEAR(E298)-1&amp;"-"&amp;YEAR(E298))</f>
        <v>2022-2023</v>
      </c>
      <c r="R298" s="3"/>
      <c r="S298" s="3"/>
      <c r="T298" s="15" t="str">
        <f t="shared" ca="1" si="4"/>
        <v>0</v>
      </c>
      <c r="U298" s="3"/>
    </row>
    <row r="299" spans="1:21" x14ac:dyDescent="0.35">
      <c r="A299" s="3" t="s">
        <v>619</v>
      </c>
      <c r="B299" s="3" t="s">
        <v>620</v>
      </c>
      <c r="C299" s="3" t="s">
        <v>28</v>
      </c>
      <c r="D299" s="3" t="s">
        <v>62</v>
      </c>
      <c r="E299" s="6">
        <v>44840</v>
      </c>
      <c r="F299" s="3" t="s">
        <v>19</v>
      </c>
      <c r="G299" s="3">
        <v>11788</v>
      </c>
      <c r="H299" s="3">
        <v>6411</v>
      </c>
      <c r="I299" s="3">
        <v>3.18</v>
      </c>
      <c r="J299" s="3">
        <v>23</v>
      </c>
      <c r="K299" s="15" t="str">
        <f ca="1">IF(F299="Enrolled",TODAY()-E299,"0")</f>
        <v>0</v>
      </c>
      <c r="L299" s="3" t="str">
        <f>IF(I299&gt;=3.5,"Excellent",IF(I299&gt;=3,"Good",IF(I299&gt;=2,"Average","Poor")))</f>
        <v>Good</v>
      </c>
      <c r="M299" s="3" t="str">
        <v>Dr.Sinha</v>
      </c>
      <c r="N299" s="3" t="str">
        <f>IF(H299 &gt; (G299*50%), "Yes", "No")</f>
        <v>Yes</v>
      </c>
      <c r="O299" s="16">
        <f>G299-H299</f>
        <v>5377</v>
      </c>
      <c r="P299" s="16">
        <f>SUMIFS(O299:O299,E299:E299,"Science",F299:F299,"Completed")</f>
        <v>0</v>
      </c>
      <c r="Q299" s="3" t="str">
        <f>IF(MONTH(E299)&gt;=7, YEAR(E299)&amp;"-"&amp;YEAR(E299)+1, YEAR(E299)-1&amp;"-"&amp;YEAR(E299))</f>
        <v>2022-2023</v>
      </c>
      <c r="R299" s="3"/>
      <c r="S299" s="3"/>
      <c r="T299" s="15">
        <f t="shared" ca="1" si="4"/>
        <v>1214</v>
      </c>
      <c r="U299" s="3"/>
    </row>
    <row r="300" spans="1:21" x14ac:dyDescent="0.35">
      <c r="A300" s="3" t="s">
        <v>621</v>
      </c>
      <c r="B300" s="3" t="s">
        <v>622</v>
      </c>
      <c r="C300" s="3" t="s">
        <v>57</v>
      </c>
      <c r="D300" s="3" t="s">
        <v>62</v>
      </c>
      <c r="E300" s="6">
        <v>45340</v>
      </c>
      <c r="F300" s="3" t="s">
        <v>14</v>
      </c>
      <c r="G300" s="3">
        <v>7884</v>
      </c>
      <c r="H300" s="3">
        <v>6454</v>
      </c>
      <c r="I300" s="3">
        <v>2.1</v>
      </c>
      <c r="J300" s="3">
        <v>40</v>
      </c>
      <c r="K300" s="15">
        <f ca="1">IF(F300="Enrolled",TODAY()-E300,"0")</f>
        <v>714</v>
      </c>
      <c r="L300" s="3" t="str">
        <f>IF(I300&gt;=3.5,"Excellent",IF(I300&gt;=3,"Good",IF(I300&gt;=2,"Average","Poor")))</f>
        <v>Average</v>
      </c>
      <c r="M300" s="3" t="str">
        <v>Dr.Sinha</v>
      </c>
      <c r="N300" s="3" t="str">
        <f>IF(H300 &gt; (G300*50%), "Yes", "No")</f>
        <v>Yes</v>
      </c>
      <c r="O300" s="16">
        <f>G300-H300</f>
        <v>1430</v>
      </c>
      <c r="P300" s="16">
        <f>SUMIFS(O300:O300,E300:E300,"Science",F300:F300,"Completed")</f>
        <v>0</v>
      </c>
      <c r="Q300" s="3" t="str">
        <f>IF(MONTH(E300)&gt;=7, YEAR(E300)&amp;"-"&amp;YEAR(E300)+1, YEAR(E300)-1&amp;"-"&amp;YEAR(E300))</f>
        <v>2023-2024</v>
      </c>
      <c r="R300" s="3"/>
      <c r="S300" s="3"/>
      <c r="T300" s="15" t="str">
        <f t="shared" ca="1" si="4"/>
        <v>0</v>
      </c>
      <c r="U300" s="3"/>
    </row>
    <row r="301" spans="1:21" x14ac:dyDescent="0.35">
      <c r="A301" s="3" t="s">
        <v>623</v>
      </c>
      <c r="B301" s="3" t="s">
        <v>624</v>
      </c>
      <c r="C301" s="3" t="s">
        <v>22</v>
      </c>
      <c r="D301" s="3" t="s">
        <v>31</v>
      </c>
      <c r="E301" s="6">
        <v>45011</v>
      </c>
      <c r="F301" s="3" t="s">
        <v>19</v>
      </c>
      <c r="G301" s="3">
        <v>3515</v>
      </c>
      <c r="H301" s="3">
        <v>4798</v>
      </c>
      <c r="I301" s="3">
        <v>2.41</v>
      </c>
      <c r="J301" s="3">
        <v>115</v>
      </c>
      <c r="K301" s="15" t="str">
        <f ca="1">IF(F301="Enrolled",TODAY()-E301,"0")</f>
        <v>0</v>
      </c>
      <c r="L301" s="3" t="str">
        <f>IF(I301&gt;=3.5,"Excellent",IF(I301&gt;=3,"Good",IF(I301&gt;=2,"Average","Poor")))</f>
        <v>Average</v>
      </c>
      <c r="M301" s="3" t="str">
        <v>Dr.Sharma</v>
      </c>
      <c r="N301" s="3" t="str">
        <f>IF(H301 &gt; (G301*50%), "Yes", "No")</f>
        <v>Yes</v>
      </c>
      <c r="O301" s="16">
        <f>G301-H301</f>
        <v>-1283</v>
      </c>
      <c r="P301" s="16">
        <f>SUMIFS(O301:O301,E301:E301,"Science",F301:F301,"Completed")</f>
        <v>0</v>
      </c>
      <c r="Q301" s="3" t="str">
        <f>IF(MONTH(E301)&gt;=7, YEAR(E301)&amp;"-"&amp;YEAR(E301)+1, YEAR(E301)-1&amp;"-"&amp;YEAR(E301))</f>
        <v>2022-2023</v>
      </c>
      <c r="R301" s="3"/>
      <c r="S301" s="3"/>
      <c r="T301" s="15">
        <f t="shared" ca="1" si="4"/>
        <v>1043</v>
      </c>
      <c r="U301" s="3"/>
    </row>
    <row r="302" spans="1:21" x14ac:dyDescent="0.35">
      <c r="A302" s="3" t="s">
        <v>625</v>
      </c>
      <c r="B302" s="3" t="s">
        <v>626</v>
      </c>
      <c r="C302" s="3" t="s">
        <v>57</v>
      </c>
      <c r="D302" s="3" t="s">
        <v>62</v>
      </c>
      <c r="E302" s="6">
        <v>44772</v>
      </c>
      <c r="F302" s="3" t="s">
        <v>19</v>
      </c>
      <c r="G302" s="3">
        <v>11803</v>
      </c>
      <c r="H302" s="3">
        <v>6022</v>
      </c>
      <c r="I302" s="3">
        <v>2.94</v>
      </c>
      <c r="J302" s="3">
        <v>116</v>
      </c>
      <c r="K302" s="15" t="str">
        <f ca="1">IF(F302="Enrolled",TODAY()-E302,"0")</f>
        <v>0</v>
      </c>
      <c r="L302" s="3" t="str">
        <f>IF(I302&gt;=3.5,"Excellent",IF(I302&gt;=3,"Good",IF(I302&gt;=2,"Average","Poor")))</f>
        <v>Average</v>
      </c>
      <c r="M302" s="3" t="str">
        <v>Dr.Sinha</v>
      </c>
      <c r="N302" s="3" t="str">
        <f>IF(H302 &gt; (G302*50%), "Yes", "No")</f>
        <v>Yes</v>
      </c>
      <c r="O302" s="16">
        <f>G302-H302</f>
        <v>5781</v>
      </c>
      <c r="P302" s="16">
        <f>SUMIFS(O302:O302,E302:E302,"Science",F302:F302,"Completed")</f>
        <v>0</v>
      </c>
      <c r="Q302" s="3" t="str">
        <f>IF(MONTH(E302)&gt;=7, YEAR(E302)&amp;"-"&amp;YEAR(E302)+1, YEAR(E302)-1&amp;"-"&amp;YEAR(E302))</f>
        <v>2022-2023</v>
      </c>
      <c r="R302" s="3"/>
      <c r="S302" s="3"/>
      <c r="T302" s="15">
        <f t="shared" ca="1" si="4"/>
        <v>1282</v>
      </c>
      <c r="U302" s="3"/>
    </row>
    <row r="303" spans="1:21" x14ac:dyDescent="0.35">
      <c r="A303" s="3" t="s">
        <v>627</v>
      </c>
      <c r="B303" s="3" t="s">
        <v>628</v>
      </c>
      <c r="C303" s="3" t="s">
        <v>22</v>
      </c>
      <c r="D303" s="3" t="s">
        <v>13</v>
      </c>
      <c r="E303" s="6">
        <v>44691</v>
      </c>
      <c r="F303" s="3" t="s">
        <v>14</v>
      </c>
      <c r="G303" s="3">
        <v>5515</v>
      </c>
      <c r="H303" s="3">
        <v>5467</v>
      </c>
      <c r="I303" s="3">
        <v>3.85</v>
      </c>
      <c r="J303" s="3">
        <v>65</v>
      </c>
      <c r="K303" s="15">
        <f ca="1">IF(F303="Enrolled",TODAY()-E303,"0")</f>
        <v>1363</v>
      </c>
      <c r="L303" s="3" t="str">
        <f>IF(I303&gt;=3.5,"Excellent",IF(I303&gt;=3,"Good",IF(I303&gt;=2,"Average","Poor")))</f>
        <v>Excellent</v>
      </c>
      <c r="M303" s="3" t="str">
        <v>Dr.Mehta</v>
      </c>
      <c r="N303" s="3" t="str">
        <f>IF(H303 &gt; (G303*50%), "Yes", "No")</f>
        <v>Yes</v>
      </c>
      <c r="O303" s="16">
        <f>G303-H303</f>
        <v>48</v>
      </c>
      <c r="P303" s="16">
        <f>SUMIFS(O303:O303,E303:E303,"Science",F303:F303,"Completed")</f>
        <v>0</v>
      </c>
      <c r="Q303" s="3" t="str">
        <f>IF(MONTH(E303)&gt;=7, YEAR(E303)&amp;"-"&amp;YEAR(E303)+1, YEAR(E303)-1&amp;"-"&amp;YEAR(E303))</f>
        <v>2021-2022</v>
      </c>
      <c r="R303" s="3"/>
      <c r="S303" s="3"/>
      <c r="T303" s="15" t="str">
        <f t="shared" ca="1" si="4"/>
        <v>0</v>
      </c>
      <c r="U303" s="3"/>
    </row>
    <row r="304" spans="1:21" x14ac:dyDescent="0.35">
      <c r="A304" s="3" t="s">
        <v>629</v>
      </c>
      <c r="B304" s="3" t="s">
        <v>630</v>
      </c>
      <c r="C304" s="3" t="s">
        <v>25</v>
      </c>
      <c r="D304" s="3" t="s">
        <v>62</v>
      </c>
      <c r="E304" s="6">
        <v>44812</v>
      </c>
      <c r="F304" s="3" t="s">
        <v>14</v>
      </c>
      <c r="G304" s="3">
        <v>12810</v>
      </c>
      <c r="H304" s="3">
        <v>9194</v>
      </c>
      <c r="I304" s="3">
        <v>3.95</v>
      </c>
      <c r="J304" s="3">
        <v>58</v>
      </c>
      <c r="K304" s="15">
        <f ca="1">IF(F304="Enrolled",TODAY()-E304,"0")</f>
        <v>1242</v>
      </c>
      <c r="L304" s="3" t="str">
        <f>IF(I304&gt;=3.5,"Excellent",IF(I304&gt;=3,"Good",IF(I304&gt;=2,"Average","Poor")))</f>
        <v>Excellent</v>
      </c>
      <c r="M304" s="3" t="str">
        <v>Dr.Sinha</v>
      </c>
      <c r="N304" s="3" t="str">
        <f>IF(H304 &gt; (G304*50%), "Yes", "No")</f>
        <v>Yes</v>
      </c>
      <c r="O304" s="16">
        <f>G304-H304</f>
        <v>3616</v>
      </c>
      <c r="P304" s="16">
        <f>SUMIFS(O304:O304,E304:E304,"Science",F304:F304,"Completed")</f>
        <v>0</v>
      </c>
      <c r="Q304" s="3" t="str">
        <f>IF(MONTH(E304)&gt;=7, YEAR(E304)&amp;"-"&amp;YEAR(E304)+1, YEAR(E304)-1&amp;"-"&amp;YEAR(E304))</f>
        <v>2022-2023</v>
      </c>
      <c r="R304" s="3"/>
      <c r="S304" s="3"/>
      <c r="T304" s="15" t="str">
        <f t="shared" ca="1" si="4"/>
        <v>0</v>
      </c>
      <c r="U304" s="3"/>
    </row>
    <row r="305" spans="1:21" x14ac:dyDescent="0.35">
      <c r="A305" s="3" t="s">
        <v>631</v>
      </c>
      <c r="B305" s="3" t="s">
        <v>632</v>
      </c>
      <c r="C305" s="3" t="s">
        <v>25</v>
      </c>
      <c r="D305" s="3" t="s">
        <v>31</v>
      </c>
      <c r="E305" s="6">
        <v>44839</v>
      </c>
      <c r="F305" s="3" t="s">
        <v>14</v>
      </c>
      <c r="G305" s="3">
        <v>4155</v>
      </c>
      <c r="H305" s="3">
        <v>4450</v>
      </c>
      <c r="I305" s="3">
        <v>3.64</v>
      </c>
      <c r="J305" s="3">
        <v>25</v>
      </c>
      <c r="K305" s="15">
        <f ca="1">IF(F305="Enrolled",TODAY()-E305,"0")</f>
        <v>1215</v>
      </c>
      <c r="L305" s="3" t="str">
        <f>IF(I305&gt;=3.5,"Excellent",IF(I305&gt;=3,"Good",IF(I305&gt;=2,"Average","Poor")))</f>
        <v>Excellent</v>
      </c>
      <c r="M305" s="3" t="str">
        <v>Dr.Sharma</v>
      </c>
      <c r="N305" s="3" t="str">
        <f>IF(H305 &gt; (G305*50%), "Yes", "No")</f>
        <v>Yes</v>
      </c>
      <c r="O305" s="16">
        <f>G305-H305</f>
        <v>-295</v>
      </c>
      <c r="P305" s="16">
        <f>SUMIFS(O305:O305,E305:E305,"Science",F305:F305,"Completed")</f>
        <v>0</v>
      </c>
      <c r="Q305" s="3" t="str">
        <f>IF(MONTH(E305)&gt;=7, YEAR(E305)&amp;"-"&amp;YEAR(E305)+1, YEAR(E305)-1&amp;"-"&amp;YEAR(E305))</f>
        <v>2022-2023</v>
      </c>
      <c r="R305" s="3"/>
      <c r="S305" s="3"/>
      <c r="T305" s="15" t="str">
        <f t="shared" ca="1" si="4"/>
        <v>0</v>
      </c>
      <c r="U305" s="3"/>
    </row>
    <row r="306" spans="1:21" x14ac:dyDescent="0.35">
      <c r="A306" s="3" t="s">
        <v>633</v>
      </c>
      <c r="B306" s="3" t="s">
        <v>634</v>
      </c>
      <c r="C306" s="3" t="s">
        <v>17</v>
      </c>
      <c r="D306" s="3" t="s">
        <v>62</v>
      </c>
      <c r="E306" s="6">
        <v>45372</v>
      </c>
      <c r="F306" s="3" t="s">
        <v>14</v>
      </c>
      <c r="G306" s="3">
        <v>7723</v>
      </c>
      <c r="H306" s="3">
        <v>368</v>
      </c>
      <c r="I306" s="3">
        <v>3.09</v>
      </c>
      <c r="J306" s="3">
        <v>23</v>
      </c>
      <c r="K306" s="15">
        <f ca="1">IF(F306="Enrolled",TODAY()-E306,"0")</f>
        <v>682</v>
      </c>
      <c r="L306" s="3" t="str">
        <f>IF(I306&gt;=3.5,"Excellent",IF(I306&gt;=3,"Good",IF(I306&gt;=2,"Average","Poor")))</f>
        <v>Good</v>
      </c>
      <c r="M306" s="3" t="str">
        <v>Dr.Sinha</v>
      </c>
      <c r="N306" s="3" t="str">
        <f>IF(H306 &gt; (G306*50%), "Yes", "No")</f>
        <v>No</v>
      </c>
      <c r="O306" s="16">
        <f>G306-H306</f>
        <v>7355</v>
      </c>
      <c r="P306" s="16">
        <f>SUMIFS(O306:O306,E306:E306,"Science",F306:F306,"Completed")</f>
        <v>0</v>
      </c>
      <c r="Q306" s="3" t="str">
        <f>IF(MONTH(E306)&gt;=7, YEAR(E306)&amp;"-"&amp;YEAR(E306)+1, YEAR(E306)-1&amp;"-"&amp;YEAR(E306))</f>
        <v>2023-2024</v>
      </c>
      <c r="R306" s="3"/>
      <c r="S306" s="3"/>
      <c r="T306" s="15" t="str">
        <f t="shared" ca="1" si="4"/>
        <v>0</v>
      </c>
      <c r="U306" s="3"/>
    </row>
    <row r="307" spans="1:21" x14ac:dyDescent="0.35">
      <c r="A307" s="3" t="s">
        <v>635</v>
      </c>
      <c r="B307" s="3" t="s">
        <v>636</v>
      </c>
      <c r="C307" s="3" t="s">
        <v>36</v>
      </c>
      <c r="D307" s="3" t="s">
        <v>18</v>
      </c>
      <c r="E307" s="6">
        <v>44883</v>
      </c>
      <c r="F307" s="3" t="s">
        <v>19</v>
      </c>
      <c r="G307" s="3">
        <v>6777</v>
      </c>
      <c r="H307" s="3">
        <v>7534</v>
      </c>
      <c r="I307" s="3">
        <v>2.29</v>
      </c>
      <c r="J307" s="3">
        <v>47</v>
      </c>
      <c r="K307" s="15" t="str">
        <f ca="1">IF(F307="Enrolled",TODAY()-E307,"0")</f>
        <v>0</v>
      </c>
      <c r="L307" s="3" t="str">
        <f>IF(I307&gt;=3.5,"Excellent",IF(I307&gt;=3,"Good",IF(I307&gt;=2,"Average","Poor")))</f>
        <v>Average</v>
      </c>
      <c r="M307" s="3" t="str">
        <v>Dr.Roy</v>
      </c>
      <c r="N307" s="3" t="str">
        <f>IF(H307 &gt; (G307*50%), "Yes", "No")</f>
        <v>Yes</v>
      </c>
      <c r="O307" s="16">
        <f>G307-H307</f>
        <v>-757</v>
      </c>
      <c r="P307" s="16">
        <f>SUMIFS(O307:O307,E307:E307,"Science",F307:F307,"Completed")</f>
        <v>0</v>
      </c>
      <c r="Q307" s="3" t="str">
        <f>IF(MONTH(E307)&gt;=7, YEAR(E307)&amp;"-"&amp;YEAR(E307)+1, YEAR(E307)-1&amp;"-"&amp;YEAR(E307))</f>
        <v>2022-2023</v>
      </c>
      <c r="R307" s="3"/>
      <c r="S307" s="3"/>
      <c r="T307" s="15">
        <f t="shared" ca="1" si="4"/>
        <v>1171</v>
      </c>
      <c r="U307" s="3"/>
    </row>
    <row r="308" spans="1:21" x14ac:dyDescent="0.35">
      <c r="A308" s="3" t="s">
        <v>637</v>
      </c>
      <c r="B308" s="3" t="s">
        <v>638</v>
      </c>
      <c r="C308" s="3" t="s">
        <v>12</v>
      </c>
      <c r="D308" s="3" t="s">
        <v>13</v>
      </c>
      <c r="E308" s="6">
        <v>44584</v>
      </c>
      <c r="F308" s="3" t="s">
        <v>19</v>
      </c>
      <c r="G308" s="3">
        <v>8267</v>
      </c>
      <c r="H308" s="3">
        <v>1717</v>
      </c>
      <c r="I308" s="3">
        <v>3.92</v>
      </c>
      <c r="J308" s="3">
        <v>56</v>
      </c>
      <c r="K308" s="15" t="str">
        <f ca="1">IF(F308="Enrolled",TODAY()-E308,"0")</f>
        <v>0</v>
      </c>
      <c r="L308" s="3" t="str">
        <f>IF(I308&gt;=3.5,"Excellent",IF(I308&gt;=3,"Good",IF(I308&gt;=2,"Average","Poor")))</f>
        <v>Excellent</v>
      </c>
      <c r="M308" s="3" t="str">
        <v>Dr.Mehta</v>
      </c>
      <c r="N308" s="3" t="str">
        <f>IF(H308 &gt; (G308*50%), "Yes", "No")</f>
        <v>No</v>
      </c>
      <c r="O308" s="16">
        <f>G308-H308</f>
        <v>6550</v>
      </c>
      <c r="P308" s="16">
        <f>SUMIFS(O308:O308,E308:E308,"Science",F308:F308,"Completed")</f>
        <v>0</v>
      </c>
      <c r="Q308" s="3" t="str">
        <f>IF(MONTH(E308)&gt;=7, YEAR(E308)&amp;"-"&amp;YEAR(E308)+1, YEAR(E308)-1&amp;"-"&amp;YEAR(E308))</f>
        <v>2021-2022</v>
      </c>
      <c r="R308" s="3"/>
      <c r="S308" s="3"/>
      <c r="T308" s="15">
        <f t="shared" ca="1" si="4"/>
        <v>1470</v>
      </c>
      <c r="U308" s="3"/>
    </row>
    <row r="309" spans="1:21" x14ac:dyDescent="0.35">
      <c r="A309" s="3" t="s">
        <v>639</v>
      </c>
      <c r="B309" s="3" t="s">
        <v>640</v>
      </c>
      <c r="C309" s="3" t="s">
        <v>12</v>
      </c>
      <c r="D309" s="3" t="s">
        <v>62</v>
      </c>
      <c r="E309" s="6">
        <v>44940</v>
      </c>
      <c r="F309" s="3" t="s">
        <v>14</v>
      </c>
      <c r="G309" s="3">
        <v>9602</v>
      </c>
      <c r="H309" s="3">
        <v>3213</v>
      </c>
      <c r="I309" s="3">
        <v>3.51</v>
      </c>
      <c r="J309" s="3">
        <v>103</v>
      </c>
      <c r="K309" s="15">
        <f ca="1">IF(F309="Enrolled",TODAY()-E309,"0")</f>
        <v>1114</v>
      </c>
      <c r="L309" s="3" t="str">
        <f>IF(I309&gt;=3.5,"Excellent",IF(I309&gt;=3,"Good",IF(I309&gt;=2,"Average","Poor")))</f>
        <v>Excellent</v>
      </c>
      <c r="M309" s="3" t="str">
        <v>Dr.Sinha</v>
      </c>
      <c r="N309" s="3" t="str">
        <f>IF(H309 &gt; (G309*50%), "Yes", "No")</f>
        <v>No</v>
      </c>
      <c r="O309" s="16">
        <f>G309-H309</f>
        <v>6389</v>
      </c>
      <c r="P309" s="16">
        <f>SUMIFS(O309:O309,E309:E309,"Science",F309:F309,"Completed")</f>
        <v>0</v>
      </c>
      <c r="Q309" s="3" t="str">
        <f>IF(MONTH(E309)&gt;=7, YEAR(E309)&amp;"-"&amp;YEAR(E309)+1, YEAR(E309)-1&amp;"-"&amp;YEAR(E309))</f>
        <v>2022-2023</v>
      </c>
      <c r="R309" s="3"/>
      <c r="S309" s="3"/>
      <c r="T309" s="15" t="str">
        <f t="shared" ca="1" si="4"/>
        <v>0</v>
      </c>
      <c r="U309" s="3"/>
    </row>
    <row r="310" spans="1:21" x14ac:dyDescent="0.35">
      <c r="A310" s="3" t="s">
        <v>641</v>
      </c>
      <c r="B310" s="3" t="s">
        <v>642</v>
      </c>
      <c r="C310" s="3" t="s">
        <v>22</v>
      </c>
      <c r="D310" s="3" t="s">
        <v>31</v>
      </c>
      <c r="E310" s="6">
        <v>45017</v>
      </c>
      <c r="F310" s="3" t="s">
        <v>14</v>
      </c>
      <c r="G310" s="3">
        <v>7771</v>
      </c>
      <c r="H310" s="3">
        <v>7737</v>
      </c>
      <c r="I310" s="3">
        <v>3.5</v>
      </c>
      <c r="J310" s="3">
        <v>44</v>
      </c>
      <c r="K310" s="15">
        <f ca="1">IF(F310="Enrolled",TODAY()-E310,"0")</f>
        <v>1037</v>
      </c>
      <c r="L310" s="3" t="str">
        <f>IF(I310&gt;=3.5,"Excellent",IF(I310&gt;=3,"Good",IF(I310&gt;=2,"Average","Poor")))</f>
        <v>Excellent</v>
      </c>
      <c r="M310" s="3" t="str">
        <v>Dr.Sharma</v>
      </c>
      <c r="N310" s="3" t="str">
        <f>IF(H310 &gt; (G310*50%), "Yes", "No")</f>
        <v>Yes</v>
      </c>
      <c r="O310" s="16">
        <f>G310-H310</f>
        <v>34</v>
      </c>
      <c r="P310" s="16">
        <f>SUMIFS(O310:O310,E310:E310,"Science",F310:F310,"Completed")</f>
        <v>0</v>
      </c>
      <c r="Q310" s="3" t="str">
        <f>IF(MONTH(E310)&gt;=7, YEAR(E310)&amp;"-"&amp;YEAR(E310)+1, YEAR(E310)-1&amp;"-"&amp;YEAR(E310))</f>
        <v>2022-2023</v>
      </c>
      <c r="R310" s="3"/>
      <c r="S310" s="3"/>
      <c r="T310" s="15" t="str">
        <f t="shared" ca="1" si="4"/>
        <v>0</v>
      </c>
      <c r="U310" s="3"/>
    </row>
    <row r="311" spans="1:21" x14ac:dyDescent="0.35">
      <c r="A311" s="3" t="s">
        <v>643</v>
      </c>
      <c r="B311" s="3" t="s">
        <v>644</v>
      </c>
      <c r="C311" s="3" t="s">
        <v>54</v>
      </c>
      <c r="D311" s="3" t="s">
        <v>62</v>
      </c>
      <c r="E311" s="6">
        <v>44728</v>
      </c>
      <c r="F311" s="3" t="s">
        <v>14</v>
      </c>
      <c r="G311" s="3">
        <v>6051</v>
      </c>
      <c r="H311" s="3">
        <v>2238</v>
      </c>
      <c r="I311" s="3">
        <v>2.88</v>
      </c>
      <c r="J311" s="3">
        <v>73</v>
      </c>
      <c r="K311" s="15">
        <f ca="1">IF(F311="Enrolled",TODAY()-E311,"0")</f>
        <v>1326</v>
      </c>
      <c r="L311" s="3" t="str">
        <f>IF(I311&gt;=3.5,"Excellent",IF(I311&gt;=3,"Good",IF(I311&gt;=2,"Average","Poor")))</f>
        <v>Average</v>
      </c>
      <c r="M311" s="3" t="str">
        <v>Dr.Sinha</v>
      </c>
      <c r="N311" s="3" t="str">
        <f>IF(H311 &gt; (G311*50%), "Yes", "No")</f>
        <v>No</v>
      </c>
      <c r="O311" s="16">
        <f>G311-H311</f>
        <v>3813</v>
      </c>
      <c r="P311" s="16">
        <f>SUMIFS(O311:O311,E311:E311,"Science",F311:F311,"Completed")</f>
        <v>0</v>
      </c>
      <c r="Q311" s="3" t="str">
        <f>IF(MONTH(E311)&gt;=7, YEAR(E311)&amp;"-"&amp;YEAR(E311)+1, YEAR(E311)-1&amp;"-"&amp;YEAR(E311))</f>
        <v>2021-2022</v>
      </c>
      <c r="R311" s="3"/>
      <c r="S311" s="3"/>
      <c r="T311" s="15" t="str">
        <f t="shared" ca="1" si="4"/>
        <v>0</v>
      </c>
      <c r="U311" s="3"/>
    </row>
    <row r="312" spans="1:21" x14ac:dyDescent="0.35">
      <c r="A312" s="3" t="s">
        <v>645</v>
      </c>
      <c r="B312" s="3" t="s">
        <v>646</v>
      </c>
      <c r="C312" s="3" t="s">
        <v>22</v>
      </c>
      <c r="D312" s="3" t="s">
        <v>31</v>
      </c>
      <c r="E312" s="6">
        <v>45068</v>
      </c>
      <c r="F312" s="3" t="s">
        <v>19</v>
      </c>
      <c r="G312" s="3">
        <v>10432</v>
      </c>
      <c r="H312" s="3">
        <v>3942</v>
      </c>
      <c r="I312" s="3">
        <v>3.19</v>
      </c>
      <c r="J312" s="3">
        <v>34</v>
      </c>
      <c r="K312" s="15" t="str">
        <f ca="1">IF(F312="Enrolled",TODAY()-E312,"0")</f>
        <v>0</v>
      </c>
      <c r="L312" s="3" t="str">
        <f>IF(I312&gt;=3.5,"Excellent",IF(I312&gt;=3,"Good",IF(I312&gt;=2,"Average","Poor")))</f>
        <v>Good</v>
      </c>
      <c r="M312" s="3" t="str">
        <v>Dr.Sharma</v>
      </c>
      <c r="N312" s="3" t="str">
        <f>IF(H312 &gt; (G312*50%), "Yes", "No")</f>
        <v>No</v>
      </c>
      <c r="O312" s="16">
        <f>G312-H312</f>
        <v>6490</v>
      </c>
      <c r="P312" s="16">
        <f>SUMIFS(O312:O312,E312:E312,"Science",F312:F312,"Completed")</f>
        <v>0</v>
      </c>
      <c r="Q312" s="3" t="str">
        <f>IF(MONTH(E312)&gt;=7, YEAR(E312)&amp;"-"&amp;YEAR(E312)+1, YEAR(E312)-1&amp;"-"&amp;YEAR(E312))</f>
        <v>2022-2023</v>
      </c>
      <c r="R312" s="3"/>
      <c r="S312" s="3"/>
      <c r="T312" s="15">
        <f t="shared" ca="1" si="4"/>
        <v>986</v>
      </c>
      <c r="U312" s="3"/>
    </row>
    <row r="313" spans="1:21" x14ac:dyDescent="0.35">
      <c r="A313" s="3" t="s">
        <v>647</v>
      </c>
      <c r="B313" s="3" t="s">
        <v>648</v>
      </c>
      <c r="C313" s="3" t="s">
        <v>57</v>
      </c>
      <c r="D313" s="3" t="s">
        <v>18</v>
      </c>
      <c r="E313" s="6">
        <v>44656</v>
      </c>
      <c r="F313" s="3" t="s">
        <v>19</v>
      </c>
      <c r="G313" s="3">
        <v>13615</v>
      </c>
      <c r="H313" s="3">
        <v>6143</v>
      </c>
      <c r="I313" s="3">
        <v>2.2999999999999998</v>
      </c>
      <c r="J313" s="3">
        <v>26</v>
      </c>
      <c r="K313" s="15" t="str">
        <f ca="1">IF(F313="Enrolled",TODAY()-E313,"0")</f>
        <v>0</v>
      </c>
      <c r="L313" s="3" t="str">
        <f>IF(I313&gt;=3.5,"Excellent",IF(I313&gt;=3,"Good",IF(I313&gt;=2,"Average","Poor")))</f>
        <v>Average</v>
      </c>
      <c r="M313" s="3" t="str">
        <v>Dr.Roy</v>
      </c>
      <c r="N313" s="3" t="str">
        <f>IF(H313 &gt; (G313*50%), "Yes", "No")</f>
        <v>No</v>
      </c>
      <c r="O313" s="16">
        <f>G313-H313</f>
        <v>7472</v>
      </c>
      <c r="P313" s="16">
        <f>SUMIFS(O313:O313,E313:E313,"Science",F313:F313,"Completed")</f>
        <v>0</v>
      </c>
      <c r="Q313" s="3" t="str">
        <f>IF(MONTH(E313)&gt;=7, YEAR(E313)&amp;"-"&amp;YEAR(E313)+1, YEAR(E313)-1&amp;"-"&amp;YEAR(E313))</f>
        <v>2021-2022</v>
      </c>
      <c r="R313" s="3"/>
      <c r="S313" s="3"/>
      <c r="T313" s="15">
        <f t="shared" ca="1" si="4"/>
        <v>1398</v>
      </c>
      <c r="U313" s="3"/>
    </row>
    <row r="314" spans="1:21" x14ac:dyDescent="0.35">
      <c r="A314" s="3" t="s">
        <v>649</v>
      </c>
      <c r="B314" s="3" t="s">
        <v>650</v>
      </c>
      <c r="C314" s="3" t="s">
        <v>28</v>
      </c>
      <c r="D314" s="3" t="s">
        <v>18</v>
      </c>
      <c r="E314" s="6">
        <v>44579</v>
      </c>
      <c r="F314" s="3" t="s">
        <v>14</v>
      </c>
      <c r="G314" s="3">
        <v>11152</v>
      </c>
      <c r="H314" s="3">
        <v>4980</v>
      </c>
      <c r="I314" s="3">
        <v>2.37</v>
      </c>
      <c r="J314" s="3">
        <v>27</v>
      </c>
      <c r="K314" s="15">
        <f ca="1">IF(F314="Enrolled",TODAY()-E314,"0")</f>
        <v>1475</v>
      </c>
      <c r="L314" s="3" t="str">
        <f>IF(I314&gt;=3.5,"Excellent",IF(I314&gt;=3,"Good",IF(I314&gt;=2,"Average","Poor")))</f>
        <v>Average</v>
      </c>
      <c r="M314" s="3" t="str">
        <v>Dr.Roy</v>
      </c>
      <c r="N314" s="3" t="str">
        <f>IF(H314 &gt; (G314*50%), "Yes", "No")</f>
        <v>No</v>
      </c>
      <c r="O314" s="16">
        <f>G314-H314</f>
        <v>6172</v>
      </c>
      <c r="P314" s="16">
        <f>SUMIFS(O314:O314,E314:E314,"Science",F314:F314,"Completed")</f>
        <v>0</v>
      </c>
      <c r="Q314" s="3" t="str">
        <f>IF(MONTH(E314)&gt;=7, YEAR(E314)&amp;"-"&amp;YEAR(E314)+1, YEAR(E314)-1&amp;"-"&amp;YEAR(E314))</f>
        <v>2021-2022</v>
      </c>
      <c r="R314" s="3"/>
      <c r="S314" s="3"/>
      <c r="T314" s="15" t="str">
        <f t="shared" ca="1" si="4"/>
        <v>0</v>
      </c>
      <c r="U314" s="3"/>
    </row>
    <row r="315" spans="1:21" x14ac:dyDescent="0.35">
      <c r="A315" s="3" t="s">
        <v>651</v>
      </c>
      <c r="B315" s="3" t="s">
        <v>652</v>
      </c>
      <c r="C315" s="3" t="s">
        <v>54</v>
      </c>
      <c r="D315" s="3" t="s">
        <v>31</v>
      </c>
      <c r="E315" s="6">
        <v>45328</v>
      </c>
      <c r="F315" s="3" t="s">
        <v>14</v>
      </c>
      <c r="G315" s="3">
        <v>6901</v>
      </c>
      <c r="H315" s="3">
        <v>9266</v>
      </c>
      <c r="I315" s="3">
        <v>2.88</v>
      </c>
      <c r="J315" s="3">
        <v>83</v>
      </c>
      <c r="K315" s="15">
        <f ca="1">IF(F315="Enrolled",TODAY()-E315,"0")</f>
        <v>726</v>
      </c>
      <c r="L315" s="3" t="str">
        <f>IF(I315&gt;=3.5,"Excellent",IF(I315&gt;=3,"Good",IF(I315&gt;=2,"Average","Poor")))</f>
        <v>Average</v>
      </c>
      <c r="M315" s="3" t="str">
        <v>Dr.Sharma</v>
      </c>
      <c r="N315" s="3" t="str">
        <f>IF(H315 &gt; (G315*50%), "Yes", "No")</f>
        <v>Yes</v>
      </c>
      <c r="O315" s="16">
        <f>G315-H315</f>
        <v>-2365</v>
      </c>
      <c r="P315" s="16">
        <f>SUMIFS(O315:O315,E315:E315,"Science",F315:F315,"Completed")</f>
        <v>0</v>
      </c>
      <c r="Q315" s="3" t="str">
        <f>IF(MONTH(E315)&gt;=7, YEAR(E315)&amp;"-"&amp;YEAR(E315)+1, YEAR(E315)-1&amp;"-"&amp;YEAR(E315))</f>
        <v>2023-2024</v>
      </c>
      <c r="R315" s="3"/>
      <c r="S315" s="3"/>
      <c r="T315" s="15" t="str">
        <f t="shared" ca="1" si="4"/>
        <v>0</v>
      </c>
      <c r="U315" s="3"/>
    </row>
    <row r="316" spans="1:21" x14ac:dyDescent="0.35">
      <c r="A316" s="3" t="s">
        <v>653</v>
      </c>
      <c r="B316" s="3" t="s">
        <v>654</v>
      </c>
      <c r="C316" s="3" t="s">
        <v>12</v>
      </c>
      <c r="D316" s="3" t="s">
        <v>13</v>
      </c>
      <c r="E316" s="6">
        <v>44730</v>
      </c>
      <c r="F316" s="3" t="s">
        <v>14</v>
      </c>
      <c r="G316" s="3">
        <v>8130</v>
      </c>
      <c r="H316" s="3">
        <v>906</v>
      </c>
      <c r="I316" s="3">
        <v>3.34</v>
      </c>
      <c r="J316" s="3">
        <v>13</v>
      </c>
      <c r="K316" s="15">
        <f ca="1">IF(F316="Enrolled",TODAY()-E316,"0")</f>
        <v>1324</v>
      </c>
      <c r="L316" s="3" t="str">
        <f>IF(I316&gt;=3.5,"Excellent",IF(I316&gt;=3,"Good",IF(I316&gt;=2,"Average","Poor")))</f>
        <v>Good</v>
      </c>
      <c r="M316" s="3" t="str">
        <v>Dr.Mehta</v>
      </c>
      <c r="N316" s="3" t="str">
        <f>IF(H316 &gt; (G316*50%), "Yes", "No")</f>
        <v>No</v>
      </c>
      <c r="O316" s="16">
        <f>G316-H316</f>
        <v>7224</v>
      </c>
      <c r="P316" s="16">
        <f>SUMIFS(O316:O316,E316:E316,"Science",F316:F316,"Completed")</f>
        <v>0</v>
      </c>
      <c r="Q316" s="3" t="str">
        <f>IF(MONTH(E316)&gt;=7, YEAR(E316)&amp;"-"&amp;YEAR(E316)+1, YEAR(E316)-1&amp;"-"&amp;YEAR(E316))</f>
        <v>2021-2022</v>
      </c>
      <c r="R316" s="3"/>
      <c r="S316" s="3"/>
      <c r="T316" s="15" t="str">
        <f t="shared" ca="1" si="4"/>
        <v>0</v>
      </c>
      <c r="U316" s="3"/>
    </row>
    <row r="317" spans="1:21" x14ac:dyDescent="0.35">
      <c r="A317" s="3" t="s">
        <v>655</v>
      </c>
      <c r="B317" s="3" t="s">
        <v>656</v>
      </c>
      <c r="C317" s="3" t="s">
        <v>22</v>
      </c>
      <c r="D317" s="3" t="s">
        <v>13</v>
      </c>
      <c r="E317" s="6">
        <v>44934</v>
      </c>
      <c r="F317" s="3" t="s">
        <v>19</v>
      </c>
      <c r="G317" s="3">
        <v>3221</v>
      </c>
      <c r="H317" s="3">
        <v>8857</v>
      </c>
      <c r="I317" s="3">
        <v>3.67</v>
      </c>
      <c r="J317" s="3">
        <v>48</v>
      </c>
      <c r="K317" s="15" t="str">
        <f ca="1">IF(F317="Enrolled",TODAY()-E317,"0")</f>
        <v>0</v>
      </c>
      <c r="L317" s="3" t="str">
        <f>IF(I317&gt;=3.5,"Excellent",IF(I317&gt;=3,"Good",IF(I317&gt;=2,"Average","Poor")))</f>
        <v>Excellent</v>
      </c>
      <c r="M317" s="3" t="str">
        <v>Dr.Mehta</v>
      </c>
      <c r="N317" s="3" t="str">
        <f>IF(H317 &gt; (G317*50%), "Yes", "No")</f>
        <v>Yes</v>
      </c>
      <c r="O317" s="16">
        <f>G317-H317</f>
        <v>-5636</v>
      </c>
      <c r="P317" s="16">
        <f>SUMIFS(O317:O317,E317:E317,"Science",F317:F317,"Completed")</f>
        <v>0</v>
      </c>
      <c r="Q317" s="3" t="str">
        <f>IF(MONTH(E317)&gt;=7, YEAR(E317)&amp;"-"&amp;YEAR(E317)+1, YEAR(E317)-1&amp;"-"&amp;YEAR(E317))</f>
        <v>2022-2023</v>
      </c>
      <c r="R317" s="3"/>
      <c r="S317" s="3"/>
      <c r="T317" s="15">
        <f t="shared" ca="1" si="4"/>
        <v>1120</v>
      </c>
      <c r="U317" s="3"/>
    </row>
    <row r="318" spans="1:21" x14ac:dyDescent="0.35">
      <c r="A318" s="3" t="s">
        <v>657</v>
      </c>
      <c r="B318" s="3" t="s">
        <v>658</v>
      </c>
      <c r="C318" s="3" t="s">
        <v>17</v>
      </c>
      <c r="D318" s="3" t="s">
        <v>62</v>
      </c>
      <c r="E318" s="6">
        <v>44810</v>
      </c>
      <c r="F318" s="3" t="s">
        <v>19</v>
      </c>
      <c r="G318" s="3">
        <v>14917</v>
      </c>
      <c r="H318" s="3">
        <v>1441</v>
      </c>
      <c r="I318" s="3">
        <v>2.77</v>
      </c>
      <c r="J318" s="3">
        <v>23</v>
      </c>
      <c r="K318" s="15" t="str">
        <f ca="1">IF(F318="Enrolled",TODAY()-E318,"0")</f>
        <v>0</v>
      </c>
      <c r="L318" s="3" t="str">
        <f>IF(I318&gt;=3.5,"Excellent",IF(I318&gt;=3,"Good",IF(I318&gt;=2,"Average","Poor")))</f>
        <v>Average</v>
      </c>
      <c r="M318" s="3" t="str">
        <v>Dr.Sinha</v>
      </c>
      <c r="N318" s="3" t="str">
        <f>IF(H318 &gt; (G318*50%), "Yes", "No")</f>
        <v>No</v>
      </c>
      <c r="O318" s="16">
        <f>G318-H318</f>
        <v>13476</v>
      </c>
      <c r="P318" s="16">
        <f>SUMIFS(O318:O318,E318:E318,"Science",F318:F318,"Completed")</f>
        <v>0</v>
      </c>
      <c r="Q318" s="3" t="str">
        <f>IF(MONTH(E318)&gt;=7, YEAR(E318)&amp;"-"&amp;YEAR(E318)+1, YEAR(E318)-1&amp;"-"&amp;YEAR(E318))</f>
        <v>2022-2023</v>
      </c>
      <c r="R318" s="3"/>
      <c r="S318" s="3"/>
      <c r="T318" s="15">
        <f t="shared" ca="1" si="4"/>
        <v>1244</v>
      </c>
      <c r="U318" s="3"/>
    </row>
    <row r="319" spans="1:21" x14ac:dyDescent="0.35">
      <c r="A319" s="3" t="s">
        <v>659</v>
      </c>
      <c r="B319" s="3" t="s">
        <v>660</v>
      </c>
      <c r="C319" s="3" t="s">
        <v>36</v>
      </c>
      <c r="D319" s="3" t="s">
        <v>62</v>
      </c>
      <c r="E319" s="6">
        <v>44893</v>
      </c>
      <c r="F319" s="3" t="s">
        <v>14</v>
      </c>
      <c r="G319" s="3">
        <v>12168</v>
      </c>
      <c r="H319" s="3">
        <v>2071</v>
      </c>
      <c r="I319" s="3">
        <v>2.75</v>
      </c>
      <c r="J319" s="3">
        <v>24</v>
      </c>
      <c r="K319" s="15">
        <f ca="1">IF(F319="Enrolled",TODAY()-E319,"0")</f>
        <v>1161</v>
      </c>
      <c r="L319" s="3" t="str">
        <f>IF(I319&gt;=3.5,"Excellent",IF(I319&gt;=3,"Good",IF(I319&gt;=2,"Average","Poor")))</f>
        <v>Average</v>
      </c>
      <c r="M319" s="3" t="str">
        <v>Dr.Sinha</v>
      </c>
      <c r="N319" s="3" t="str">
        <f>IF(H319 &gt; (G319*50%), "Yes", "No")</f>
        <v>No</v>
      </c>
      <c r="O319" s="16">
        <f>G319-H319</f>
        <v>10097</v>
      </c>
      <c r="P319" s="16">
        <f>SUMIFS(O319:O319,E319:E319,"Science",F319:F319,"Completed")</f>
        <v>0</v>
      </c>
      <c r="Q319" s="3" t="str">
        <f>IF(MONTH(E319)&gt;=7, YEAR(E319)&amp;"-"&amp;YEAR(E319)+1, YEAR(E319)-1&amp;"-"&amp;YEAR(E319))</f>
        <v>2022-2023</v>
      </c>
      <c r="R319" s="3"/>
      <c r="S319" s="3"/>
      <c r="T319" s="15" t="str">
        <f t="shared" ca="1" si="4"/>
        <v>0</v>
      </c>
      <c r="U319" s="3"/>
    </row>
    <row r="320" spans="1:21" x14ac:dyDescent="0.35">
      <c r="A320" s="3" t="s">
        <v>661</v>
      </c>
      <c r="B320" s="3" t="s">
        <v>662</v>
      </c>
      <c r="C320" s="3" t="s">
        <v>54</v>
      </c>
      <c r="D320" s="3" t="s">
        <v>31</v>
      </c>
      <c r="E320" s="6">
        <v>44725</v>
      </c>
      <c r="F320" s="3" t="s">
        <v>19</v>
      </c>
      <c r="G320" s="3">
        <v>10039</v>
      </c>
      <c r="H320" s="3">
        <v>458</v>
      </c>
      <c r="I320" s="3">
        <v>3.26</v>
      </c>
      <c r="J320" s="3">
        <v>63</v>
      </c>
      <c r="K320" s="15" t="str">
        <f ca="1">IF(F320="Enrolled",TODAY()-E320,"0")</f>
        <v>0</v>
      </c>
      <c r="L320" s="3" t="str">
        <f>IF(I320&gt;=3.5,"Excellent",IF(I320&gt;=3,"Good",IF(I320&gt;=2,"Average","Poor")))</f>
        <v>Good</v>
      </c>
      <c r="M320" s="3" t="str">
        <v>Dr.Sharma</v>
      </c>
      <c r="N320" s="3" t="str">
        <f>IF(H320 &gt; (G320*50%), "Yes", "No")</f>
        <v>No</v>
      </c>
      <c r="O320" s="16">
        <f>G320-H320</f>
        <v>9581</v>
      </c>
      <c r="P320" s="16">
        <f>SUMIFS(O320:O320,E320:E320,"Science",F320:F320,"Completed")</f>
        <v>0</v>
      </c>
      <c r="Q320" s="3" t="str">
        <f>IF(MONTH(E320)&gt;=7, YEAR(E320)&amp;"-"&amp;YEAR(E320)+1, YEAR(E320)-1&amp;"-"&amp;YEAR(E320))</f>
        <v>2021-2022</v>
      </c>
      <c r="R320" s="3"/>
      <c r="S320" s="3"/>
      <c r="T320" s="15">
        <f t="shared" ca="1" si="4"/>
        <v>1329</v>
      </c>
      <c r="U320" s="3"/>
    </row>
    <row r="321" spans="1:21" x14ac:dyDescent="0.35">
      <c r="A321" s="3" t="s">
        <v>663</v>
      </c>
      <c r="B321" s="3" t="s">
        <v>664</v>
      </c>
      <c r="C321" s="3" t="s">
        <v>54</v>
      </c>
      <c r="D321" s="3" t="s">
        <v>62</v>
      </c>
      <c r="E321" s="6">
        <v>44601</v>
      </c>
      <c r="F321" s="3" t="s">
        <v>14</v>
      </c>
      <c r="G321" s="3">
        <v>3870</v>
      </c>
      <c r="H321" s="3">
        <v>3731</v>
      </c>
      <c r="I321" s="3">
        <v>2.08</v>
      </c>
      <c r="J321" s="3">
        <v>65</v>
      </c>
      <c r="K321" s="15">
        <f ca="1">IF(F321="Enrolled",TODAY()-E321,"0")</f>
        <v>1453</v>
      </c>
      <c r="L321" s="3" t="str">
        <f>IF(I321&gt;=3.5,"Excellent",IF(I321&gt;=3,"Good",IF(I321&gt;=2,"Average","Poor")))</f>
        <v>Average</v>
      </c>
      <c r="M321" s="3" t="str">
        <v>Dr.Sinha</v>
      </c>
      <c r="N321" s="3" t="str">
        <f>IF(H321 &gt; (G321*50%), "Yes", "No")</f>
        <v>Yes</v>
      </c>
      <c r="O321" s="16">
        <f>G321-H321</f>
        <v>139</v>
      </c>
      <c r="P321" s="16">
        <f>SUMIFS(O321:O321,E321:E321,"Science",F321:F321,"Completed")</f>
        <v>0</v>
      </c>
      <c r="Q321" s="3" t="str">
        <f>IF(MONTH(E321)&gt;=7, YEAR(E321)&amp;"-"&amp;YEAR(E321)+1, YEAR(E321)-1&amp;"-"&amp;YEAR(E321))</f>
        <v>2021-2022</v>
      </c>
      <c r="R321" s="3"/>
      <c r="S321" s="3"/>
      <c r="T321" s="15" t="str">
        <f t="shared" ca="1" si="4"/>
        <v>0</v>
      </c>
      <c r="U321" s="3"/>
    </row>
    <row r="322" spans="1:21" x14ac:dyDescent="0.35">
      <c r="A322" s="3" t="s">
        <v>665</v>
      </c>
      <c r="B322" s="3" t="s">
        <v>666</v>
      </c>
      <c r="C322" s="3" t="s">
        <v>36</v>
      </c>
      <c r="D322" s="3" t="s">
        <v>62</v>
      </c>
      <c r="E322" s="6">
        <v>44877</v>
      </c>
      <c r="F322" s="3" t="s">
        <v>19</v>
      </c>
      <c r="G322" s="3">
        <v>5914</v>
      </c>
      <c r="H322" s="3">
        <v>3962</v>
      </c>
      <c r="I322" s="3">
        <v>2.11</v>
      </c>
      <c r="J322" s="3">
        <v>71</v>
      </c>
      <c r="K322" s="15" t="str">
        <f ca="1">IF(F322="Enrolled",TODAY()-E322,"0")</f>
        <v>0</v>
      </c>
      <c r="L322" s="3" t="str">
        <f>IF(I322&gt;=3.5,"Excellent",IF(I322&gt;=3,"Good",IF(I322&gt;=2,"Average","Poor")))</f>
        <v>Average</v>
      </c>
      <c r="M322" s="3" t="str">
        <v>Dr.Sinha</v>
      </c>
      <c r="N322" s="3" t="str">
        <f>IF(H322 &gt; (G322*50%), "Yes", "No")</f>
        <v>Yes</v>
      </c>
      <c r="O322" s="16">
        <f>G322-H322</f>
        <v>1952</v>
      </c>
      <c r="P322" s="16">
        <f>SUMIFS(O322:O322,E322:E322,"Science",F322:F322,"Completed")</f>
        <v>0</v>
      </c>
      <c r="Q322" s="3" t="str">
        <f>IF(MONTH(E322)&gt;=7, YEAR(E322)&amp;"-"&amp;YEAR(E322)+1, YEAR(E322)-1&amp;"-"&amp;YEAR(E322))</f>
        <v>2022-2023</v>
      </c>
      <c r="R322" s="3"/>
      <c r="S322" s="3"/>
      <c r="T322" s="15">
        <f t="shared" ca="1" si="4"/>
        <v>1177</v>
      </c>
      <c r="U322" s="3"/>
    </row>
    <row r="323" spans="1:21" x14ac:dyDescent="0.35">
      <c r="A323" s="3" t="s">
        <v>667</v>
      </c>
      <c r="B323" s="3" t="s">
        <v>668</v>
      </c>
      <c r="C323" s="3" t="s">
        <v>17</v>
      </c>
      <c r="D323" s="3" t="s">
        <v>62</v>
      </c>
      <c r="E323" s="6">
        <v>45444</v>
      </c>
      <c r="F323" s="3" t="s">
        <v>14</v>
      </c>
      <c r="G323" s="3">
        <v>2084</v>
      </c>
      <c r="H323" s="3">
        <v>5468</v>
      </c>
      <c r="I323" s="3">
        <v>2.79</v>
      </c>
      <c r="J323" s="3">
        <v>46</v>
      </c>
      <c r="K323" s="15">
        <f ca="1">IF(F323="Enrolled",TODAY()-E323,"0")</f>
        <v>610</v>
      </c>
      <c r="L323" s="3" t="str">
        <f>IF(I323&gt;=3.5,"Excellent",IF(I323&gt;=3,"Good",IF(I323&gt;=2,"Average","Poor")))</f>
        <v>Average</v>
      </c>
      <c r="M323" s="3" t="str">
        <v>Dr.Sinha</v>
      </c>
      <c r="N323" s="3" t="str">
        <f>IF(H323 &gt; (G323*50%), "Yes", "No")</f>
        <v>Yes</v>
      </c>
      <c r="O323" s="16">
        <f>G323-H323</f>
        <v>-3384</v>
      </c>
      <c r="P323" s="16">
        <f>SUMIFS(O323:O323,E323:E323,"Science",F323:F323,"Completed")</f>
        <v>0</v>
      </c>
      <c r="Q323" s="3" t="str">
        <f>IF(MONTH(E323)&gt;=7, YEAR(E323)&amp;"-"&amp;YEAR(E323)+1, YEAR(E323)-1&amp;"-"&amp;YEAR(E323))</f>
        <v>2023-2024</v>
      </c>
      <c r="R323" s="3"/>
      <c r="S323" s="3"/>
      <c r="T323" s="15" t="str">
        <f t="shared" ref="T323:T386" ca="1" si="5">IF(F323="Completed",TODAY()-E323,"0")</f>
        <v>0</v>
      </c>
      <c r="U323" s="3"/>
    </row>
    <row r="324" spans="1:21" x14ac:dyDescent="0.35">
      <c r="A324" s="3" t="s">
        <v>669</v>
      </c>
      <c r="B324" s="3" t="s">
        <v>670</v>
      </c>
      <c r="C324" s="3" t="s">
        <v>12</v>
      </c>
      <c r="D324" s="3" t="s">
        <v>62</v>
      </c>
      <c r="E324" s="6">
        <v>44616</v>
      </c>
      <c r="F324" s="3" t="s">
        <v>14</v>
      </c>
      <c r="G324" s="3">
        <v>9739</v>
      </c>
      <c r="H324" s="3">
        <v>3558</v>
      </c>
      <c r="I324" s="3">
        <v>3.14</v>
      </c>
      <c r="J324" s="3">
        <v>50</v>
      </c>
      <c r="K324" s="15">
        <f ca="1">IF(F324="Enrolled",TODAY()-E324,"0")</f>
        <v>1438</v>
      </c>
      <c r="L324" s="3" t="str">
        <f>IF(I324&gt;=3.5,"Excellent",IF(I324&gt;=3,"Good",IF(I324&gt;=2,"Average","Poor")))</f>
        <v>Good</v>
      </c>
      <c r="M324" s="3" t="str">
        <v>Dr.Sinha</v>
      </c>
      <c r="N324" s="3" t="str">
        <f>IF(H324 &gt; (G324*50%), "Yes", "No")</f>
        <v>No</v>
      </c>
      <c r="O324" s="16">
        <f>G324-H324</f>
        <v>6181</v>
      </c>
      <c r="P324" s="16">
        <f>SUMIFS(O324:O324,E324:E324,"Science",F324:F324,"Completed")</f>
        <v>0</v>
      </c>
      <c r="Q324" s="3" t="str">
        <f>IF(MONTH(E324)&gt;=7, YEAR(E324)&amp;"-"&amp;YEAR(E324)+1, YEAR(E324)-1&amp;"-"&amp;YEAR(E324))</f>
        <v>2021-2022</v>
      </c>
      <c r="R324" s="3"/>
      <c r="S324" s="3"/>
      <c r="T324" s="15" t="str">
        <f t="shared" ca="1" si="5"/>
        <v>0</v>
      </c>
      <c r="U324" s="3"/>
    </row>
    <row r="325" spans="1:21" x14ac:dyDescent="0.35">
      <c r="A325" s="3" t="s">
        <v>671</v>
      </c>
      <c r="B325" s="3" t="s">
        <v>672</v>
      </c>
      <c r="C325" s="3" t="s">
        <v>36</v>
      </c>
      <c r="D325" s="3" t="s">
        <v>18</v>
      </c>
      <c r="E325" s="6">
        <v>45261</v>
      </c>
      <c r="F325" s="3" t="s">
        <v>19</v>
      </c>
      <c r="G325" s="3">
        <v>5005</v>
      </c>
      <c r="H325" s="3">
        <v>5309</v>
      </c>
      <c r="I325" s="3">
        <v>3.62</v>
      </c>
      <c r="J325" s="3">
        <v>31</v>
      </c>
      <c r="K325" s="15" t="str">
        <f ca="1">IF(F325="Enrolled",TODAY()-E325,"0")</f>
        <v>0</v>
      </c>
      <c r="L325" s="3" t="str">
        <f>IF(I325&gt;=3.5,"Excellent",IF(I325&gt;=3,"Good",IF(I325&gt;=2,"Average","Poor")))</f>
        <v>Excellent</v>
      </c>
      <c r="M325" s="3" t="str">
        <v>Dr.Roy</v>
      </c>
      <c r="N325" s="3" t="str">
        <f>IF(H325 &gt; (G325*50%), "Yes", "No")</f>
        <v>Yes</v>
      </c>
      <c r="O325" s="16">
        <f>G325-H325</f>
        <v>-304</v>
      </c>
      <c r="P325" s="16">
        <f>SUMIFS(O325:O325,E325:E325,"Science",F325:F325,"Completed")</f>
        <v>0</v>
      </c>
      <c r="Q325" s="3" t="str">
        <f>IF(MONTH(E325)&gt;=7, YEAR(E325)&amp;"-"&amp;YEAR(E325)+1, YEAR(E325)-1&amp;"-"&amp;YEAR(E325))</f>
        <v>2023-2024</v>
      </c>
      <c r="R325" s="3"/>
      <c r="S325" s="3"/>
      <c r="T325" s="15">
        <f t="shared" ca="1" si="5"/>
        <v>793</v>
      </c>
      <c r="U325" s="3"/>
    </row>
    <row r="326" spans="1:21" x14ac:dyDescent="0.35">
      <c r="A326" s="3" t="s">
        <v>673</v>
      </c>
      <c r="B326" s="3" t="s">
        <v>674</v>
      </c>
      <c r="C326" s="3" t="s">
        <v>54</v>
      </c>
      <c r="D326" s="3" t="s">
        <v>18</v>
      </c>
      <c r="E326" s="6">
        <v>45297</v>
      </c>
      <c r="F326" s="3" t="s">
        <v>19</v>
      </c>
      <c r="G326" s="3">
        <v>5480</v>
      </c>
      <c r="H326" s="3">
        <v>5300</v>
      </c>
      <c r="I326" s="3">
        <v>3.52</v>
      </c>
      <c r="J326" s="3">
        <v>111</v>
      </c>
      <c r="K326" s="15" t="str">
        <f ca="1">IF(F326="Enrolled",TODAY()-E326,"0")</f>
        <v>0</v>
      </c>
      <c r="L326" s="3" t="str">
        <f>IF(I326&gt;=3.5,"Excellent",IF(I326&gt;=3,"Good",IF(I326&gt;=2,"Average","Poor")))</f>
        <v>Excellent</v>
      </c>
      <c r="M326" s="3" t="str">
        <v>Dr.Roy</v>
      </c>
      <c r="N326" s="3" t="str">
        <f>IF(H326 &gt; (G326*50%), "Yes", "No")</f>
        <v>Yes</v>
      </c>
      <c r="O326" s="16">
        <f>G326-H326</f>
        <v>180</v>
      </c>
      <c r="P326" s="16">
        <f>SUMIFS(O326:O326,E326:E326,"Science",F326:F326,"Completed")</f>
        <v>0</v>
      </c>
      <c r="Q326" s="3" t="str">
        <f>IF(MONTH(E326)&gt;=7, YEAR(E326)&amp;"-"&amp;YEAR(E326)+1, YEAR(E326)-1&amp;"-"&amp;YEAR(E326))</f>
        <v>2023-2024</v>
      </c>
      <c r="R326" s="3"/>
      <c r="S326" s="3"/>
      <c r="T326" s="15">
        <f t="shared" ca="1" si="5"/>
        <v>757</v>
      </c>
      <c r="U326" s="3"/>
    </row>
    <row r="327" spans="1:21" x14ac:dyDescent="0.35">
      <c r="A327" s="3" t="s">
        <v>675</v>
      </c>
      <c r="B327" s="3" t="s">
        <v>676</v>
      </c>
      <c r="C327" s="3" t="s">
        <v>22</v>
      </c>
      <c r="D327" s="3" t="s">
        <v>62</v>
      </c>
      <c r="E327" s="6">
        <v>45378</v>
      </c>
      <c r="F327" s="3" t="s">
        <v>14</v>
      </c>
      <c r="G327" s="3">
        <v>12926</v>
      </c>
      <c r="H327" s="3">
        <v>1253</v>
      </c>
      <c r="I327" s="3">
        <v>3.62</v>
      </c>
      <c r="J327" s="3">
        <v>13</v>
      </c>
      <c r="K327" s="15">
        <f ca="1">IF(F327="Enrolled",TODAY()-E327,"0")</f>
        <v>676</v>
      </c>
      <c r="L327" s="3" t="str">
        <f>IF(I327&gt;=3.5,"Excellent",IF(I327&gt;=3,"Good",IF(I327&gt;=2,"Average","Poor")))</f>
        <v>Excellent</v>
      </c>
      <c r="M327" s="3" t="str">
        <v>Dr.Sinha</v>
      </c>
      <c r="N327" s="3" t="str">
        <f>IF(H327 &gt; (G327*50%), "Yes", "No")</f>
        <v>No</v>
      </c>
      <c r="O327" s="16">
        <f>G327-H327</f>
        <v>11673</v>
      </c>
      <c r="P327" s="16">
        <f>SUMIFS(O327:O327,E327:E327,"Science",F327:F327,"Completed")</f>
        <v>0</v>
      </c>
      <c r="Q327" s="3" t="str">
        <f>IF(MONTH(E327)&gt;=7, YEAR(E327)&amp;"-"&amp;YEAR(E327)+1, YEAR(E327)-1&amp;"-"&amp;YEAR(E327))</f>
        <v>2023-2024</v>
      </c>
      <c r="R327" s="3"/>
      <c r="S327" s="3"/>
      <c r="T327" s="15" t="str">
        <f t="shared" ca="1" si="5"/>
        <v>0</v>
      </c>
      <c r="U327" s="3"/>
    </row>
    <row r="328" spans="1:21" x14ac:dyDescent="0.35">
      <c r="A328" s="3" t="s">
        <v>677</v>
      </c>
      <c r="B328" s="3" t="s">
        <v>678</v>
      </c>
      <c r="C328" s="3" t="s">
        <v>12</v>
      </c>
      <c r="D328" s="3" t="s">
        <v>13</v>
      </c>
      <c r="E328" s="6">
        <v>45430</v>
      </c>
      <c r="F328" s="3" t="s">
        <v>39</v>
      </c>
      <c r="G328" s="3">
        <v>11564</v>
      </c>
      <c r="H328" s="3">
        <v>2120</v>
      </c>
      <c r="I328" s="3">
        <v>2.13</v>
      </c>
      <c r="J328" s="3">
        <v>68</v>
      </c>
      <c r="K328" s="15" t="str">
        <f ca="1">IF(F328="Enrolled",TODAY()-E328,"0")</f>
        <v>0</v>
      </c>
      <c r="L328" s="3" t="str">
        <f>IF(I328&gt;=3.5,"Excellent",IF(I328&gt;=3,"Good",IF(I328&gt;=2,"Average","Poor")))</f>
        <v>Average</v>
      </c>
      <c r="M328" s="3" t="str">
        <v>Dr.Mehta</v>
      </c>
      <c r="N328" s="3" t="str">
        <f>IF(H328 &gt; (G328*50%), "Yes", "No")</f>
        <v>No</v>
      </c>
      <c r="O328" s="16">
        <f>G328-H328</f>
        <v>9444</v>
      </c>
      <c r="P328" s="16">
        <f>SUMIFS(O328:O328,E328:E328,"Science",F328:F328,"Completed")</f>
        <v>0</v>
      </c>
      <c r="Q328" s="3" t="str">
        <f>IF(MONTH(E328)&gt;=7, YEAR(E328)&amp;"-"&amp;YEAR(E328)+1, YEAR(E328)-1&amp;"-"&amp;YEAR(E328))</f>
        <v>2023-2024</v>
      </c>
      <c r="R328" s="3"/>
      <c r="S328" s="3"/>
      <c r="T328" s="15" t="str">
        <f t="shared" ca="1" si="5"/>
        <v>0</v>
      </c>
      <c r="U328" s="3"/>
    </row>
    <row r="329" spans="1:21" x14ac:dyDescent="0.35">
      <c r="A329" s="3" t="s">
        <v>679</v>
      </c>
      <c r="B329" s="3" t="s">
        <v>680</v>
      </c>
      <c r="C329" s="3" t="s">
        <v>54</v>
      </c>
      <c r="D329" s="3" t="s">
        <v>62</v>
      </c>
      <c r="E329" s="6">
        <v>44659</v>
      </c>
      <c r="F329" s="3" t="s">
        <v>14</v>
      </c>
      <c r="G329" s="3">
        <v>8396</v>
      </c>
      <c r="H329" s="3">
        <v>5614</v>
      </c>
      <c r="I329" s="3">
        <v>3.52</v>
      </c>
      <c r="J329" s="3">
        <v>8</v>
      </c>
      <c r="K329" s="15">
        <f ca="1">IF(F329="Enrolled",TODAY()-E329,"0")</f>
        <v>1395</v>
      </c>
      <c r="L329" s="3" t="str">
        <f>IF(I329&gt;=3.5,"Excellent",IF(I329&gt;=3,"Good",IF(I329&gt;=2,"Average","Poor")))</f>
        <v>Excellent</v>
      </c>
      <c r="M329" s="3" t="str">
        <v>Dr.Sinha</v>
      </c>
      <c r="N329" s="3" t="str">
        <f>IF(H329 &gt; (G329*50%), "Yes", "No")</f>
        <v>Yes</v>
      </c>
      <c r="O329" s="16">
        <f>G329-H329</f>
        <v>2782</v>
      </c>
      <c r="P329" s="16">
        <f>SUMIFS(O329:O329,E329:E329,"Science",F329:F329,"Completed")</f>
        <v>0</v>
      </c>
      <c r="Q329" s="3" t="str">
        <f>IF(MONTH(E329)&gt;=7, YEAR(E329)&amp;"-"&amp;YEAR(E329)+1, YEAR(E329)-1&amp;"-"&amp;YEAR(E329))</f>
        <v>2021-2022</v>
      </c>
      <c r="R329" s="3"/>
      <c r="S329" s="3"/>
      <c r="T329" s="15" t="str">
        <f t="shared" ca="1" si="5"/>
        <v>0</v>
      </c>
      <c r="U329" s="3"/>
    </row>
    <row r="330" spans="1:21" x14ac:dyDescent="0.35">
      <c r="A330" s="3" t="s">
        <v>681</v>
      </c>
      <c r="B330" s="3" t="s">
        <v>682</v>
      </c>
      <c r="C330" s="3" t="s">
        <v>54</v>
      </c>
      <c r="D330" s="3" t="s">
        <v>18</v>
      </c>
      <c r="E330" s="6">
        <v>44969</v>
      </c>
      <c r="F330" s="3" t="s">
        <v>14</v>
      </c>
      <c r="G330" s="3">
        <v>10998</v>
      </c>
      <c r="H330" s="3">
        <v>3502</v>
      </c>
      <c r="I330" s="3">
        <v>2.02</v>
      </c>
      <c r="J330" s="3">
        <v>113</v>
      </c>
      <c r="K330" s="15">
        <f ca="1">IF(F330="Enrolled",TODAY()-E330,"0")</f>
        <v>1085</v>
      </c>
      <c r="L330" s="3" t="str">
        <f>IF(I330&gt;=3.5,"Excellent",IF(I330&gt;=3,"Good",IF(I330&gt;=2,"Average","Poor")))</f>
        <v>Average</v>
      </c>
      <c r="M330" s="3" t="str">
        <v>Dr.Roy</v>
      </c>
      <c r="N330" s="3" t="str">
        <f>IF(H330 &gt; (G330*50%), "Yes", "No")</f>
        <v>No</v>
      </c>
      <c r="O330" s="16">
        <f>G330-H330</f>
        <v>7496</v>
      </c>
      <c r="P330" s="16">
        <f>SUMIFS(O330:O330,E330:E330,"Science",F330:F330,"Completed")</f>
        <v>0</v>
      </c>
      <c r="Q330" s="3" t="str">
        <f>IF(MONTH(E330)&gt;=7, YEAR(E330)&amp;"-"&amp;YEAR(E330)+1, YEAR(E330)-1&amp;"-"&amp;YEAR(E330))</f>
        <v>2022-2023</v>
      </c>
      <c r="R330" s="3"/>
      <c r="S330" s="3"/>
      <c r="T330" s="15" t="str">
        <f t="shared" ca="1" si="5"/>
        <v>0</v>
      </c>
      <c r="U330" s="3"/>
    </row>
    <row r="331" spans="1:21" x14ac:dyDescent="0.35">
      <c r="A331" s="3" t="s">
        <v>683</v>
      </c>
      <c r="B331" s="3" t="s">
        <v>684</v>
      </c>
      <c r="C331" s="3" t="s">
        <v>28</v>
      </c>
      <c r="D331" s="3" t="s">
        <v>31</v>
      </c>
      <c r="E331" s="6">
        <v>44578</v>
      </c>
      <c r="F331" s="3" t="s">
        <v>14</v>
      </c>
      <c r="G331" s="3">
        <v>8399</v>
      </c>
      <c r="H331" s="3">
        <v>1597</v>
      </c>
      <c r="I331" s="3">
        <v>2.92</v>
      </c>
      <c r="J331" s="3">
        <v>54</v>
      </c>
      <c r="K331" s="15">
        <f ca="1">IF(F331="Enrolled",TODAY()-E331,"0")</f>
        <v>1476</v>
      </c>
      <c r="L331" s="3" t="str">
        <f>IF(I331&gt;=3.5,"Excellent",IF(I331&gt;=3,"Good",IF(I331&gt;=2,"Average","Poor")))</f>
        <v>Average</v>
      </c>
      <c r="M331" s="3" t="str">
        <v>Dr.Sharma</v>
      </c>
      <c r="N331" s="3" t="str">
        <f>IF(H331 &gt; (G331*50%), "Yes", "No")</f>
        <v>No</v>
      </c>
      <c r="O331" s="16">
        <f>G331-H331</f>
        <v>6802</v>
      </c>
      <c r="P331" s="16">
        <f>SUMIFS(O331:O331,E331:E331,"Science",F331:F331,"Completed")</f>
        <v>0</v>
      </c>
      <c r="Q331" s="3" t="str">
        <f>IF(MONTH(E331)&gt;=7, YEAR(E331)&amp;"-"&amp;YEAR(E331)+1, YEAR(E331)-1&amp;"-"&amp;YEAR(E331))</f>
        <v>2021-2022</v>
      </c>
      <c r="R331" s="3"/>
      <c r="S331" s="3"/>
      <c r="T331" s="15" t="str">
        <f t="shared" ca="1" si="5"/>
        <v>0</v>
      </c>
      <c r="U331" s="3"/>
    </row>
    <row r="332" spans="1:21" x14ac:dyDescent="0.35">
      <c r="A332" s="3" t="s">
        <v>685</v>
      </c>
      <c r="B332" s="3" t="s">
        <v>686</v>
      </c>
      <c r="C332" s="3" t="s">
        <v>57</v>
      </c>
      <c r="D332" s="3" t="s">
        <v>31</v>
      </c>
      <c r="E332" s="6">
        <v>44640</v>
      </c>
      <c r="F332" s="3" t="s">
        <v>14</v>
      </c>
      <c r="G332" s="3">
        <v>14659</v>
      </c>
      <c r="H332" s="3">
        <v>4249</v>
      </c>
      <c r="I332" s="3">
        <v>3.9</v>
      </c>
      <c r="J332" s="3">
        <v>4</v>
      </c>
      <c r="K332" s="15">
        <f ca="1">IF(F332="Enrolled",TODAY()-E332,"0")</f>
        <v>1414</v>
      </c>
      <c r="L332" s="3" t="str">
        <f>IF(I332&gt;=3.5,"Excellent",IF(I332&gt;=3,"Good",IF(I332&gt;=2,"Average","Poor")))</f>
        <v>Excellent</v>
      </c>
      <c r="M332" s="3" t="str">
        <v>Dr.Sharma</v>
      </c>
      <c r="N332" s="3" t="str">
        <f>IF(H332 &gt; (G332*50%), "Yes", "No")</f>
        <v>No</v>
      </c>
      <c r="O332" s="16">
        <f>G332-H332</f>
        <v>10410</v>
      </c>
      <c r="P332" s="16">
        <f>SUMIFS(O332:O332,E332:E332,"Science",F332:F332,"Completed")</f>
        <v>0</v>
      </c>
      <c r="Q332" s="3" t="str">
        <f>IF(MONTH(E332)&gt;=7, YEAR(E332)&amp;"-"&amp;YEAR(E332)+1, YEAR(E332)-1&amp;"-"&amp;YEAR(E332))</f>
        <v>2021-2022</v>
      </c>
      <c r="R332" s="3"/>
      <c r="S332" s="3"/>
      <c r="T332" s="15" t="str">
        <f t="shared" ca="1" si="5"/>
        <v>0</v>
      </c>
      <c r="U332" s="3"/>
    </row>
    <row r="333" spans="1:21" x14ac:dyDescent="0.35">
      <c r="A333" s="3" t="s">
        <v>687</v>
      </c>
      <c r="B333" s="3" t="s">
        <v>688</v>
      </c>
      <c r="C333" s="3" t="s">
        <v>17</v>
      </c>
      <c r="D333" s="3" t="s">
        <v>18</v>
      </c>
      <c r="E333" s="6">
        <v>45132</v>
      </c>
      <c r="F333" s="3" t="s">
        <v>19</v>
      </c>
      <c r="G333" s="3">
        <v>11038</v>
      </c>
      <c r="H333" s="3">
        <v>590</v>
      </c>
      <c r="I333" s="3">
        <v>2.02</v>
      </c>
      <c r="J333" s="3">
        <v>16</v>
      </c>
      <c r="K333" s="15" t="str">
        <f ca="1">IF(F333="Enrolled",TODAY()-E333,"0")</f>
        <v>0</v>
      </c>
      <c r="L333" s="3" t="str">
        <f>IF(I333&gt;=3.5,"Excellent",IF(I333&gt;=3,"Good",IF(I333&gt;=2,"Average","Poor")))</f>
        <v>Average</v>
      </c>
      <c r="M333" s="3" t="str">
        <v>Dr.Roy</v>
      </c>
      <c r="N333" s="3" t="str">
        <f>IF(H333 &gt; (G333*50%), "Yes", "No")</f>
        <v>No</v>
      </c>
      <c r="O333" s="16">
        <f>G333-H333</f>
        <v>10448</v>
      </c>
      <c r="P333" s="16">
        <f>SUMIFS(O333:O333,E333:E333,"Science",F333:F333,"Completed")</f>
        <v>0</v>
      </c>
      <c r="Q333" s="3" t="str">
        <f>IF(MONTH(E333)&gt;=7, YEAR(E333)&amp;"-"&amp;YEAR(E333)+1, YEAR(E333)-1&amp;"-"&amp;YEAR(E333))</f>
        <v>2023-2024</v>
      </c>
      <c r="R333" s="3"/>
      <c r="S333" s="3"/>
      <c r="T333" s="15">
        <f t="shared" ca="1" si="5"/>
        <v>922</v>
      </c>
      <c r="U333" s="3"/>
    </row>
    <row r="334" spans="1:21" x14ac:dyDescent="0.35">
      <c r="A334" s="3" t="s">
        <v>689</v>
      </c>
      <c r="B334" s="3" t="s">
        <v>690</v>
      </c>
      <c r="C334" s="3" t="s">
        <v>12</v>
      </c>
      <c r="D334" s="3" t="s">
        <v>13</v>
      </c>
      <c r="E334" s="6">
        <v>45075</v>
      </c>
      <c r="F334" s="3" t="s">
        <v>19</v>
      </c>
      <c r="G334" s="3">
        <v>3155</v>
      </c>
      <c r="H334" s="3">
        <v>1309</v>
      </c>
      <c r="I334" s="3">
        <v>2.13</v>
      </c>
      <c r="J334" s="3">
        <v>60</v>
      </c>
      <c r="K334" s="15" t="str">
        <f ca="1">IF(F334="Enrolled",TODAY()-E334,"0")</f>
        <v>0</v>
      </c>
      <c r="L334" s="3" t="str">
        <f>IF(I334&gt;=3.5,"Excellent",IF(I334&gt;=3,"Good",IF(I334&gt;=2,"Average","Poor")))</f>
        <v>Average</v>
      </c>
      <c r="M334" s="3" t="str">
        <v>Dr.Mehta</v>
      </c>
      <c r="N334" s="3" t="str">
        <f>IF(H334 &gt; (G334*50%), "Yes", "No")</f>
        <v>No</v>
      </c>
      <c r="O334" s="16">
        <f>G334-H334</f>
        <v>1846</v>
      </c>
      <c r="P334" s="16">
        <f>SUMIFS(O334:O334,E334:E334,"Science",F334:F334,"Completed")</f>
        <v>0</v>
      </c>
      <c r="Q334" s="3" t="str">
        <f>IF(MONTH(E334)&gt;=7, YEAR(E334)&amp;"-"&amp;YEAR(E334)+1, YEAR(E334)-1&amp;"-"&amp;YEAR(E334))</f>
        <v>2022-2023</v>
      </c>
      <c r="R334" s="3"/>
      <c r="S334" s="3"/>
      <c r="T334" s="15">
        <f t="shared" ca="1" si="5"/>
        <v>979</v>
      </c>
      <c r="U334" s="3"/>
    </row>
    <row r="335" spans="1:21" x14ac:dyDescent="0.35">
      <c r="A335" s="3" t="s">
        <v>691</v>
      </c>
      <c r="B335" s="3" t="s">
        <v>692</v>
      </c>
      <c r="C335" s="3" t="s">
        <v>57</v>
      </c>
      <c r="D335" s="3" t="s">
        <v>13</v>
      </c>
      <c r="E335" s="6">
        <v>44975</v>
      </c>
      <c r="F335" s="3" t="s">
        <v>14</v>
      </c>
      <c r="G335" s="3">
        <v>9857</v>
      </c>
      <c r="H335" s="3">
        <v>5580</v>
      </c>
      <c r="I335" s="3">
        <v>2.76</v>
      </c>
      <c r="J335" s="3">
        <v>6</v>
      </c>
      <c r="K335" s="15">
        <f ca="1">IF(F335="Enrolled",TODAY()-E335,"0")</f>
        <v>1079</v>
      </c>
      <c r="L335" s="3" t="str">
        <f>IF(I335&gt;=3.5,"Excellent",IF(I335&gt;=3,"Good",IF(I335&gt;=2,"Average","Poor")))</f>
        <v>Average</v>
      </c>
      <c r="M335" s="3" t="str">
        <v>Dr.Mehta</v>
      </c>
      <c r="N335" s="3" t="str">
        <f>IF(H335 &gt; (G335*50%), "Yes", "No")</f>
        <v>Yes</v>
      </c>
      <c r="O335" s="16">
        <f>G335-H335</f>
        <v>4277</v>
      </c>
      <c r="P335" s="16">
        <f>SUMIFS(O335:O335,E335:E335,"Science",F335:F335,"Completed")</f>
        <v>0</v>
      </c>
      <c r="Q335" s="3" t="str">
        <f>IF(MONTH(E335)&gt;=7, YEAR(E335)&amp;"-"&amp;YEAR(E335)+1, YEAR(E335)-1&amp;"-"&amp;YEAR(E335))</f>
        <v>2022-2023</v>
      </c>
      <c r="R335" s="3"/>
      <c r="S335" s="3"/>
      <c r="T335" s="15" t="str">
        <f t="shared" ca="1" si="5"/>
        <v>0</v>
      </c>
      <c r="U335" s="3"/>
    </row>
    <row r="336" spans="1:21" x14ac:dyDescent="0.35">
      <c r="A336" s="3" t="s">
        <v>693</v>
      </c>
      <c r="B336" s="3" t="s">
        <v>694</v>
      </c>
      <c r="C336" s="3" t="s">
        <v>28</v>
      </c>
      <c r="D336" s="3" t="s">
        <v>62</v>
      </c>
      <c r="E336" s="6">
        <v>44607</v>
      </c>
      <c r="F336" s="3" t="s">
        <v>14</v>
      </c>
      <c r="G336" s="3">
        <v>3419</v>
      </c>
      <c r="H336" s="3">
        <v>7990</v>
      </c>
      <c r="I336" s="3">
        <v>3.98</v>
      </c>
      <c r="J336" s="3">
        <v>57</v>
      </c>
      <c r="K336" s="15">
        <f ca="1">IF(F336="Enrolled",TODAY()-E336,"0")</f>
        <v>1447</v>
      </c>
      <c r="L336" s="3" t="str">
        <f>IF(I336&gt;=3.5,"Excellent",IF(I336&gt;=3,"Good",IF(I336&gt;=2,"Average","Poor")))</f>
        <v>Excellent</v>
      </c>
      <c r="M336" s="3" t="str">
        <v>Dr.Sinha</v>
      </c>
      <c r="N336" s="3" t="str">
        <f>IF(H336 &gt; (G336*50%), "Yes", "No")</f>
        <v>Yes</v>
      </c>
      <c r="O336" s="16">
        <f>G336-H336</f>
        <v>-4571</v>
      </c>
      <c r="P336" s="16">
        <f>SUMIFS(O336:O336,E336:E336,"Science",F336:F336,"Completed")</f>
        <v>0</v>
      </c>
      <c r="Q336" s="3" t="str">
        <f>IF(MONTH(E336)&gt;=7, YEAR(E336)&amp;"-"&amp;YEAR(E336)+1, YEAR(E336)-1&amp;"-"&amp;YEAR(E336))</f>
        <v>2021-2022</v>
      </c>
      <c r="R336" s="3"/>
      <c r="S336" s="3"/>
      <c r="T336" s="15" t="str">
        <f t="shared" ca="1" si="5"/>
        <v>0</v>
      </c>
      <c r="U336" s="3"/>
    </row>
    <row r="337" spans="1:21" x14ac:dyDescent="0.35">
      <c r="A337" s="3" t="s">
        <v>695</v>
      </c>
      <c r="B337" s="3" t="s">
        <v>696</v>
      </c>
      <c r="C337" s="3" t="s">
        <v>22</v>
      </c>
      <c r="D337" s="3" t="s">
        <v>18</v>
      </c>
      <c r="E337" s="6">
        <v>44837</v>
      </c>
      <c r="F337" s="3" t="s">
        <v>14</v>
      </c>
      <c r="G337" s="3">
        <v>10227</v>
      </c>
      <c r="H337" s="3">
        <v>8244</v>
      </c>
      <c r="I337" s="3">
        <v>2.46</v>
      </c>
      <c r="J337" s="3">
        <v>40</v>
      </c>
      <c r="K337" s="15">
        <f ca="1">IF(F337="Enrolled",TODAY()-E337,"0")</f>
        <v>1217</v>
      </c>
      <c r="L337" s="3" t="str">
        <f>IF(I337&gt;=3.5,"Excellent",IF(I337&gt;=3,"Good",IF(I337&gt;=2,"Average","Poor")))</f>
        <v>Average</v>
      </c>
      <c r="M337" s="3" t="str">
        <v>Dr.Roy</v>
      </c>
      <c r="N337" s="3" t="str">
        <f>IF(H337 &gt; (G337*50%), "Yes", "No")</f>
        <v>Yes</v>
      </c>
      <c r="O337" s="16">
        <f>G337-H337</f>
        <v>1983</v>
      </c>
      <c r="P337" s="16">
        <f>SUMIFS(O337:O337,E337:E337,"Science",F337:F337,"Completed")</f>
        <v>0</v>
      </c>
      <c r="Q337" s="3" t="str">
        <f>IF(MONTH(E337)&gt;=7, YEAR(E337)&amp;"-"&amp;YEAR(E337)+1, YEAR(E337)-1&amp;"-"&amp;YEAR(E337))</f>
        <v>2022-2023</v>
      </c>
      <c r="R337" s="3"/>
      <c r="S337" s="3"/>
      <c r="T337" s="15" t="str">
        <f t="shared" ca="1" si="5"/>
        <v>0</v>
      </c>
      <c r="U337" s="3"/>
    </row>
    <row r="338" spans="1:21" x14ac:dyDescent="0.35">
      <c r="A338" s="3" t="s">
        <v>697</v>
      </c>
      <c r="B338" s="3" t="s">
        <v>698</v>
      </c>
      <c r="C338" s="3" t="s">
        <v>57</v>
      </c>
      <c r="D338" s="3" t="s">
        <v>62</v>
      </c>
      <c r="E338" s="6">
        <v>45269</v>
      </c>
      <c r="F338" s="3" t="s">
        <v>14</v>
      </c>
      <c r="G338" s="3">
        <v>5425</v>
      </c>
      <c r="H338" s="3">
        <v>8837</v>
      </c>
      <c r="I338" s="3">
        <v>2.46</v>
      </c>
      <c r="J338" s="3">
        <v>17</v>
      </c>
      <c r="K338" s="15">
        <f ca="1">IF(F338="Enrolled",TODAY()-E338,"0")</f>
        <v>785</v>
      </c>
      <c r="L338" s="3" t="str">
        <f>IF(I338&gt;=3.5,"Excellent",IF(I338&gt;=3,"Good",IF(I338&gt;=2,"Average","Poor")))</f>
        <v>Average</v>
      </c>
      <c r="M338" s="3" t="str">
        <v>Dr.Sinha</v>
      </c>
      <c r="N338" s="3" t="str">
        <f>IF(H338 &gt; (G338*50%), "Yes", "No")</f>
        <v>Yes</v>
      </c>
      <c r="O338" s="16">
        <f>G338-H338</f>
        <v>-3412</v>
      </c>
      <c r="P338" s="16">
        <f>SUMIFS(O338:O338,E338:E338,"Science",F338:F338,"Completed")</f>
        <v>0</v>
      </c>
      <c r="Q338" s="3" t="str">
        <f>IF(MONTH(E338)&gt;=7, YEAR(E338)&amp;"-"&amp;YEAR(E338)+1, YEAR(E338)-1&amp;"-"&amp;YEAR(E338))</f>
        <v>2023-2024</v>
      </c>
      <c r="R338" s="3"/>
      <c r="S338" s="3"/>
      <c r="T338" s="15" t="str">
        <f t="shared" ca="1" si="5"/>
        <v>0</v>
      </c>
      <c r="U338" s="3"/>
    </row>
    <row r="339" spans="1:21" x14ac:dyDescent="0.35">
      <c r="A339" s="3" t="s">
        <v>699</v>
      </c>
      <c r="B339" s="3" t="s">
        <v>700</v>
      </c>
      <c r="C339" s="3" t="s">
        <v>12</v>
      </c>
      <c r="D339" s="3" t="s">
        <v>18</v>
      </c>
      <c r="E339" s="6">
        <v>45306</v>
      </c>
      <c r="F339" s="3" t="s">
        <v>14</v>
      </c>
      <c r="G339" s="3">
        <v>3010</v>
      </c>
      <c r="H339" s="3">
        <v>3613</v>
      </c>
      <c r="I339" s="3">
        <v>3.27</v>
      </c>
      <c r="J339" s="3">
        <v>9</v>
      </c>
      <c r="K339" s="15">
        <f ca="1">IF(F339="Enrolled",TODAY()-E339,"0")</f>
        <v>748</v>
      </c>
      <c r="L339" s="3" t="str">
        <f>IF(I339&gt;=3.5,"Excellent",IF(I339&gt;=3,"Good",IF(I339&gt;=2,"Average","Poor")))</f>
        <v>Good</v>
      </c>
      <c r="M339" s="3" t="str">
        <v>Dr.Roy</v>
      </c>
      <c r="N339" s="3" t="str">
        <f>IF(H339 &gt; (G339*50%), "Yes", "No")</f>
        <v>Yes</v>
      </c>
      <c r="O339" s="16">
        <f>G339-H339</f>
        <v>-603</v>
      </c>
      <c r="P339" s="16">
        <f>SUMIFS(O339:O339,E339:E339,"Science",F339:F339,"Completed")</f>
        <v>0</v>
      </c>
      <c r="Q339" s="3" t="str">
        <f>IF(MONTH(E339)&gt;=7, YEAR(E339)&amp;"-"&amp;YEAR(E339)+1, YEAR(E339)-1&amp;"-"&amp;YEAR(E339))</f>
        <v>2023-2024</v>
      </c>
      <c r="R339" s="3"/>
      <c r="S339" s="3"/>
      <c r="T339" s="15" t="str">
        <f t="shared" ca="1" si="5"/>
        <v>0</v>
      </c>
      <c r="U339" s="3"/>
    </row>
    <row r="340" spans="1:21" x14ac:dyDescent="0.35">
      <c r="A340" s="3" t="s">
        <v>701</v>
      </c>
      <c r="B340" s="3" t="s">
        <v>702</v>
      </c>
      <c r="C340" s="3" t="s">
        <v>57</v>
      </c>
      <c r="D340" s="3" t="s">
        <v>31</v>
      </c>
      <c r="E340" s="6">
        <v>44854</v>
      </c>
      <c r="F340" s="3" t="s">
        <v>14</v>
      </c>
      <c r="G340" s="3">
        <v>8290</v>
      </c>
      <c r="H340" s="3">
        <v>4182</v>
      </c>
      <c r="I340" s="3">
        <v>2.71</v>
      </c>
      <c r="J340" s="3">
        <v>72</v>
      </c>
      <c r="K340" s="15">
        <f ca="1">IF(F340="Enrolled",TODAY()-E340,"0")</f>
        <v>1200</v>
      </c>
      <c r="L340" s="3" t="str">
        <f>IF(I340&gt;=3.5,"Excellent",IF(I340&gt;=3,"Good",IF(I340&gt;=2,"Average","Poor")))</f>
        <v>Average</v>
      </c>
      <c r="M340" s="3" t="str">
        <v>Dr.Sharma</v>
      </c>
      <c r="N340" s="3" t="str">
        <f>IF(H340 &gt; (G340*50%), "Yes", "No")</f>
        <v>Yes</v>
      </c>
      <c r="O340" s="16">
        <f>G340-H340</f>
        <v>4108</v>
      </c>
      <c r="P340" s="16">
        <f>SUMIFS(O340:O340,E340:E340,"Science",F340:F340,"Completed")</f>
        <v>0</v>
      </c>
      <c r="Q340" s="3" t="str">
        <f>IF(MONTH(E340)&gt;=7, YEAR(E340)&amp;"-"&amp;YEAR(E340)+1, YEAR(E340)-1&amp;"-"&amp;YEAR(E340))</f>
        <v>2022-2023</v>
      </c>
      <c r="R340" s="3"/>
      <c r="S340" s="3"/>
      <c r="T340" s="15" t="str">
        <f t="shared" ca="1" si="5"/>
        <v>0</v>
      </c>
      <c r="U340" s="3"/>
    </row>
    <row r="341" spans="1:21" x14ac:dyDescent="0.35">
      <c r="A341" s="3" t="s">
        <v>703</v>
      </c>
      <c r="B341" s="3" t="s">
        <v>704</v>
      </c>
      <c r="C341" s="3" t="s">
        <v>36</v>
      </c>
      <c r="D341" s="3" t="s">
        <v>62</v>
      </c>
      <c r="E341" s="6">
        <v>45062</v>
      </c>
      <c r="F341" s="3" t="s">
        <v>14</v>
      </c>
      <c r="G341" s="3">
        <v>3151</v>
      </c>
      <c r="H341" s="3">
        <v>2504</v>
      </c>
      <c r="I341" s="3">
        <v>2.38</v>
      </c>
      <c r="J341" s="3">
        <v>51</v>
      </c>
      <c r="K341" s="15">
        <f ca="1">IF(F341="Enrolled",TODAY()-E341,"0")</f>
        <v>992</v>
      </c>
      <c r="L341" s="3" t="str">
        <f>IF(I341&gt;=3.5,"Excellent",IF(I341&gt;=3,"Good",IF(I341&gt;=2,"Average","Poor")))</f>
        <v>Average</v>
      </c>
      <c r="M341" s="3" t="str">
        <v>Dr.Sinha</v>
      </c>
      <c r="N341" s="3" t="str">
        <f>IF(H341 &gt; (G341*50%), "Yes", "No")</f>
        <v>Yes</v>
      </c>
      <c r="O341" s="16">
        <f>G341-H341</f>
        <v>647</v>
      </c>
      <c r="P341" s="16">
        <f>SUMIFS(O341:O341,E341:E341,"Science",F341:F341,"Completed")</f>
        <v>0</v>
      </c>
      <c r="Q341" s="3" t="str">
        <f>IF(MONTH(E341)&gt;=7, YEAR(E341)&amp;"-"&amp;YEAR(E341)+1, YEAR(E341)-1&amp;"-"&amp;YEAR(E341))</f>
        <v>2022-2023</v>
      </c>
      <c r="R341" s="3"/>
      <c r="S341" s="3"/>
      <c r="T341" s="15" t="str">
        <f t="shared" ca="1" si="5"/>
        <v>0</v>
      </c>
      <c r="U341" s="3"/>
    </row>
    <row r="342" spans="1:21" x14ac:dyDescent="0.35">
      <c r="A342" s="3" t="s">
        <v>705</v>
      </c>
      <c r="B342" s="3" t="s">
        <v>706</v>
      </c>
      <c r="C342" s="3" t="s">
        <v>17</v>
      </c>
      <c r="D342" s="3" t="s">
        <v>13</v>
      </c>
      <c r="E342" s="6">
        <v>45043</v>
      </c>
      <c r="F342" s="3" t="s">
        <v>14</v>
      </c>
      <c r="G342" s="3">
        <v>3317</v>
      </c>
      <c r="H342" s="3">
        <v>5701</v>
      </c>
      <c r="I342" s="3">
        <v>2.08</v>
      </c>
      <c r="J342" s="3">
        <v>85</v>
      </c>
      <c r="K342" s="15">
        <f ca="1">IF(F342="Enrolled",TODAY()-E342,"0")</f>
        <v>1011</v>
      </c>
      <c r="L342" s="3" t="str">
        <f>IF(I342&gt;=3.5,"Excellent",IF(I342&gt;=3,"Good",IF(I342&gt;=2,"Average","Poor")))</f>
        <v>Average</v>
      </c>
      <c r="M342" s="3" t="str">
        <v>Dr.Mehta</v>
      </c>
      <c r="N342" s="3" t="str">
        <f>IF(H342 &gt; (G342*50%), "Yes", "No")</f>
        <v>Yes</v>
      </c>
      <c r="O342" s="16">
        <f>G342-H342</f>
        <v>-2384</v>
      </c>
      <c r="P342" s="16">
        <f>SUMIFS(O342:O342,E342:E342,"Science",F342:F342,"Completed")</f>
        <v>0</v>
      </c>
      <c r="Q342" s="3" t="str">
        <f>IF(MONTH(E342)&gt;=7, YEAR(E342)&amp;"-"&amp;YEAR(E342)+1, YEAR(E342)-1&amp;"-"&amp;YEAR(E342))</f>
        <v>2022-2023</v>
      </c>
      <c r="R342" s="3"/>
      <c r="S342" s="3"/>
      <c r="T342" s="15" t="str">
        <f t="shared" ca="1" si="5"/>
        <v>0</v>
      </c>
      <c r="U342" s="3"/>
    </row>
    <row r="343" spans="1:21" x14ac:dyDescent="0.35">
      <c r="A343" s="3" t="s">
        <v>707</v>
      </c>
      <c r="B343" s="3" t="s">
        <v>708</v>
      </c>
      <c r="C343" s="3" t="s">
        <v>28</v>
      </c>
      <c r="D343" s="3" t="s">
        <v>62</v>
      </c>
      <c r="E343" s="6">
        <v>44611</v>
      </c>
      <c r="F343" s="3" t="s">
        <v>14</v>
      </c>
      <c r="G343" s="3">
        <v>4447</v>
      </c>
      <c r="H343" s="3">
        <v>1972</v>
      </c>
      <c r="I343" s="3">
        <v>3.43</v>
      </c>
      <c r="J343" s="3">
        <v>67</v>
      </c>
      <c r="K343" s="15">
        <f ca="1">IF(F343="Enrolled",TODAY()-E343,"0")</f>
        <v>1443</v>
      </c>
      <c r="L343" s="3" t="str">
        <f>IF(I343&gt;=3.5,"Excellent",IF(I343&gt;=3,"Good",IF(I343&gt;=2,"Average","Poor")))</f>
        <v>Good</v>
      </c>
      <c r="M343" s="3" t="str">
        <v>Dr.Sinha</v>
      </c>
      <c r="N343" s="3" t="str">
        <f>IF(H343 &gt; (G343*50%), "Yes", "No")</f>
        <v>No</v>
      </c>
      <c r="O343" s="16">
        <f>G343-H343</f>
        <v>2475</v>
      </c>
      <c r="P343" s="16">
        <f>SUMIFS(O343:O343,E343:E343,"Science",F343:F343,"Completed")</f>
        <v>0</v>
      </c>
      <c r="Q343" s="3" t="str">
        <f>IF(MONTH(E343)&gt;=7, YEAR(E343)&amp;"-"&amp;YEAR(E343)+1, YEAR(E343)-1&amp;"-"&amp;YEAR(E343))</f>
        <v>2021-2022</v>
      </c>
      <c r="R343" s="3"/>
      <c r="S343" s="3"/>
      <c r="T343" s="15" t="str">
        <f t="shared" ca="1" si="5"/>
        <v>0</v>
      </c>
      <c r="U343" s="3"/>
    </row>
    <row r="344" spans="1:21" x14ac:dyDescent="0.35">
      <c r="A344" s="3" t="s">
        <v>709</v>
      </c>
      <c r="B344" s="3" t="s">
        <v>710</v>
      </c>
      <c r="C344" s="3" t="s">
        <v>25</v>
      </c>
      <c r="D344" s="3" t="s">
        <v>18</v>
      </c>
      <c r="E344" s="6">
        <v>45321</v>
      </c>
      <c r="F344" s="3" t="s">
        <v>14</v>
      </c>
      <c r="G344" s="3">
        <v>4390</v>
      </c>
      <c r="H344" s="3">
        <v>9450</v>
      </c>
      <c r="I344" s="3">
        <v>3.04</v>
      </c>
      <c r="J344" s="3">
        <v>119</v>
      </c>
      <c r="K344" s="15">
        <f ca="1">IF(F344="Enrolled",TODAY()-E344,"0")</f>
        <v>733</v>
      </c>
      <c r="L344" s="3" t="str">
        <f>IF(I344&gt;=3.5,"Excellent",IF(I344&gt;=3,"Good",IF(I344&gt;=2,"Average","Poor")))</f>
        <v>Good</v>
      </c>
      <c r="M344" s="3" t="str">
        <v>Dr.Roy</v>
      </c>
      <c r="N344" s="3" t="str">
        <f>IF(H344 &gt; (G344*50%), "Yes", "No")</f>
        <v>Yes</v>
      </c>
      <c r="O344" s="16">
        <f>G344-H344</f>
        <v>-5060</v>
      </c>
      <c r="P344" s="16">
        <f>SUMIFS(O344:O344,E344:E344,"Science",F344:F344,"Completed")</f>
        <v>0</v>
      </c>
      <c r="Q344" s="3" t="str">
        <f>IF(MONTH(E344)&gt;=7, YEAR(E344)&amp;"-"&amp;YEAR(E344)+1, YEAR(E344)-1&amp;"-"&amp;YEAR(E344))</f>
        <v>2023-2024</v>
      </c>
      <c r="R344" s="3"/>
      <c r="S344" s="3"/>
      <c r="T344" s="15" t="str">
        <f t="shared" ca="1" si="5"/>
        <v>0</v>
      </c>
      <c r="U344" s="3"/>
    </row>
    <row r="345" spans="1:21" x14ac:dyDescent="0.35">
      <c r="A345" s="3" t="s">
        <v>711</v>
      </c>
      <c r="B345" s="3" t="s">
        <v>712</v>
      </c>
      <c r="C345" s="3" t="s">
        <v>17</v>
      </c>
      <c r="D345" s="3" t="s">
        <v>18</v>
      </c>
      <c r="E345" s="6">
        <v>44945</v>
      </c>
      <c r="F345" s="3" t="s">
        <v>14</v>
      </c>
      <c r="G345" s="3">
        <v>12226</v>
      </c>
      <c r="H345" s="3">
        <v>5785</v>
      </c>
      <c r="I345" s="3">
        <v>3.48</v>
      </c>
      <c r="J345" s="3">
        <v>46</v>
      </c>
      <c r="K345" s="15">
        <f ca="1">IF(F345="Enrolled",TODAY()-E345,"0")</f>
        <v>1109</v>
      </c>
      <c r="L345" s="3" t="str">
        <f>IF(I345&gt;=3.5,"Excellent",IF(I345&gt;=3,"Good",IF(I345&gt;=2,"Average","Poor")))</f>
        <v>Good</v>
      </c>
      <c r="M345" s="3" t="str">
        <v>Dr.Roy</v>
      </c>
      <c r="N345" s="3" t="str">
        <f>IF(H345 &gt; (G345*50%), "Yes", "No")</f>
        <v>No</v>
      </c>
      <c r="O345" s="16">
        <f>G345-H345</f>
        <v>6441</v>
      </c>
      <c r="P345" s="16">
        <f>SUMIFS(O345:O345,E345:E345,"Science",F345:F345,"Completed")</f>
        <v>0</v>
      </c>
      <c r="Q345" s="3" t="str">
        <f>IF(MONTH(E345)&gt;=7, YEAR(E345)&amp;"-"&amp;YEAR(E345)+1, YEAR(E345)-1&amp;"-"&amp;YEAR(E345))</f>
        <v>2022-2023</v>
      </c>
      <c r="R345" s="3"/>
      <c r="S345" s="3"/>
      <c r="T345" s="15" t="str">
        <f t="shared" ca="1" si="5"/>
        <v>0</v>
      </c>
      <c r="U345" s="3"/>
    </row>
    <row r="346" spans="1:21" x14ac:dyDescent="0.35">
      <c r="A346" s="3" t="s">
        <v>713</v>
      </c>
      <c r="B346" s="3" t="s">
        <v>714</v>
      </c>
      <c r="C346" s="3" t="s">
        <v>57</v>
      </c>
      <c r="D346" s="3" t="s">
        <v>13</v>
      </c>
      <c r="E346" s="6">
        <v>45460</v>
      </c>
      <c r="F346" s="3" t="s">
        <v>14</v>
      </c>
      <c r="G346" s="3">
        <v>10765</v>
      </c>
      <c r="H346" s="3">
        <v>3730</v>
      </c>
      <c r="I346" s="3">
        <v>3.18</v>
      </c>
      <c r="J346" s="3">
        <v>109</v>
      </c>
      <c r="K346" s="15">
        <f ca="1">IF(F346="Enrolled",TODAY()-E346,"0")</f>
        <v>594</v>
      </c>
      <c r="L346" s="3" t="str">
        <f>IF(I346&gt;=3.5,"Excellent",IF(I346&gt;=3,"Good",IF(I346&gt;=2,"Average","Poor")))</f>
        <v>Good</v>
      </c>
      <c r="M346" s="3" t="str">
        <v>Dr.Mehta</v>
      </c>
      <c r="N346" s="3" t="str">
        <f>IF(H346 &gt; (G346*50%), "Yes", "No")</f>
        <v>No</v>
      </c>
      <c r="O346" s="16">
        <f>G346-H346</f>
        <v>7035</v>
      </c>
      <c r="P346" s="16">
        <f>SUMIFS(O346:O346,E346:E346,"Science",F346:F346,"Completed")</f>
        <v>0</v>
      </c>
      <c r="Q346" s="3" t="str">
        <f>IF(MONTH(E346)&gt;=7, YEAR(E346)&amp;"-"&amp;YEAR(E346)+1, YEAR(E346)-1&amp;"-"&amp;YEAR(E346))</f>
        <v>2023-2024</v>
      </c>
      <c r="R346" s="3"/>
      <c r="S346" s="3"/>
      <c r="T346" s="15" t="str">
        <f t="shared" ca="1" si="5"/>
        <v>0</v>
      </c>
      <c r="U346" s="3"/>
    </row>
    <row r="347" spans="1:21" x14ac:dyDescent="0.35">
      <c r="A347" s="3" t="s">
        <v>715</v>
      </c>
      <c r="B347" s="3" t="s">
        <v>716</v>
      </c>
      <c r="C347" s="3" t="s">
        <v>17</v>
      </c>
      <c r="D347" s="3" t="s">
        <v>62</v>
      </c>
      <c r="E347" s="6">
        <v>45183</v>
      </c>
      <c r="F347" s="3" t="s">
        <v>14</v>
      </c>
      <c r="G347" s="3">
        <v>6631</v>
      </c>
      <c r="H347" s="3">
        <v>3605</v>
      </c>
      <c r="I347" s="3">
        <v>2.15</v>
      </c>
      <c r="J347" s="3">
        <v>93</v>
      </c>
      <c r="K347" s="15">
        <f ca="1">IF(F347="Enrolled",TODAY()-E347,"0")</f>
        <v>871</v>
      </c>
      <c r="L347" s="3" t="str">
        <f>IF(I347&gt;=3.5,"Excellent",IF(I347&gt;=3,"Good",IF(I347&gt;=2,"Average","Poor")))</f>
        <v>Average</v>
      </c>
      <c r="M347" s="3" t="str">
        <v>Dr.Sinha</v>
      </c>
      <c r="N347" s="3" t="str">
        <f>IF(H347 &gt; (G347*50%), "Yes", "No")</f>
        <v>Yes</v>
      </c>
      <c r="O347" s="16">
        <f>G347-H347</f>
        <v>3026</v>
      </c>
      <c r="P347" s="16">
        <f>SUMIFS(O347:O347,E347:E347,"Science",F347:F347,"Completed")</f>
        <v>0</v>
      </c>
      <c r="Q347" s="3" t="str">
        <f>IF(MONTH(E347)&gt;=7, YEAR(E347)&amp;"-"&amp;YEAR(E347)+1, YEAR(E347)-1&amp;"-"&amp;YEAR(E347))</f>
        <v>2023-2024</v>
      </c>
      <c r="R347" s="3"/>
      <c r="S347" s="3"/>
      <c r="T347" s="15" t="str">
        <f t="shared" ca="1" si="5"/>
        <v>0</v>
      </c>
      <c r="U347" s="3"/>
    </row>
    <row r="348" spans="1:21" x14ac:dyDescent="0.35">
      <c r="A348" s="3" t="s">
        <v>717</v>
      </c>
      <c r="B348" s="3" t="s">
        <v>718</v>
      </c>
      <c r="C348" s="3" t="s">
        <v>28</v>
      </c>
      <c r="D348" s="3" t="s">
        <v>13</v>
      </c>
      <c r="E348" s="6">
        <v>44884</v>
      </c>
      <c r="F348" s="3" t="s">
        <v>14</v>
      </c>
      <c r="G348" s="3">
        <v>12250</v>
      </c>
      <c r="H348" s="3">
        <v>373</v>
      </c>
      <c r="I348" s="3">
        <v>3.37</v>
      </c>
      <c r="J348" s="3">
        <v>23</v>
      </c>
      <c r="K348" s="15">
        <f ca="1">IF(F348="Enrolled",TODAY()-E348,"0")</f>
        <v>1170</v>
      </c>
      <c r="L348" s="3" t="str">
        <f>IF(I348&gt;=3.5,"Excellent",IF(I348&gt;=3,"Good",IF(I348&gt;=2,"Average","Poor")))</f>
        <v>Good</v>
      </c>
      <c r="M348" s="3" t="str">
        <v>Dr.Mehta</v>
      </c>
      <c r="N348" s="3" t="str">
        <f>IF(H348 &gt; (G348*50%), "Yes", "No")</f>
        <v>No</v>
      </c>
      <c r="O348" s="16">
        <f>G348-H348</f>
        <v>11877</v>
      </c>
      <c r="P348" s="16">
        <f>SUMIFS(O348:O348,E348:E348,"Science",F348:F348,"Completed")</f>
        <v>0</v>
      </c>
      <c r="Q348" s="3" t="str">
        <f>IF(MONTH(E348)&gt;=7, YEAR(E348)&amp;"-"&amp;YEAR(E348)+1, YEAR(E348)-1&amp;"-"&amp;YEAR(E348))</f>
        <v>2022-2023</v>
      </c>
      <c r="R348" s="3"/>
      <c r="S348" s="3"/>
      <c r="T348" s="15" t="str">
        <f t="shared" ca="1" si="5"/>
        <v>0</v>
      </c>
      <c r="U348" s="3"/>
    </row>
    <row r="349" spans="1:21" x14ac:dyDescent="0.35">
      <c r="A349" s="3" t="s">
        <v>719</v>
      </c>
      <c r="B349" s="3" t="s">
        <v>720</v>
      </c>
      <c r="C349" s="3" t="s">
        <v>12</v>
      </c>
      <c r="D349" s="3" t="s">
        <v>13</v>
      </c>
      <c r="E349" s="6">
        <v>44641</v>
      </c>
      <c r="F349" s="3" t="s">
        <v>14</v>
      </c>
      <c r="G349" s="3">
        <v>8028</v>
      </c>
      <c r="H349" s="3">
        <v>5955</v>
      </c>
      <c r="I349" s="3">
        <v>2.81</v>
      </c>
      <c r="J349" s="3">
        <v>4</v>
      </c>
      <c r="K349" s="15">
        <f ca="1">IF(F349="Enrolled",TODAY()-E349,"0")</f>
        <v>1413</v>
      </c>
      <c r="L349" s="3" t="str">
        <f>IF(I349&gt;=3.5,"Excellent",IF(I349&gt;=3,"Good",IF(I349&gt;=2,"Average","Poor")))</f>
        <v>Average</v>
      </c>
      <c r="M349" s="3" t="str">
        <v>Dr.Mehta</v>
      </c>
      <c r="N349" s="3" t="str">
        <f>IF(H349 &gt; (G349*50%), "Yes", "No")</f>
        <v>Yes</v>
      </c>
      <c r="O349" s="16">
        <f>G349-H349</f>
        <v>2073</v>
      </c>
      <c r="P349" s="16">
        <f>SUMIFS(O349:O349,E349:E349,"Science",F349:F349,"Completed")</f>
        <v>0</v>
      </c>
      <c r="Q349" s="3" t="str">
        <f>IF(MONTH(E349)&gt;=7, YEAR(E349)&amp;"-"&amp;YEAR(E349)+1, YEAR(E349)-1&amp;"-"&amp;YEAR(E349))</f>
        <v>2021-2022</v>
      </c>
      <c r="R349" s="3"/>
      <c r="S349" s="3"/>
      <c r="T349" s="15" t="str">
        <f t="shared" ca="1" si="5"/>
        <v>0</v>
      </c>
      <c r="U349" s="3"/>
    </row>
    <row r="350" spans="1:21" x14ac:dyDescent="0.35">
      <c r="A350" s="3" t="s">
        <v>721</v>
      </c>
      <c r="B350" s="3" t="s">
        <v>722</v>
      </c>
      <c r="C350" s="3" t="s">
        <v>12</v>
      </c>
      <c r="D350" s="3" t="s">
        <v>62</v>
      </c>
      <c r="E350" s="6">
        <v>45316</v>
      </c>
      <c r="F350" s="3" t="s">
        <v>19</v>
      </c>
      <c r="G350" s="3">
        <v>4948</v>
      </c>
      <c r="H350" s="3">
        <v>3342</v>
      </c>
      <c r="I350" s="3">
        <v>3.08</v>
      </c>
      <c r="J350" s="3">
        <v>119</v>
      </c>
      <c r="K350" s="15" t="str">
        <f ca="1">IF(F350="Enrolled",TODAY()-E350,"0")</f>
        <v>0</v>
      </c>
      <c r="L350" s="3" t="str">
        <f>IF(I350&gt;=3.5,"Excellent",IF(I350&gt;=3,"Good",IF(I350&gt;=2,"Average","Poor")))</f>
        <v>Good</v>
      </c>
      <c r="M350" s="3" t="str">
        <v>Dr.Sinha</v>
      </c>
      <c r="N350" s="3" t="str">
        <f>IF(H350 &gt; (G350*50%), "Yes", "No")</f>
        <v>Yes</v>
      </c>
      <c r="O350" s="16">
        <f>G350-H350</f>
        <v>1606</v>
      </c>
      <c r="P350" s="16">
        <f>SUMIFS(O350:O350,E350:E350,"Science",F350:F350,"Completed")</f>
        <v>0</v>
      </c>
      <c r="Q350" s="3" t="str">
        <f>IF(MONTH(E350)&gt;=7, YEAR(E350)&amp;"-"&amp;YEAR(E350)+1, YEAR(E350)-1&amp;"-"&amp;YEAR(E350))</f>
        <v>2023-2024</v>
      </c>
      <c r="R350" s="3"/>
      <c r="S350" s="3"/>
      <c r="T350" s="15">
        <f t="shared" ca="1" si="5"/>
        <v>738</v>
      </c>
      <c r="U350" s="3"/>
    </row>
    <row r="351" spans="1:21" x14ac:dyDescent="0.35">
      <c r="A351" s="3" t="s">
        <v>723</v>
      </c>
      <c r="B351" s="3" t="s">
        <v>724</v>
      </c>
      <c r="C351" s="3" t="s">
        <v>22</v>
      </c>
      <c r="D351" s="3" t="s">
        <v>18</v>
      </c>
      <c r="E351" s="6">
        <v>45382</v>
      </c>
      <c r="F351" s="3" t="s">
        <v>14</v>
      </c>
      <c r="G351" s="3">
        <v>5751</v>
      </c>
      <c r="H351" s="3">
        <v>1819</v>
      </c>
      <c r="I351" s="3">
        <v>2.04</v>
      </c>
      <c r="J351" s="3">
        <v>58</v>
      </c>
      <c r="K351" s="15">
        <f ca="1">IF(F351="Enrolled",TODAY()-E351,"0")</f>
        <v>672</v>
      </c>
      <c r="L351" s="3" t="str">
        <f>IF(I351&gt;=3.5,"Excellent",IF(I351&gt;=3,"Good",IF(I351&gt;=2,"Average","Poor")))</f>
        <v>Average</v>
      </c>
      <c r="M351" s="3" t="str">
        <v>Dr.Roy</v>
      </c>
      <c r="N351" s="3" t="str">
        <f>IF(H351 &gt; (G351*50%), "Yes", "No")</f>
        <v>No</v>
      </c>
      <c r="O351" s="16">
        <f>G351-H351</f>
        <v>3932</v>
      </c>
      <c r="P351" s="16">
        <f>SUMIFS(O351:O351,E351:E351,"Science",F351:F351,"Completed")</f>
        <v>0</v>
      </c>
      <c r="Q351" s="3" t="str">
        <f>IF(MONTH(E351)&gt;=7, YEAR(E351)&amp;"-"&amp;YEAR(E351)+1, YEAR(E351)-1&amp;"-"&amp;YEAR(E351))</f>
        <v>2023-2024</v>
      </c>
      <c r="R351" s="3"/>
      <c r="S351" s="3"/>
      <c r="T351" s="15" t="str">
        <f t="shared" ca="1" si="5"/>
        <v>0</v>
      </c>
      <c r="U351" s="3"/>
    </row>
    <row r="352" spans="1:21" x14ac:dyDescent="0.35">
      <c r="A352" s="3" t="s">
        <v>725</v>
      </c>
      <c r="B352" s="3" t="s">
        <v>726</v>
      </c>
      <c r="C352" s="3" t="s">
        <v>25</v>
      </c>
      <c r="D352" s="3" t="s">
        <v>18</v>
      </c>
      <c r="E352" s="6">
        <v>44760</v>
      </c>
      <c r="F352" s="3" t="s">
        <v>39</v>
      </c>
      <c r="G352" s="3">
        <v>8271</v>
      </c>
      <c r="H352" s="3">
        <v>6443</v>
      </c>
      <c r="I352" s="3">
        <v>3.38</v>
      </c>
      <c r="J352" s="3">
        <v>101</v>
      </c>
      <c r="K352" s="15" t="str">
        <f ca="1">IF(F352="Enrolled",TODAY()-E352,"0")</f>
        <v>0</v>
      </c>
      <c r="L352" s="3" t="str">
        <f>IF(I352&gt;=3.5,"Excellent",IF(I352&gt;=3,"Good",IF(I352&gt;=2,"Average","Poor")))</f>
        <v>Good</v>
      </c>
      <c r="M352" s="3" t="str">
        <v>Dr.Roy</v>
      </c>
      <c r="N352" s="3" t="str">
        <f>IF(H352 &gt; (G352*50%), "Yes", "No")</f>
        <v>Yes</v>
      </c>
      <c r="O352" s="16">
        <f>G352-H352</f>
        <v>1828</v>
      </c>
      <c r="P352" s="16">
        <f>SUMIFS(O352:O352,E352:E352,"Science",F352:F352,"Completed")</f>
        <v>0</v>
      </c>
      <c r="Q352" s="3" t="str">
        <f>IF(MONTH(E352)&gt;=7, YEAR(E352)&amp;"-"&amp;YEAR(E352)+1, YEAR(E352)-1&amp;"-"&amp;YEAR(E352))</f>
        <v>2022-2023</v>
      </c>
      <c r="R352" s="3"/>
      <c r="S352" s="3"/>
      <c r="T352" s="15" t="str">
        <f t="shared" ca="1" si="5"/>
        <v>0</v>
      </c>
      <c r="U352" s="3"/>
    </row>
    <row r="353" spans="1:21" x14ac:dyDescent="0.35">
      <c r="A353" s="3" t="s">
        <v>727</v>
      </c>
      <c r="B353" s="3" t="s">
        <v>728</v>
      </c>
      <c r="C353" s="3" t="s">
        <v>17</v>
      </c>
      <c r="D353" s="3" t="s">
        <v>31</v>
      </c>
      <c r="E353" s="6">
        <v>45312</v>
      </c>
      <c r="F353" s="3" t="s">
        <v>14</v>
      </c>
      <c r="G353" s="3">
        <v>11568</v>
      </c>
      <c r="H353" s="3">
        <v>9456</v>
      </c>
      <c r="I353" s="3">
        <v>3.74</v>
      </c>
      <c r="J353" s="3">
        <v>104</v>
      </c>
      <c r="K353" s="15">
        <f ca="1">IF(F353="Enrolled",TODAY()-E353,"0")</f>
        <v>742</v>
      </c>
      <c r="L353" s="3" t="str">
        <f>IF(I353&gt;=3.5,"Excellent",IF(I353&gt;=3,"Good",IF(I353&gt;=2,"Average","Poor")))</f>
        <v>Excellent</v>
      </c>
      <c r="M353" s="3" t="str">
        <v>Dr.Sharma</v>
      </c>
      <c r="N353" s="3" t="str">
        <f>IF(H353 &gt; (G353*50%), "Yes", "No")</f>
        <v>Yes</v>
      </c>
      <c r="O353" s="16">
        <f>G353-H353</f>
        <v>2112</v>
      </c>
      <c r="P353" s="16">
        <f>SUMIFS(O353:O353,E353:E353,"Science",F353:F353,"Completed")</f>
        <v>0</v>
      </c>
      <c r="Q353" s="3" t="str">
        <f>IF(MONTH(E353)&gt;=7, YEAR(E353)&amp;"-"&amp;YEAR(E353)+1, YEAR(E353)-1&amp;"-"&amp;YEAR(E353))</f>
        <v>2023-2024</v>
      </c>
      <c r="R353" s="3"/>
      <c r="S353" s="3"/>
      <c r="T353" s="15" t="str">
        <f t="shared" ca="1" si="5"/>
        <v>0</v>
      </c>
      <c r="U353" s="3"/>
    </row>
    <row r="354" spans="1:21" x14ac:dyDescent="0.35">
      <c r="A354" s="3" t="s">
        <v>729</v>
      </c>
      <c r="B354" s="3" t="s">
        <v>730</v>
      </c>
      <c r="C354" s="3" t="s">
        <v>12</v>
      </c>
      <c r="D354" s="3" t="s">
        <v>18</v>
      </c>
      <c r="E354" s="6">
        <v>45138</v>
      </c>
      <c r="F354" s="3" t="s">
        <v>14</v>
      </c>
      <c r="G354" s="3">
        <v>10825</v>
      </c>
      <c r="H354" s="3">
        <v>9457</v>
      </c>
      <c r="I354" s="3">
        <v>3.74</v>
      </c>
      <c r="J354" s="3">
        <v>3</v>
      </c>
      <c r="K354" s="15">
        <f ca="1">IF(F354="Enrolled",TODAY()-E354,"0")</f>
        <v>916</v>
      </c>
      <c r="L354" s="3" t="str">
        <f>IF(I354&gt;=3.5,"Excellent",IF(I354&gt;=3,"Good",IF(I354&gt;=2,"Average","Poor")))</f>
        <v>Excellent</v>
      </c>
      <c r="M354" s="3" t="str">
        <v>Dr.Roy</v>
      </c>
      <c r="N354" s="3" t="str">
        <f>IF(H354 &gt; (G354*50%), "Yes", "No")</f>
        <v>Yes</v>
      </c>
      <c r="O354" s="16">
        <f>G354-H354</f>
        <v>1368</v>
      </c>
      <c r="P354" s="16">
        <f>SUMIFS(O354:O354,E354:E354,"Science",F354:F354,"Completed")</f>
        <v>0</v>
      </c>
      <c r="Q354" s="3" t="str">
        <f>IF(MONTH(E354)&gt;=7, YEAR(E354)&amp;"-"&amp;YEAR(E354)+1, YEAR(E354)-1&amp;"-"&amp;YEAR(E354))</f>
        <v>2023-2024</v>
      </c>
      <c r="R354" s="3"/>
      <c r="S354" s="3"/>
      <c r="T354" s="15" t="str">
        <f t="shared" ca="1" si="5"/>
        <v>0</v>
      </c>
      <c r="U354" s="3"/>
    </row>
    <row r="355" spans="1:21" x14ac:dyDescent="0.35">
      <c r="A355" s="3" t="s">
        <v>731</v>
      </c>
      <c r="B355" s="3" t="s">
        <v>732</v>
      </c>
      <c r="C355" s="3" t="s">
        <v>54</v>
      </c>
      <c r="D355" s="3" t="s">
        <v>31</v>
      </c>
      <c r="E355" s="6">
        <v>44748</v>
      </c>
      <c r="F355" s="3" t="s">
        <v>19</v>
      </c>
      <c r="G355" s="3">
        <v>7978</v>
      </c>
      <c r="H355" s="3">
        <v>7406</v>
      </c>
      <c r="I355" s="3">
        <v>3.61</v>
      </c>
      <c r="J355" s="3">
        <v>32</v>
      </c>
      <c r="K355" s="15" t="str">
        <f ca="1">IF(F355="Enrolled",TODAY()-E355,"0")</f>
        <v>0</v>
      </c>
      <c r="L355" s="3" t="str">
        <f>IF(I355&gt;=3.5,"Excellent",IF(I355&gt;=3,"Good",IF(I355&gt;=2,"Average","Poor")))</f>
        <v>Excellent</v>
      </c>
      <c r="M355" s="3" t="str">
        <v>Dr.Sharma</v>
      </c>
      <c r="N355" s="3" t="str">
        <f>IF(H355 &gt; (G355*50%), "Yes", "No")</f>
        <v>Yes</v>
      </c>
      <c r="O355" s="16">
        <f>G355-H355</f>
        <v>572</v>
      </c>
      <c r="P355" s="16">
        <f>SUMIFS(O355:O355,E355:E355,"Science",F355:F355,"Completed")</f>
        <v>0</v>
      </c>
      <c r="Q355" s="3" t="str">
        <f>IF(MONTH(E355)&gt;=7, YEAR(E355)&amp;"-"&amp;YEAR(E355)+1, YEAR(E355)-1&amp;"-"&amp;YEAR(E355))</f>
        <v>2022-2023</v>
      </c>
      <c r="R355" s="3"/>
      <c r="S355" s="3"/>
      <c r="T355" s="15">
        <f t="shared" ca="1" si="5"/>
        <v>1306</v>
      </c>
      <c r="U355" s="3"/>
    </row>
    <row r="356" spans="1:21" x14ac:dyDescent="0.35">
      <c r="A356" s="3" t="s">
        <v>733</v>
      </c>
      <c r="B356" s="3" t="s">
        <v>734</v>
      </c>
      <c r="C356" s="3" t="s">
        <v>22</v>
      </c>
      <c r="D356" s="3" t="s">
        <v>13</v>
      </c>
      <c r="E356" s="6">
        <v>44837</v>
      </c>
      <c r="F356" s="3" t="s">
        <v>19</v>
      </c>
      <c r="G356" s="3">
        <v>11708</v>
      </c>
      <c r="H356" s="3">
        <v>9853</v>
      </c>
      <c r="I356" s="3">
        <v>2.88</v>
      </c>
      <c r="J356" s="3">
        <v>49</v>
      </c>
      <c r="K356" s="15" t="str">
        <f ca="1">IF(F356="Enrolled",TODAY()-E356,"0")</f>
        <v>0</v>
      </c>
      <c r="L356" s="3" t="str">
        <f>IF(I356&gt;=3.5,"Excellent",IF(I356&gt;=3,"Good",IF(I356&gt;=2,"Average","Poor")))</f>
        <v>Average</v>
      </c>
      <c r="M356" s="3" t="str">
        <v>Dr.Mehta</v>
      </c>
      <c r="N356" s="3" t="str">
        <f>IF(H356 &gt; (G356*50%), "Yes", "No")</f>
        <v>Yes</v>
      </c>
      <c r="O356" s="16">
        <f>G356-H356</f>
        <v>1855</v>
      </c>
      <c r="P356" s="16">
        <f>SUMIFS(O356:O356,E356:E356,"Science",F356:F356,"Completed")</f>
        <v>0</v>
      </c>
      <c r="Q356" s="3" t="str">
        <f>IF(MONTH(E356)&gt;=7, YEAR(E356)&amp;"-"&amp;YEAR(E356)+1, YEAR(E356)-1&amp;"-"&amp;YEAR(E356))</f>
        <v>2022-2023</v>
      </c>
      <c r="R356" s="3"/>
      <c r="S356" s="3"/>
      <c r="T356" s="15">
        <f t="shared" ca="1" si="5"/>
        <v>1217</v>
      </c>
      <c r="U356" s="3"/>
    </row>
    <row r="357" spans="1:21" x14ac:dyDescent="0.35">
      <c r="A357" s="3" t="s">
        <v>735</v>
      </c>
      <c r="B357" s="3" t="s">
        <v>736</v>
      </c>
      <c r="C357" s="3" t="s">
        <v>28</v>
      </c>
      <c r="D357" s="3" t="s">
        <v>18</v>
      </c>
      <c r="E357" s="6">
        <v>44562</v>
      </c>
      <c r="F357" s="3" t="s">
        <v>14</v>
      </c>
      <c r="G357" s="3">
        <v>14323</v>
      </c>
      <c r="H357" s="3">
        <v>5656</v>
      </c>
      <c r="I357" s="3">
        <v>3.7</v>
      </c>
      <c r="J357" s="3">
        <v>48</v>
      </c>
      <c r="K357" s="15">
        <f ca="1">IF(F357="Enrolled",TODAY()-E357,"0")</f>
        <v>1492</v>
      </c>
      <c r="L357" s="3" t="str">
        <f>IF(I357&gt;=3.5,"Excellent",IF(I357&gt;=3,"Good",IF(I357&gt;=2,"Average","Poor")))</f>
        <v>Excellent</v>
      </c>
      <c r="M357" s="3" t="str">
        <v>Dr.Roy</v>
      </c>
      <c r="N357" s="3" t="str">
        <f>IF(H357 &gt; (G357*50%), "Yes", "No")</f>
        <v>No</v>
      </c>
      <c r="O357" s="16">
        <f>G357-H357</f>
        <v>8667</v>
      </c>
      <c r="P357" s="16">
        <f>SUMIFS(O357:O357,E357:E357,"Science",F357:F357,"Completed")</f>
        <v>0</v>
      </c>
      <c r="Q357" s="3" t="str">
        <f>IF(MONTH(E357)&gt;=7, YEAR(E357)&amp;"-"&amp;YEAR(E357)+1, YEAR(E357)-1&amp;"-"&amp;YEAR(E357))</f>
        <v>2021-2022</v>
      </c>
      <c r="R357" s="3"/>
      <c r="S357" s="3"/>
      <c r="T357" s="15" t="str">
        <f t="shared" ca="1" si="5"/>
        <v>0</v>
      </c>
      <c r="U357" s="3"/>
    </row>
    <row r="358" spans="1:21" x14ac:dyDescent="0.35">
      <c r="A358" s="3" t="s">
        <v>737</v>
      </c>
      <c r="B358" s="3" t="s">
        <v>738</v>
      </c>
      <c r="C358" s="3" t="s">
        <v>54</v>
      </c>
      <c r="D358" s="3" t="s">
        <v>13</v>
      </c>
      <c r="E358" s="6">
        <v>44939</v>
      </c>
      <c r="F358" s="3" t="s">
        <v>14</v>
      </c>
      <c r="G358" s="3">
        <v>3253</v>
      </c>
      <c r="H358" s="3">
        <v>8143</v>
      </c>
      <c r="I358" s="3">
        <v>2.79</v>
      </c>
      <c r="J358" s="3">
        <v>69</v>
      </c>
      <c r="K358" s="15">
        <f ca="1">IF(F358="Enrolled",TODAY()-E358,"0")</f>
        <v>1115</v>
      </c>
      <c r="L358" s="3" t="str">
        <f>IF(I358&gt;=3.5,"Excellent",IF(I358&gt;=3,"Good",IF(I358&gt;=2,"Average","Poor")))</f>
        <v>Average</v>
      </c>
      <c r="M358" s="3" t="str">
        <v>Dr.Mehta</v>
      </c>
      <c r="N358" s="3" t="str">
        <f>IF(H358 &gt; (G358*50%), "Yes", "No")</f>
        <v>Yes</v>
      </c>
      <c r="O358" s="16">
        <f>G358-H358</f>
        <v>-4890</v>
      </c>
      <c r="P358" s="16">
        <f>SUMIFS(O358:O358,E358:E358,"Science",F358:F358,"Completed")</f>
        <v>0</v>
      </c>
      <c r="Q358" s="3" t="str">
        <f>IF(MONTH(E358)&gt;=7, YEAR(E358)&amp;"-"&amp;YEAR(E358)+1, YEAR(E358)-1&amp;"-"&amp;YEAR(E358))</f>
        <v>2022-2023</v>
      </c>
      <c r="R358" s="3"/>
      <c r="S358" s="3"/>
      <c r="T358" s="15" t="str">
        <f t="shared" ca="1" si="5"/>
        <v>0</v>
      </c>
      <c r="U358" s="3"/>
    </row>
    <row r="359" spans="1:21" x14ac:dyDescent="0.35">
      <c r="A359" s="3" t="s">
        <v>739</v>
      </c>
      <c r="B359" s="3" t="s">
        <v>740</v>
      </c>
      <c r="C359" s="3" t="s">
        <v>28</v>
      </c>
      <c r="D359" s="3" t="s">
        <v>62</v>
      </c>
      <c r="E359" s="6">
        <v>45168</v>
      </c>
      <c r="F359" s="3" t="s">
        <v>14</v>
      </c>
      <c r="G359" s="3">
        <v>14408</v>
      </c>
      <c r="H359" s="3">
        <v>9114</v>
      </c>
      <c r="I359" s="3">
        <v>2.0699999999999998</v>
      </c>
      <c r="J359" s="3">
        <v>74</v>
      </c>
      <c r="K359" s="15">
        <f ca="1">IF(F359="Enrolled",TODAY()-E359,"0")</f>
        <v>886</v>
      </c>
      <c r="L359" s="3" t="str">
        <f>IF(I359&gt;=3.5,"Excellent",IF(I359&gt;=3,"Good",IF(I359&gt;=2,"Average","Poor")))</f>
        <v>Average</v>
      </c>
      <c r="M359" s="3" t="str">
        <v>Dr.Sinha</v>
      </c>
      <c r="N359" s="3" t="str">
        <f>IF(H359 &gt; (G359*50%), "Yes", "No")</f>
        <v>Yes</v>
      </c>
      <c r="O359" s="16">
        <f>G359-H359</f>
        <v>5294</v>
      </c>
      <c r="P359" s="16">
        <f>SUMIFS(O359:O359,E359:E359,"Science",F359:F359,"Completed")</f>
        <v>0</v>
      </c>
      <c r="Q359" s="3" t="str">
        <f>IF(MONTH(E359)&gt;=7, YEAR(E359)&amp;"-"&amp;YEAR(E359)+1, YEAR(E359)-1&amp;"-"&amp;YEAR(E359))</f>
        <v>2023-2024</v>
      </c>
      <c r="R359" s="3"/>
      <c r="S359" s="3"/>
      <c r="T359" s="15" t="str">
        <f t="shared" ca="1" si="5"/>
        <v>0</v>
      </c>
      <c r="U359" s="3"/>
    </row>
    <row r="360" spans="1:21" x14ac:dyDescent="0.35">
      <c r="A360" s="3" t="s">
        <v>741</v>
      </c>
      <c r="B360" s="3" t="s">
        <v>742</v>
      </c>
      <c r="C360" s="3" t="s">
        <v>57</v>
      </c>
      <c r="D360" s="3" t="s">
        <v>13</v>
      </c>
      <c r="E360" s="6">
        <v>44860</v>
      </c>
      <c r="F360" s="3" t="s">
        <v>14</v>
      </c>
      <c r="G360" s="3">
        <v>9948</v>
      </c>
      <c r="H360" s="3">
        <v>840</v>
      </c>
      <c r="I360" s="3">
        <v>2.4500000000000002</v>
      </c>
      <c r="J360" s="3">
        <v>9</v>
      </c>
      <c r="K360" s="15">
        <f ca="1">IF(F360="Enrolled",TODAY()-E360,"0")</f>
        <v>1194</v>
      </c>
      <c r="L360" s="3" t="str">
        <f>IF(I360&gt;=3.5,"Excellent",IF(I360&gt;=3,"Good",IF(I360&gt;=2,"Average","Poor")))</f>
        <v>Average</v>
      </c>
      <c r="M360" s="3" t="str">
        <v>Dr.Mehta</v>
      </c>
      <c r="N360" s="3" t="str">
        <f>IF(H360 &gt; (G360*50%), "Yes", "No")</f>
        <v>No</v>
      </c>
      <c r="O360" s="16">
        <f>G360-H360</f>
        <v>9108</v>
      </c>
      <c r="P360" s="16">
        <f>SUMIFS(O360:O360,E360:E360,"Science",F360:F360,"Completed")</f>
        <v>0</v>
      </c>
      <c r="Q360" s="3" t="str">
        <f>IF(MONTH(E360)&gt;=7, YEAR(E360)&amp;"-"&amp;YEAR(E360)+1, YEAR(E360)-1&amp;"-"&amp;YEAR(E360))</f>
        <v>2022-2023</v>
      </c>
      <c r="R360" s="3"/>
      <c r="S360" s="3"/>
      <c r="T360" s="15" t="str">
        <f t="shared" ca="1" si="5"/>
        <v>0</v>
      </c>
      <c r="U360" s="3"/>
    </row>
    <row r="361" spans="1:21" x14ac:dyDescent="0.35">
      <c r="A361" s="3" t="s">
        <v>743</v>
      </c>
      <c r="B361" s="3" t="s">
        <v>744</v>
      </c>
      <c r="C361" s="3" t="s">
        <v>54</v>
      </c>
      <c r="D361" s="3" t="s">
        <v>18</v>
      </c>
      <c r="E361" s="6">
        <v>45289</v>
      </c>
      <c r="F361" s="3" t="s">
        <v>39</v>
      </c>
      <c r="G361" s="3">
        <v>8535</v>
      </c>
      <c r="H361" s="3">
        <v>678</v>
      </c>
      <c r="I361" s="3">
        <v>3.07</v>
      </c>
      <c r="J361" s="3">
        <v>28</v>
      </c>
      <c r="K361" s="15" t="str">
        <f ca="1">IF(F361="Enrolled",TODAY()-E361,"0")</f>
        <v>0</v>
      </c>
      <c r="L361" s="3" t="str">
        <f>IF(I361&gt;=3.5,"Excellent",IF(I361&gt;=3,"Good",IF(I361&gt;=2,"Average","Poor")))</f>
        <v>Good</v>
      </c>
      <c r="M361" s="3" t="str">
        <v>Dr.Roy</v>
      </c>
      <c r="N361" s="3" t="str">
        <f>IF(H361 &gt; (G361*50%), "Yes", "No")</f>
        <v>No</v>
      </c>
      <c r="O361" s="16">
        <f>G361-H361</f>
        <v>7857</v>
      </c>
      <c r="P361" s="16">
        <f>SUMIFS(O361:O361,E361:E361,"Science",F361:F361,"Completed")</f>
        <v>0</v>
      </c>
      <c r="Q361" s="3" t="str">
        <f>IF(MONTH(E361)&gt;=7, YEAR(E361)&amp;"-"&amp;YEAR(E361)+1, YEAR(E361)-1&amp;"-"&amp;YEAR(E361))</f>
        <v>2023-2024</v>
      </c>
      <c r="R361" s="3"/>
      <c r="S361" s="3"/>
      <c r="T361" s="15" t="str">
        <f t="shared" ca="1" si="5"/>
        <v>0</v>
      </c>
      <c r="U361" s="3"/>
    </row>
    <row r="362" spans="1:21" x14ac:dyDescent="0.35">
      <c r="A362" s="3" t="s">
        <v>745</v>
      </c>
      <c r="B362" s="3" t="s">
        <v>746</v>
      </c>
      <c r="C362" s="3" t="s">
        <v>28</v>
      </c>
      <c r="D362" s="3" t="s">
        <v>31</v>
      </c>
      <c r="E362" s="6">
        <v>44729</v>
      </c>
      <c r="F362" s="3" t="s">
        <v>14</v>
      </c>
      <c r="G362" s="3">
        <v>3685</v>
      </c>
      <c r="H362" s="3">
        <v>36</v>
      </c>
      <c r="I362" s="3">
        <v>2.57</v>
      </c>
      <c r="J362" s="3">
        <v>5</v>
      </c>
      <c r="K362" s="15">
        <f ca="1">IF(F362="Enrolled",TODAY()-E362,"0")</f>
        <v>1325</v>
      </c>
      <c r="L362" s="3" t="str">
        <f>IF(I362&gt;=3.5,"Excellent",IF(I362&gt;=3,"Good",IF(I362&gt;=2,"Average","Poor")))</f>
        <v>Average</v>
      </c>
      <c r="M362" s="3" t="str">
        <v>Dr.Sharma</v>
      </c>
      <c r="N362" s="3" t="str">
        <f>IF(H362 &gt; (G362*50%), "Yes", "No")</f>
        <v>No</v>
      </c>
      <c r="O362" s="16">
        <f>G362-H362</f>
        <v>3649</v>
      </c>
      <c r="P362" s="16">
        <f>SUMIFS(O362:O362,E362:E362,"Science",F362:F362,"Completed")</f>
        <v>0</v>
      </c>
      <c r="Q362" s="3" t="str">
        <f>IF(MONTH(E362)&gt;=7, YEAR(E362)&amp;"-"&amp;YEAR(E362)+1, YEAR(E362)-1&amp;"-"&amp;YEAR(E362))</f>
        <v>2021-2022</v>
      </c>
      <c r="R362" s="3"/>
      <c r="S362" s="3"/>
      <c r="T362" s="15" t="str">
        <f t="shared" ca="1" si="5"/>
        <v>0</v>
      </c>
      <c r="U362" s="3"/>
    </row>
    <row r="363" spans="1:21" x14ac:dyDescent="0.35">
      <c r="A363" s="3" t="s">
        <v>747</v>
      </c>
      <c r="B363" s="3" t="s">
        <v>748</v>
      </c>
      <c r="C363" s="3" t="s">
        <v>57</v>
      </c>
      <c r="D363" s="3" t="s">
        <v>62</v>
      </c>
      <c r="E363" s="6">
        <v>45438</v>
      </c>
      <c r="F363" s="3" t="s">
        <v>39</v>
      </c>
      <c r="G363" s="3">
        <v>13540</v>
      </c>
      <c r="H363" s="3">
        <v>3077</v>
      </c>
      <c r="I363" s="3">
        <v>3.69</v>
      </c>
      <c r="J363" s="3">
        <v>62</v>
      </c>
      <c r="K363" s="15" t="str">
        <f ca="1">IF(F363="Enrolled",TODAY()-E363,"0")</f>
        <v>0</v>
      </c>
      <c r="L363" s="3" t="str">
        <f>IF(I363&gt;=3.5,"Excellent",IF(I363&gt;=3,"Good",IF(I363&gt;=2,"Average","Poor")))</f>
        <v>Excellent</v>
      </c>
      <c r="M363" s="3" t="str">
        <v>Dr.Sinha</v>
      </c>
      <c r="N363" s="3" t="str">
        <f>IF(H363 &gt; (G363*50%), "Yes", "No")</f>
        <v>No</v>
      </c>
      <c r="O363" s="16">
        <f>G363-H363</f>
        <v>10463</v>
      </c>
      <c r="P363" s="16">
        <f>SUMIFS(O363:O363,E363:E363,"Science",F363:F363,"Completed")</f>
        <v>0</v>
      </c>
      <c r="Q363" s="3" t="str">
        <f>IF(MONTH(E363)&gt;=7, YEAR(E363)&amp;"-"&amp;YEAR(E363)+1, YEAR(E363)-1&amp;"-"&amp;YEAR(E363))</f>
        <v>2023-2024</v>
      </c>
      <c r="R363" s="3"/>
      <c r="S363" s="3"/>
      <c r="T363" s="15" t="str">
        <f t="shared" ca="1" si="5"/>
        <v>0</v>
      </c>
      <c r="U363" s="3"/>
    </row>
    <row r="364" spans="1:21" x14ac:dyDescent="0.35">
      <c r="A364" s="3" t="s">
        <v>749</v>
      </c>
      <c r="B364" s="3" t="s">
        <v>750</v>
      </c>
      <c r="C364" s="3" t="s">
        <v>25</v>
      </c>
      <c r="D364" s="3" t="s">
        <v>18</v>
      </c>
      <c r="E364" s="6">
        <v>45421</v>
      </c>
      <c r="F364" s="3" t="s">
        <v>19</v>
      </c>
      <c r="G364" s="3">
        <v>14073</v>
      </c>
      <c r="H364" s="3">
        <v>6320</v>
      </c>
      <c r="I364" s="3">
        <v>2.4300000000000002</v>
      </c>
      <c r="J364" s="3">
        <v>3</v>
      </c>
      <c r="K364" s="15" t="str">
        <f ca="1">IF(F364="Enrolled",TODAY()-E364,"0")</f>
        <v>0</v>
      </c>
      <c r="L364" s="3" t="str">
        <f>IF(I364&gt;=3.5,"Excellent",IF(I364&gt;=3,"Good",IF(I364&gt;=2,"Average","Poor")))</f>
        <v>Average</v>
      </c>
      <c r="M364" s="3" t="str">
        <v>Dr.Roy</v>
      </c>
      <c r="N364" s="3" t="str">
        <f>IF(H364 &gt; (G364*50%), "Yes", "No")</f>
        <v>No</v>
      </c>
      <c r="O364" s="16">
        <f>G364-H364</f>
        <v>7753</v>
      </c>
      <c r="P364" s="16">
        <f>SUMIFS(O364:O364,E364:E364,"Science",F364:F364,"Completed")</f>
        <v>0</v>
      </c>
      <c r="Q364" s="3" t="str">
        <f>IF(MONTH(E364)&gt;=7, YEAR(E364)&amp;"-"&amp;YEAR(E364)+1, YEAR(E364)-1&amp;"-"&amp;YEAR(E364))</f>
        <v>2023-2024</v>
      </c>
      <c r="R364" s="3"/>
      <c r="S364" s="3"/>
      <c r="T364" s="15">
        <f t="shared" ca="1" si="5"/>
        <v>633</v>
      </c>
      <c r="U364" s="3"/>
    </row>
    <row r="365" spans="1:21" x14ac:dyDescent="0.35">
      <c r="A365" s="3" t="s">
        <v>751</v>
      </c>
      <c r="B365" s="3" t="s">
        <v>752</v>
      </c>
      <c r="C365" s="3" t="s">
        <v>57</v>
      </c>
      <c r="D365" s="3" t="s">
        <v>31</v>
      </c>
      <c r="E365" s="6">
        <v>45265</v>
      </c>
      <c r="F365" s="3" t="s">
        <v>19</v>
      </c>
      <c r="G365" s="3">
        <v>6665</v>
      </c>
      <c r="H365" s="3">
        <v>2771</v>
      </c>
      <c r="I365" s="3">
        <v>3.28</v>
      </c>
      <c r="J365" s="3">
        <v>66</v>
      </c>
      <c r="K365" s="15" t="str">
        <f ca="1">IF(F365="Enrolled",TODAY()-E365,"0")</f>
        <v>0</v>
      </c>
      <c r="L365" s="3" t="str">
        <f>IF(I365&gt;=3.5,"Excellent",IF(I365&gt;=3,"Good",IF(I365&gt;=2,"Average","Poor")))</f>
        <v>Good</v>
      </c>
      <c r="M365" s="3" t="str">
        <v>Dr.Sharma</v>
      </c>
      <c r="N365" s="3" t="str">
        <f>IF(H365 &gt; (G365*50%), "Yes", "No")</f>
        <v>No</v>
      </c>
      <c r="O365" s="16">
        <f>G365-H365</f>
        <v>3894</v>
      </c>
      <c r="P365" s="16">
        <f>SUMIFS(O365:O365,E365:E365,"Science",F365:F365,"Completed")</f>
        <v>0</v>
      </c>
      <c r="Q365" s="3" t="str">
        <f>IF(MONTH(E365)&gt;=7, YEAR(E365)&amp;"-"&amp;YEAR(E365)+1, YEAR(E365)-1&amp;"-"&amp;YEAR(E365))</f>
        <v>2023-2024</v>
      </c>
      <c r="R365" s="3"/>
      <c r="S365" s="3"/>
      <c r="T365" s="15">
        <f t="shared" ca="1" si="5"/>
        <v>789</v>
      </c>
      <c r="U365" s="3"/>
    </row>
    <row r="366" spans="1:21" x14ac:dyDescent="0.35">
      <c r="A366" s="3" t="s">
        <v>753</v>
      </c>
      <c r="B366" s="3" t="s">
        <v>754</v>
      </c>
      <c r="C366" s="3" t="s">
        <v>22</v>
      </c>
      <c r="D366" s="3" t="s">
        <v>62</v>
      </c>
      <c r="E366" s="6">
        <v>44614</v>
      </c>
      <c r="F366" s="3" t="s">
        <v>14</v>
      </c>
      <c r="G366" s="3">
        <v>7095</v>
      </c>
      <c r="H366" s="3">
        <v>8663</v>
      </c>
      <c r="I366" s="3">
        <v>2.3199999999999998</v>
      </c>
      <c r="J366" s="3">
        <v>98</v>
      </c>
      <c r="K366" s="15">
        <f ca="1">IF(F366="Enrolled",TODAY()-E366,"0")</f>
        <v>1440</v>
      </c>
      <c r="L366" s="3" t="str">
        <f>IF(I366&gt;=3.5,"Excellent",IF(I366&gt;=3,"Good",IF(I366&gt;=2,"Average","Poor")))</f>
        <v>Average</v>
      </c>
      <c r="M366" s="3" t="str">
        <v>Dr.Sinha</v>
      </c>
      <c r="N366" s="3" t="str">
        <f>IF(H366 &gt; (G366*50%), "Yes", "No")</f>
        <v>Yes</v>
      </c>
      <c r="O366" s="16">
        <f>G366-H366</f>
        <v>-1568</v>
      </c>
      <c r="P366" s="16">
        <f>SUMIFS(O366:O366,E366:E366,"Science",F366:F366,"Completed")</f>
        <v>0</v>
      </c>
      <c r="Q366" s="3" t="str">
        <f>IF(MONTH(E366)&gt;=7, YEAR(E366)&amp;"-"&amp;YEAR(E366)+1, YEAR(E366)-1&amp;"-"&amp;YEAR(E366))</f>
        <v>2021-2022</v>
      </c>
      <c r="R366" s="3"/>
      <c r="S366" s="3"/>
      <c r="T366" s="15" t="str">
        <f t="shared" ca="1" si="5"/>
        <v>0</v>
      </c>
      <c r="U366" s="3"/>
    </row>
    <row r="367" spans="1:21" x14ac:dyDescent="0.35">
      <c r="A367" s="3" t="s">
        <v>755</v>
      </c>
      <c r="B367" s="3" t="s">
        <v>756</v>
      </c>
      <c r="C367" s="3" t="s">
        <v>25</v>
      </c>
      <c r="D367" s="3" t="s">
        <v>62</v>
      </c>
      <c r="E367" s="6">
        <v>44826</v>
      </c>
      <c r="F367" s="3" t="s">
        <v>14</v>
      </c>
      <c r="G367" s="3">
        <v>14571</v>
      </c>
      <c r="H367" s="3">
        <v>1629</v>
      </c>
      <c r="I367" s="3">
        <v>2.36</v>
      </c>
      <c r="J367" s="3">
        <v>33</v>
      </c>
      <c r="K367" s="15">
        <f ca="1">IF(F367="Enrolled",TODAY()-E367,"0")</f>
        <v>1228</v>
      </c>
      <c r="L367" s="3" t="str">
        <f>IF(I367&gt;=3.5,"Excellent",IF(I367&gt;=3,"Good",IF(I367&gt;=2,"Average","Poor")))</f>
        <v>Average</v>
      </c>
      <c r="M367" s="3" t="str">
        <v>Dr.Sinha</v>
      </c>
      <c r="N367" s="3" t="str">
        <f>IF(H367 &gt; (G367*50%), "Yes", "No")</f>
        <v>No</v>
      </c>
      <c r="O367" s="16">
        <f>G367-H367</f>
        <v>12942</v>
      </c>
      <c r="P367" s="16">
        <f>SUMIFS(O367:O367,E367:E367,"Science",F367:F367,"Completed")</f>
        <v>0</v>
      </c>
      <c r="Q367" s="3" t="str">
        <f>IF(MONTH(E367)&gt;=7, YEAR(E367)&amp;"-"&amp;YEAR(E367)+1, YEAR(E367)-1&amp;"-"&amp;YEAR(E367))</f>
        <v>2022-2023</v>
      </c>
      <c r="R367" s="3"/>
      <c r="S367" s="3"/>
      <c r="T367" s="15" t="str">
        <f t="shared" ca="1" si="5"/>
        <v>0</v>
      </c>
      <c r="U367" s="3"/>
    </row>
    <row r="368" spans="1:21" x14ac:dyDescent="0.35">
      <c r="A368" s="3" t="s">
        <v>757</v>
      </c>
      <c r="B368" s="3" t="s">
        <v>758</v>
      </c>
      <c r="C368" s="3" t="s">
        <v>25</v>
      </c>
      <c r="D368" s="3" t="s">
        <v>31</v>
      </c>
      <c r="E368" s="6">
        <v>45453</v>
      </c>
      <c r="F368" s="3" t="s">
        <v>39</v>
      </c>
      <c r="G368" s="3">
        <v>10830</v>
      </c>
      <c r="H368" s="3">
        <v>6989</v>
      </c>
      <c r="I368" s="3">
        <v>2.2200000000000002</v>
      </c>
      <c r="J368" s="3">
        <v>83</v>
      </c>
      <c r="K368" s="15" t="str">
        <f ca="1">IF(F368="Enrolled",TODAY()-E368,"0")</f>
        <v>0</v>
      </c>
      <c r="L368" s="3" t="str">
        <f>IF(I368&gt;=3.5,"Excellent",IF(I368&gt;=3,"Good",IF(I368&gt;=2,"Average","Poor")))</f>
        <v>Average</v>
      </c>
      <c r="M368" s="3" t="str">
        <v>Dr.Sharma</v>
      </c>
      <c r="N368" s="3" t="str">
        <f>IF(H368 &gt; (G368*50%), "Yes", "No")</f>
        <v>Yes</v>
      </c>
      <c r="O368" s="16">
        <f>G368-H368</f>
        <v>3841</v>
      </c>
      <c r="P368" s="16">
        <f>SUMIFS(O368:O368,E368:E368,"Science",F368:F368,"Completed")</f>
        <v>0</v>
      </c>
      <c r="Q368" s="3" t="str">
        <f>IF(MONTH(E368)&gt;=7, YEAR(E368)&amp;"-"&amp;YEAR(E368)+1, YEAR(E368)-1&amp;"-"&amp;YEAR(E368))</f>
        <v>2023-2024</v>
      </c>
      <c r="R368" s="3"/>
      <c r="S368" s="3"/>
      <c r="T368" s="15" t="str">
        <f t="shared" ca="1" si="5"/>
        <v>0</v>
      </c>
      <c r="U368" s="3"/>
    </row>
    <row r="369" spans="1:21" x14ac:dyDescent="0.35">
      <c r="A369" s="3" t="s">
        <v>759</v>
      </c>
      <c r="B369" s="3" t="s">
        <v>760</v>
      </c>
      <c r="C369" s="3" t="s">
        <v>12</v>
      </c>
      <c r="D369" s="3" t="s">
        <v>18</v>
      </c>
      <c r="E369" s="6">
        <v>45241</v>
      </c>
      <c r="F369" s="3" t="s">
        <v>39</v>
      </c>
      <c r="G369" s="3">
        <v>8519</v>
      </c>
      <c r="H369" s="3">
        <v>2389</v>
      </c>
      <c r="I369" s="3">
        <v>2.85</v>
      </c>
      <c r="J369" s="3">
        <v>109</v>
      </c>
      <c r="K369" s="15" t="str">
        <f ca="1">IF(F369="Enrolled",TODAY()-E369,"0")</f>
        <v>0</v>
      </c>
      <c r="L369" s="3" t="str">
        <f>IF(I369&gt;=3.5,"Excellent",IF(I369&gt;=3,"Good",IF(I369&gt;=2,"Average","Poor")))</f>
        <v>Average</v>
      </c>
      <c r="M369" s="3" t="str">
        <v>Dr.Roy</v>
      </c>
      <c r="N369" s="3" t="str">
        <f>IF(H369 &gt; (G369*50%), "Yes", "No")</f>
        <v>No</v>
      </c>
      <c r="O369" s="16">
        <f>G369-H369</f>
        <v>6130</v>
      </c>
      <c r="P369" s="16">
        <f>SUMIFS(O369:O369,E369:E369,"Science",F369:F369,"Completed")</f>
        <v>0</v>
      </c>
      <c r="Q369" s="3" t="str">
        <f>IF(MONTH(E369)&gt;=7, YEAR(E369)&amp;"-"&amp;YEAR(E369)+1, YEAR(E369)-1&amp;"-"&amp;YEAR(E369))</f>
        <v>2023-2024</v>
      </c>
      <c r="R369" s="3"/>
      <c r="S369" s="3"/>
      <c r="T369" s="15" t="str">
        <f t="shared" ca="1" si="5"/>
        <v>0</v>
      </c>
      <c r="U369" s="3"/>
    </row>
    <row r="370" spans="1:21" x14ac:dyDescent="0.35">
      <c r="A370" s="3" t="s">
        <v>761</v>
      </c>
      <c r="B370" s="3" t="s">
        <v>762</v>
      </c>
      <c r="C370" s="3" t="s">
        <v>28</v>
      </c>
      <c r="D370" s="3" t="s">
        <v>18</v>
      </c>
      <c r="E370" s="6">
        <v>44721</v>
      </c>
      <c r="F370" s="3" t="s">
        <v>14</v>
      </c>
      <c r="G370" s="3">
        <v>3664</v>
      </c>
      <c r="H370" s="3">
        <v>6430</v>
      </c>
      <c r="I370" s="3">
        <v>3.23</v>
      </c>
      <c r="J370" s="3">
        <v>112</v>
      </c>
      <c r="K370" s="15">
        <f ca="1">IF(F370="Enrolled",TODAY()-E370,"0")</f>
        <v>1333</v>
      </c>
      <c r="L370" s="3" t="str">
        <f>IF(I370&gt;=3.5,"Excellent",IF(I370&gt;=3,"Good",IF(I370&gt;=2,"Average","Poor")))</f>
        <v>Good</v>
      </c>
      <c r="M370" s="3" t="str">
        <v>Dr.Roy</v>
      </c>
      <c r="N370" s="3" t="str">
        <f>IF(H370 &gt; (G370*50%), "Yes", "No")</f>
        <v>Yes</v>
      </c>
      <c r="O370" s="16">
        <f>G370-H370</f>
        <v>-2766</v>
      </c>
      <c r="P370" s="16">
        <f>SUMIFS(O370:O370,E370:E370,"Science",F370:F370,"Completed")</f>
        <v>0</v>
      </c>
      <c r="Q370" s="3" t="str">
        <f>IF(MONTH(E370)&gt;=7, YEAR(E370)&amp;"-"&amp;YEAR(E370)+1, YEAR(E370)-1&amp;"-"&amp;YEAR(E370))</f>
        <v>2021-2022</v>
      </c>
      <c r="R370" s="3"/>
      <c r="S370" s="3"/>
      <c r="T370" s="15" t="str">
        <f t="shared" ca="1" si="5"/>
        <v>0</v>
      </c>
      <c r="U370" s="3"/>
    </row>
    <row r="371" spans="1:21" x14ac:dyDescent="0.35">
      <c r="A371" s="3" t="s">
        <v>763</v>
      </c>
      <c r="B371" s="3" t="s">
        <v>764</v>
      </c>
      <c r="C371" s="3" t="s">
        <v>12</v>
      </c>
      <c r="D371" s="3" t="s">
        <v>18</v>
      </c>
      <c r="E371" s="6">
        <v>44833</v>
      </c>
      <c r="F371" s="3" t="s">
        <v>14</v>
      </c>
      <c r="G371" s="3">
        <v>2185</v>
      </c>
      <c r="H371" s="3">
        <v>9733</v>
      </c>
      <c r="I371" s="3">
        <v>2.1</v>
      </c>
      <c r="J371" s="3">
        <v>21</v>
      </c>
      <c r="K371" s="15">
        <f ca="1">IF(F371="Enrolled",TODAY()-E371,"0")</f>
        <v>1221</v>
      </c>
      <c r="L371" s="3" t="str">
        <f>IF(I371&gt;=3.5,"Excellent",IF(I371&gt;=3,"Good",IF(I371&gt;=2,"Average","Poor")))</f>
        <v>Average</v>
      </c>
      <c r="M371" s="3" t="str">
        <v>Dr.Roy</v>
      </c>
      <c r="N371" s="3" t="str">
        <f>IF(H371 &gt; (G371*50%), "Yes", "No")</f>
        <v>Yes</v>
      </c>
      <c r="O371" s="16">
        <f>G371-H371</f>
        <v>-7548</v>
      </c>
      <c r="P371" s="16">
        <f>SUMIFS(O371:O371,E371:E371,"Science",F371:F371,"Completed")</f>
        <v>0</v>
      </c>
      <c r="Q371" s="3" t="str">
        <f>IF(MONTH(E371)&gt;=7, YEAR(E371)&amp;"-"&amp;YEAR(E371)+1, YEAR(E371)-1&amp;"-"&amp;YEAR(E371))</f>
        <v>2022-2023</v>
      </c>
      <c r="R371" s="3"/>
      <c r="S371" s="3"/>
      <c r="T371" s="15" t="str">
        <f t="shared" ca="1" si="5"/>
        <v>0</v>
      </c>
      <c r="U371" s="3"/>
    </row>
    <row r="372" spans="1:21" x14ac:dyDescent="0.35">
      <c r="A372" s="3" t="s">
        <v>765</v>
      </c>
      <c r="B372" s="3" t="s">
        <v>766</v>
      </c>
      <c r="C372" s="3" t="s">
        <v>17</v>
      </c>
      <c r="D372" s="3" t="s">
        <v>31</v>
      </c>
      <c r="E372" s="6">
        <v>44957</v>
      </c>
      <c r="F372" s="3" t="s">
        <v>14</v>
      </c>
      <c r="G372" s="3">
        <v>14842</v>
      </c>
      <c r="H372" s="3">
        <v>8209</v>
      </c>
      <c r="I372" s="3">
        <v>3.53</v>
      </c>
      <c r="J372" s="3">
        <v>5</v>
      </c>
      <c r="K372" s="15">
        <f ca="1">IF(F372="Enrolled",TODAY()-E372,"0")</f>
        <v>1097</v>
      </c>
      <c r="L372" s="3" t="str">
        <f>IF(I372&gt;=3.5,"Excellent",IF(I372&gt;=3,"Good",IF(I372&gt;=2,"Average","Poor")))</f>
        <v>Excellent</v>
      </c>
      <c r="M372" s="3" t="str">
        <v>Dr.Sharma</v>
      </c>
      <c r="N372" s="3" t="str">
        <f>IF(H372 &gt; (G372*50%), "Yes", "No")</f>
        <v>Yes</v>
      </c>
      <c r="O372" s="16">
        <f>G372-H372</f>
        <v>6633</v>
      </c>
      <c r="P372" s="16">
        <f>SUMIFS(O372:O372,E372:E372,"Science",F372:F372,"Completed")</f>
        <v>0</v>
      </c>
      <c r="Q372" s="3" t="str">
        <f>IF(MONTH(E372)&gt;=7, YEAR(E372)&amp;"-"&amp;YEAR(E372)+1, YEAR(E372)-1&amp;"-"&amp;YEAR(E372))</f>
        <v>2022-2023</v>
      </c>
      <c r="R372" s="3"/>
      <c r="S372" s="3"/>
      <c r="T372" s="15" t="str">
        <f t="shared" ca="1" si="5"/>
        <v>0</v>
      </c>
      <c r="U372" s="3"/>
    </row>
    <row r="373" spans="1:21" x14ac:dyDescent="0.35">
      <c r="A373" s="3" t="s">
        <v>767</v>
      </c>
      <c r="B373" s="3" t="s">
        <v>768</v>
      </c>
      <c r="C373" s="3" t="s">
        <v>12</v>
      </c>
      <c r="D373" s="3" t="s">
        <v>31</v>
      </c>
      <c r="E373" s="6">
        <v>44705</v>
      </c>
      <c r="F373" s="3" t="s">
        <v>19</v>
      </c>
      <c r="G373" s="3">
        <v>4085</v>
      </c>
      <c r="H373" s="3">
        <v>7274</v>
      </c>
      <c r="I373" s="3">
        <v>3.68</v>
      </c>
      <c r="J373" s="3">
        <v>118</v>
      </c>
      <c r="K373" s="15" t="str">
        <f ca="1">IF(F373="Enrolled",TODAY()-E373,"0")</f>
        <v>0</v>
      </c>
      <c r="L373" s="3" t="str">
        <f>IF(I373&gt;=3.5,"Excellent",IF(I373&gt;=3,"Good",IF(I373&gt;=2,"Average","Poor")))</f>
        <v>Excellent</v>
      </c>
      <c r="M373" s="3" t="str">
        <v>Dr.Sharma</v>
      </c>
      <c r="N373" s="3" t="str">
        <f>IF(H373 &gt; (G373*50%), "Yes", "No")</f>
        <v>Yes</v>
      </c>
      <c r="O373" s="16">
        <f>G373-H373</f>
        <v>-3189</v>
      </c>
      <c r="P373" s="16">
        <f>SUMIFS(O373:O373,E373:E373,"Science",F373:F373,"Completed")</f>
        <v>0</v>
      </c>
      <c r="Q373" s="3" t="str">
        <f>IF(MONTH(E373)&gt;=7, YEAR(E373)&amp;"-"&amp;YEAR(E373)+1, YEAR(E373)-1&amp;"-"&amp;YEAR(E373))</f>
        <v>2021-2022</v>
      </c>
      <c r="R373" s="3"/>
      <c r="S373" s="3"/>
      <c r="T373" s="15">
        <f t="shared" ca="1" si="5"/>
        <v>1349</v>
      </c>
      <c r="U373" s="3"/>
    </row>
    <row r="374" spans="1:21" x14ac:dyDescent="0.35">
      <c r="A374" s="3" t="s">
        <v>769</v>
      </c>
      <c r="B374" s="3" t="s">
        <v>770</v>
      </c>
      <c r="C374" s="3" t="s">
        <v>12</v>
      </c>
      <c r="D374" s="3" t="s">
        <v>62</v>
      </c>
      <c r="E374" s="6">
        <v>45408</v>
      </c>
      <c r="F374" s="3" t="s">
        <v>39</v>
      </c>
      <c r="G374" s="3">
        <v>10083</v>
      </c>
      <c r="H374" s="3">
        <v>7627</v>
      </c>
      <c r="I374" s="3">
        <v>3.65</v>
      </c>
      <c r="J374" s="3">
        <v>51</v>
      </c>
      <c r="K374" s="15" t="str">
        <f ca="1">IF(F374="Enrolled",TODAY()-E374,"0")</f>
        <v>0</v>
      </c>
      <c r="L374" s="3" t="str">
        <f>IF(I374&gt;=3.5,"Excellent",IF(I374&gt;=3,"Good",IF(I374&gt;=2,"Average","Poor")))</f>
        <v>Excellent</v>
      </c>
      <c r="M374" s="3" t="str">
        <v>Dr.Sinha</v>
      </c>
      <c r="N374" s="3" t="str">
        <f>IF(H374 &gt; (G374*50%), "Yes", "No")</f>
        <v>Yes</v>
      </c>
      <c r="O374" s="16">
        <f>G374-H374</f>
        <v>2456</v>
      </c>
      <c r="P374" s="16">
        <f>SUMIFS(O374:O374,E374:E374,"Science",F374:F374,"Completed")</f>
        <v>0</v>
      </c>
      <c r="Q374" s="3" t="str">
        <f>IF(MONTH(E374)&gt;=7, YEAR(E374)&amp;"-"&amp;YEAR(E374)+1, YEAR(E374)-1&amp;"-"&amp;YEAR(E374))</f>
        <v>2023-2024</v>
      </c>
      <c r="R374" s="3"/>
      <c r="S374" s="3"/>
      <c r="T374" s="15" t="str">
        <f t="shared" ca="1" si="5"/>
        <v>0</v>
      </c>
      <c r="U374" s="3"/>
    </row>
    <row r="375" spans="1:21" x14ac:dyDescent="0.35">
      <c r="A375" s="3" t="s">
        <v>771</v>
      </c>
      <c r="B375" s="3" t="s">
        <v>772</v>
      </c>
      <c r="C375" s="3" t="s">
        <v>28</v>
      </c>
      <c r="D375" s="3" t="s">
        <v>31</v>
      </c>
      <c r="E375" s="6">
        <v>44818</v>
      </c>
      <c r="F375" s="3" t="s">
        <v>14</v>
      </c>
      <c r="G375" s="3">
        <v>7207</v>
      </c>
      <c r="H375" s="3">
        <v>849</v>
      </c>
      <c r="I375" s="3">
        <v>2.7</v>
      </c>
      <c r="J375" s="3">
        <v>13</v>
      </c>
      <c r="K375" s="15">
        <f ca="1">IF(F375="Enrolled",TODAY()-E375,"0")</f>
        <v>1236</v>
      </c>
      <c r="L375" s="3" t="str">
        <f>IF(I375&gt;=3.5,"Excellent",IF(I375&gt;=3,"Good",IF(I375&gt;=2,"Average","Poor")))</f>
        <v>Average</v>
      </c>
      <c r="M375" s="3" t="str">
        <v>Dr.Sharma</v>
      </c>
      <c r="N375" s="3" t="str">
        <f>IF(H375 &gt; (G375*50%), "Yes", "No")</f>
        <v>No</v>
      </c>
      <c r="O375" s="16">
        <f>G375-H375</f>
        <v>6358</v>
      </c>
      <c r="P375" s="16">
        <f>SUMIFS(O375:O375,E375:E375,"Science",F375:F375,"Completed")</f>
        <v>0</v>
      </c>
      <c r="Q375" s="3" t="str">
        <f>IF(MONTH(E375)&gt;=7, YEAR(E375)&amp;"-"&amp;YEAR(E375)+1, YEAR(E375)-1&amp;"-"&amp;YEAR(E375))</f>
        <v>2022-2023</v>
      </c>
      <c r="R375" s="3"/>
      <c r="S375" s="3"/>
      <c r="T375" s="15" t="str">
        <f t="shared" ca="1" si="5"/>
        <v>0</v>
      </c>
      <c r="U375" s="3"/>
    </row>
    <row r="376" spans="1:21" x14ac:dyDescent="0.35">
      <c r="A376" s="3" t="s">
        <v>773</v>
      </c>
      <c r="B376" s="3" t="s">
        <v>774</v>
      </c>
      <c r="C376" s="3" t="s">
        <v>54</v>
      </c>
      <c r="D376" s="3" t="s">
        <v>18</v>
      </c>
      <c r="E376" s="6">
        <v>44826</v>
      </c>
      <c r="F376" s="3" t="s">
        <v>19</v>
      </c>
      <c r="G376" s="3">
        <v>5212</v>
      </c>
      <c r="H376" s="3">
        <v>8077</v>
      </c>
      <c r="I376" s="3">
        <v>3.84</v>
      </c>
      <c r="J376" s="3">
        <v>107</v>
      </c>
      <c r="K376" s="15" t="str">
        <f ca="1">IF(F376="Enrolled",TODAY()-E376,"0")</f>
        <v>0</v>
      </c>
      <c r="L376" s="3" t="str">
        <f>IF(I376&gt;=3.5,"Excellent",IF(I376&gt;=3,"Good",IF(I376&gt;=2,"Average","Poor")))</f>
        <v>Excellent</v>
      </c>
      <c r="M376" s="3" t="str">
        <v>Dr.Roy</v>
      </c>
      <c r="N376" s="3" t="str">
        <f>IF(H376 &gt; (G376*50%), "Yes", "No")</f>
        <v>Yes</v>
      </c>
      <c r="O376" s="16">
        <f>G376-H376</f>
        <v>-2865</v>
      </c>
      <c r="P376" s="16">
        <f>SUMIFS(O376:O376,E376:E376,"Science",F376:F376,"Completed")</f>
        <v>0</v>
      </c>
      <c r="Q376" s="3" t="str">
        <f>IF(MONTH(E376)&gt;=7, YEAR(E376)&amp;"-"&amp;YEAR(E376)+1, YEAR(E376)-1&amp;"-"&amp;YEAR(E376))</f>
        <v>2022-2023</v>
      </c>
      <c r="R376" s="3"/>
      <c r="S376" s="3"/>
      <c r="T376" s="15">
        <f t="shared" ca="1" si="5"/>
        <v>1228</v>
      </c>
      <c r="U376" s="3"/>
    </row>
    <row r="377" spans="1:21" x14ac:dyDescent="0.35">
      <c r="A377" s="3" t="s">
        <v>775</v>
      </c>
      <c r="B377" s="3" t="s">
        <v>776</v>
      </c>
      <c r="C377" s="3" t="s">
        <v>12</v>
      </c>
      <c r="D377" s="3" t="s">
        <v>31</v>
      </c>
      <c r="E377" s="6">
        <v>44630</v>
      </c>
      <c r="F377" s="3" t="s">
        <v>14</v>
      </c>
      <c r="G377" s="3">
        <v>9737</v>
      </c>
      <c r="H377" s="3">
        <v>4257</v>
      </c>
      <c r="I377" s="3">
        <v>3.43</v>
      </c>
      <c r="J377" s="3">
        <v>47</v>
      </c>
      <c r="K377" s="15">
        <f ca="1">IF(F377="Enrolled",TODAY()-E377,"0")</f>
        <v>1424</v>
      </c>
      <c r="L377" s="3" t="str">
        <f>IF(I377&gt;=3.5,"Excellent",IF(I377&gt;=3,"Good",IF(I377&gt;=2,"Average","Poor")))</f>
        <v>Good</v>
      </c>
      <c r="M377" s="3" t="str">
        <v>Dr.Sharma</v>
      </c>
      <c r="N377" s="3" t="str">
        <f>IF(H377 &gt; (G377*50%), "Yes", "No")</f>
        <v>No</v>
      </c>
      <c r="O377" s="16">
        <f>G377-H377</f>
        <v>5480</v>
      </c>
      <c r="P377" s="16">
        <f>SUMIFS(O377:O377,E377:E377,"Science",F377:F377,"Completed")</f>
        <v>0</v>
      </c>
      <c r="Q377" s="3" t="str">
        <f>IF(MONTH(E377)&gt;=7, YEAR(E377)&amp;"-"&amp;YEAR(E377)+1, YEAR(E377)-1&amp;"-"&amp;YEAR(E377))</f>
        <v>2021-2022</v>
      </c>
      <c r="R377" s="3"/>
      <c r="S377" s="3"/>
      <c r="T377" s="15" t="str">
        <f t="shared" ca="1" si="5"/>
        <v>0</v>
      </c>
      <c r="U377" s="3"/>
    </row>
    <row r="378" spans="1:21" x14ac:dyDescent="0.35">
      <c r="A378" s="3" t="s">
        <v>777</v>
      </c>
      <c r="B378" s="3" t="s">
        <v>778</v>
      </c>
      <c r="C378" s="3" t="s">
        <v>36</v>
      </c>
      <c r="D378" s="3" t="s">
        <v>62</v>
      </c>
      <c r="E378" s="6">
        <v>44616</v>
      </c>
      <c r="F378" s="3" t="s">
        <v>39</v>
      </c>
      <c r="G378" s="3">
        <v>3123</v>
      </c>
      <c r="H378" s="3">
        <v>5542</v>
      </c>
      <c r="I378" s="3">
        <v>3.82</v>
      </c>
      <c r="J378" s="3">
        <v>48</v>
      </c>
      <c r="K378" s="15" t="str">
        <f ca="1">IF(F378="Enrolled",TODAY()-E378,"0")</f>
        <v>0</v>
      </c>
      <c r="L378" s="3" t="str">
        <f>IF(I378&gt;=3.5,"Excellent",IF(I378&gt;=3,"Good",IF(I378&gt;=2,"Average","Poor")))</f>
        <v>Excellent</v>
      </c>
      <c r="M378" s="3" t="str">
        <v>Dr.Sinha</v>
      </c>
      <c r="N378" s="3" t="str">
        <f>IF(H378 &gt; (G378*50%), "Yes", "No")</f>
        <v>Yes</v>
      </c>
      <c r="O378" s="16">
        <f>G378-H378</f>
        <v>-2419</v>
      </c>
      <c r="P378" s="16">
        <f>SUMIFS(O378:O378,E378:E378,"Science",F378:F378,"Completed")</f>
        <v>0</v>
      </c>
      <c r="Q378" s="3" t="str">
        <f>IF(MONTH(E378)&gt;=7, YEAR(E378)&amp;"-"&amp;YEAR(E378)+1, YEAR(E378)-1&amp;"-"&amp;YEAR(E378))</f>
        <v>2021-2022</v>
      </c>
      <c r="R378" s="3"/>
      <c r="S378" s="3"/>
      <c r="T378" s="15" t="str">
        <f t="shared" ca="1" si="5"/>
        <v>0</v>
      </c>
      <c r="U378" s="3"/>
    </row>
    <row r="379" spans="1:21" x14ac:dyDescent="0.35">
      <c r="A379" s="3" t="s">
        <v>779</v>
      </c>
      <c r="B379" s="3" t="s">
        <v>780</v>
      </c>
      <c r="C379" s="3" t="s">
        <v>57</v>
      </c>
      <c r="D379" s="3" t="s">
        <v>13</v>
      </c>
      <c r="E379" s="6">
        <v>45122</v>
      </c>
      <c r="F379" s="3" t="s">
        <v>14</v>
      </c>
      <c r="G379" s="3">
        <v>2497</v>
      </c>
      <c r="H379" s="3">
        <v>7768</v>
      </c>
      <c r="I379" s="3">
        <v>3.66</v>
      </c>
      <c r="J379" s="3">
        <v>56</v>
      </c>
      <c r="K379" s="15">
        <f ca="1">IF(F379="Enrolled",TODAY()-E379,"0")</f>
        <v>932</v>
      </c>
      <c r="L379" s="3" t="str">
        <f>IF(I379&gt;=3.5,"Excellent",IF(I379&gt;=3,"Good",IF(I379&gt;=2,"Average","Poor")))</f>
        <v>Excellent</v>
      </c>
      <c r="M379" s="3" t="str">
        <v>Dr.Mehta</v>
      </c>
      <c r="N379" s="3" t="str">
        <f>IF(H379 &gt; (G379*50%), "Yes", "No")</f>
        <v>Yes</v>
      </c>
      <c r="O379" s="16">
        <f>G379-H379</f>
        <v>-5271</v>
      </c>
      <c r="P379" s="16">
        <f>SUMIFS(O379:O379,E379:E379,"Science",F379:F379,"Completed")</f>
        <v>0</v>
      </c>
      <c r="Q379" s="3" t="str">
        <f>IF(MONTH(E379)&gt;=7, YEAR(E379)&amp;"-"&amp;YEAR(E379)+1, YEAR(E379)-1&amp;"-"&amp;YEAR(E379))</f>
        <v>2023-2024</v>
      </c>
      <c r="R379" s="3"/>
      <c r="S379" s="3"/>
      <c r="T379" s="15" t="str">
        <f t="shared" ca="1" si="5"/>
        <v>0</v>
      </c>
      <c r="U379" s="3"/>
    </row>
    <row r="380" spans="1:21" x14ac:dyDescent="0.35">
      <c r="A380" s="3" t="s">
        <v>781</v>
      </c>
      <c r="B380" s="3" t="s">
        <v>782</v>
      </c>
      <c r="C380" s="3" t="s">
        <v>17</v>
      </c>
      <c r="D380" s="3" t="s">
        <v>18</v>
      </c>
      <c r="E380" s="6">
        <v>45453</v>
      </c>
      <c r="F380" s="3" t="s">
        <v>19</v>
      </c>
      <c r="G380" s="3">
        <v>13114</v>
      </c>
      <c r="H380" s="3">
        <v>5020</v>
      </c>
      <c r="I380" s="3">
        <v>2.78</v>
      </c>
      <c r="J380" s="3">
        <v>67</v>
      </c>
      <c r="K380" s="15" t="str">
        <f ca="1">IF(F380="Enrolled",TODAY()-E380,"0")</f>
        <v>0</v>
      </c>
      <c r="L380" s="3" t="str">
        <f>IF(I380&gt;=3.5,"Excellent",IF(I380&gt;=3,"Good",IF(I380&gt;=2,"Average","Poor")))</f>
        <v>Average</v>
      </c>
      <c r="M380" s="3" t="str">
        <v>Dr.Roy</v>
      </c>
      <c r="N380" s="3" t="str">
        <f>IF(H380 &gt; (G380*50%), "Yes", "No")</f>
        <v>No</v>
      </c>
      <c r="O380" s="16">
        <f>G380-H380</f>
        <v>8094</v>
      </c>
      <c r="P380" s="16">
        <f>SUMIFS(O380:O380,E380:E380,"Science",F380:F380,"Completed")</f>
        <v>0</v>
      </c>
      <c r="Q380" s="3" t="str">
        <f>IF(MONTH(E380)&gt;=7, YEAR(E380)&amp;"-"&amp;YEAR(E380)+1, YEAR(E380)-1&amp;"-"&amp;YEAR(E380))</f>
        <v>2023-2024</v>
      </c>
      <c r="R380" s="3"/>
      <c r="S380" s="3"/>
      <c r="T380" s="15">
        <f t="shared" ca="1" si="5"/>
        <v>601</v>
      </c>
      <c r="U380" s="3"/>
    </row>
    <row r="381" spans="1:21" x14ac:dyDescent="0.35">
      <c r="A381" s="3" t="s">
        <v>783</v>
      </c>
      <c r="B381" s="3" t="s">
        <v>784</v>
      </c>
      <c r="C381" s="3" t="s">
        <v>57</v>
      </c>
      <c r="D381" s="3" t="s">
        <v>62</v>
      </c>
      <c r="E381" s="6">
        <v>44640</v>
      </c>
      <c r="F381" s="3" t="s">
        <v>14</v>
      </c>
      <c r="G381" s="3">
        <v>12549</v>
      </c>
      <c r="H381" s="3">
        <v>5639</v>
      </c>
      <c r="I381" s="3">
        <v>3.36</v>
      </c>
      <c r="J381" s="3">
        <v>38</v>
      </c>
      <c r="K381" s="15">
        <f ca="1">IF(F381="Enrolled",TODAY()-E381,"0")</f>
        <v>1414</v>
      </c>
      <c r="L381" s="3" t="str">
        <f>IF(I381&gt;=3.5,"Excellent",IF(I381&gt;=3,"Good",IF(I381&gt;=2,"Average","Poor")))</f>
        <v>Good</v>
      </c>
      <c r="M381" s="3" t="str">
        <v>Dr.Sinha</v>
      </c>
      <c r="N381" s="3" t="str">
        <f>IF(H381 &gt; (G381*50%), "Yes", "No")</f>
        <v>No</v>
      </c>
      <c r="O381" s="16">
        <f>G381-H381</f>
        <v>6910</v>
      </c>
      <c r="P381" s="16">
        <f>SUMIFS(O381:O381,E381:E381,"Science",F381:F381,"Completed")</f>
        <v>0</v>
      </c>
      <c r="Q381" s="3" t="str">
        <f>IF(MONTH(E381)&gt;=7, YEAR(E381)&amp;"-"&amp;YEAR(E381)+1, YEAR(E381)-1&amp;"-"&amp;YEAR(E381))</f>
        <v>2021-2022</v>
      </c>
      <c r="R381" s="3"/>
      <c r="S381" s="3"/>
      <c r="T381" s="15" t="str">
        <f t="shared" ca="1" si="5"/>
        <v>0</v>
      </c>
      <c r="U381" s="3"/>
    </row>
    <row r="382" spans="1:21" x14ac:dyDescent="0.35">
      <c r="A382" s="3" t="s">
        <v>785</v>
      </c>
      <c r="B382" s="3" t="s">
        <v>786</v>
      </c>
      <c r="C382" s="3" t="s">
        <v>12</v>
      </c>
      <c r="D382" s="3" t="s">
        <v>31</v>
      </c>
      <c r="E382" s="6">
        <v>45061</v>
      </c>
      <c r="F382" s="3" t="s">
        <v>14</v>
      </c>
      <c r="G382" s="3">
        <v>11461</v>
      </c>
      <c r="H382" s="3">
        <v>6852</v>
      </c>
      <c r="I382" s="3">
        <v>2.88</v>
      </c>
      <c r="J382" s="3">
        <v>73</v>
      </c>
      <c r="K382" s="15">
        <f ca="1">IF(F382="Enrolled",TODAY()-E382,"0")</f>
        <v>993</v>
      </c>
      <c r="L382" s="3" t="str">
        <f>IF(I382&gt;=3.5,"Excellent",IF(I382&gt;=3,"Good",IF(I382&gt;=2,"Average","Poor")))</f>
        <v>Average</v>
      </c>
      <c r="M382" s="3" t="str">
        <v>Dr.Sharma</v>
      </c>
      <c r="N382" s="3" t="str">
        <f>IF(H382 &gt; (G382*50%), "Yes", "No")</f>
        <v>Yes</v>
      </c>
      <c r="O382" s="16">
        <f>G382-H382</f>
        <v>4609</v>
      </c>
      <c r="P382" s="16">
        <f>SUMIFS(O382:O382,E382:E382,"Science",F382:F382,"Completed")</f>
        <v>0</v>
      </c>
      <c r="Q382" s="3" t="str">
        <f>IF(MONTH(E382)&gt;=7, YEAR(E382)&amp;"-"&amp;YEAR(E382)+1, YEAR(E382)-1&amp;"-"&amp;YEAR(E382))</f>
        <v>2022-2023</v>
      </c>
      <c r="R382" s="3"/>
      <c r="S382" s="3"/>
      <c r="T382" s="15" t="str">
        <f t="shared" ca="1" si="5"/>
        <v>0</v>
      </c>
      <c r="U382" s="3"/>
    </row>
    <row r="383" spans="1:21" x14ac:dyDescent="0.35">
      <c r="A383" s="3" t="s">
        <v>787</v>
      </c>
      <c r="B383" s="3" t="s">
        <v>788</v>
      </c>
      <c r="C383" s="3" t="s">
        <v>12</v>
      </c>
      <c r="D383" s="3" t="s">
        <v>31</v>
      </c>
      <c r="E383" s="6">
        <v>45068</v>
      </c>
      <c r="F383" s="3" t="s">
        <v>39</v>
      </c>
      <c r="G383" s="3">
        <v>13551</v>
      </c>
      <c r="H383" s="3">
        <v>1986</v>
      </c>
      <c r="I383" s="3">
        <v>3.86</v>
      </c>
      <c r="J383" s="3">
        <v>5</v>
      </c>
      <c r="K383" s="15" t="str">
        <f ca="1">IF(F383="Enrolled",TODAY()-E383,"0")</f>
        <v>0</v>
      </c>
      <c r="L383" s="3" t="str">
        <f>IF(I383&gt;=3.5,"Excellent",IF(I383&gt;=3,"Good",IF(I383&gt;=2,"Average","Poor")))</f>
        <v>Excellent</v>
      </c>
      <c r="M383" s="3" t="str">
        <v>Dr.Sharma</v>
      </c>
      <c r="N383" s="3" t="str">
        <f>IF(H383 &gt; (G383*50%), "Yes", "No")</f>
        <v>No</v>
      </c>
      <c r="O383" s="16">
        <f>G383-H383</f>
        <v>11565</v>
      </c>
      <c r="P383" s="16">
        <f>SUMIFS(O383:O383,E383:E383,"Science",F383:F383,"Completed")</f>
        <v>0</v>
      </c>
      <c r="Q383" s="3" t="str">
        <f>IF(MONTH(E383)&gt;=7, YEAR(E383)&amp;"-"&amp;YEAR(E383)+1, YEAR(E383)-1&amp;"-"&amp;YEAR(E383))</f>
        <v>2022-2023</v>
      </c>
      <c r="R383" s="3"/>
      <c r="S383" s="3"/>
      <c r="T383" s="15" t="str">
        <f t="shared" ca="1" si="5"/>
        <v>0</v>
      </c>
      <c r="U383" s="3"/>
    </row>
    <row r="384" spans="1:21" x14ac:dyDescent="0.35">
      <c r="A384" s="3" t="s">
        <v>789</v>
      </c>
      <c r="B384" s="3" t="s">
        <v>790</v>
      </c>
      <c r="C384" s="3" t="s">
        <v>22</v>
      </c>
      <c r="D384" s="3" t="s">
        <v>13</v>
      </c>
      <c r="E384" s="6">
        <v>44967</v>
      </c>
      <c r="F384" s="3" t="s">
        <v>39</v>
      </c>
      <c r="G384" s="3">
        <v>13139</v>
      </c>
      <c r="H384" s="3">
        <v>2798</v>
      </c>
      <c r="I384" s="3">
        <v>2.63</v>
      </c>
      <c r="J384" s="3">
        <v>119</v>
      </c>
      <c r="K384" s="15" t="str">
        <f ca="1">IF(F384="Enrolled",TODAY()-E384,"0")</f>
        <v>0</v>
      </c>
      <c r="L384" s="3" t="str">
        <f>IF(I384&gt;=3.5,"Excellent",IF(I384&gt;=3,"Good",IF(I384&gt;=2,"Average","Poor")))</f>
        <v>Average</v>
      </c>
      <c r="M384" s="3" t="str">
        <v>Dr.Mehta</v>
      </c>
      <c r="N384" s="3" t="str">
        <f>IF(H384 &gt; (G384*50%), "Yes", "No")</f>
        <v>No</v>
      </c>
      <c r="O384" s="16">
        <f>G384-H384</f>
        <v>10341</v>
      </c>
      <c r="P384" s="16">
        <f>SUMIFS(O384:O384,E384:E384,"Science",F384:F384,"Completed")</f>
        <v>0</v>
      </c>
      <c r="Q384" s="3" t="str">
        <f>IF(MONTH(E384)&gt;=7, YEAR(E384)&amp;"-"&amp;YEAR(E384)+1, YEAR(E384)-1&amp;"-"&amp;YEAR(E384))</f>
        <v>2022-2023</v>
      </c>
      <c r="R384" s="3"/>
      <c r="S384" s="3"/>
      <c r="T384" s="15" t="str">
        <f t="shared" ca="1" si="5"/>
        <v>0</v>
      </c>
      <c r="U384" s="3"/>
    </row>
    <row r="385" spans="1:21" x14ac:dyDescent="0.35">
      <c r="A385" s="3" t="s">
        <v>791</v>
      </c>
      <c r="B385" s="3" t="s">
        <v>792</v>
      </c>
      <c r="C385" s="3" t="s">
        <v>36</v>
      </c>
      <c r="D385" s="3" t="s">
        <v>13</v>
      </c>
      <c r="E385" s="6">
        <v>45163</v>
      </c>
      <c r="F385" s="3" t="s">
        <v>14</v>
      </c>
      <c r="G385" s="3">
        <v>4092</v>
      </c>
      <c r="H385" s="3">
        <v>8499</v>
      </c>
      <c r="I385" s="3">
        <v>3.48</v>
      </c>
      <c r="J385" s="3">
        <v>69</v>
      </c>
      <c r="K385" s="15">
        <f ca="1">IF(F385="Enrolled",TODAY()-E385,"0")</f>
        <v>891</v>
      </c>
      <c r="L385" s="3" t="str">
        <f>IF(I385&gt;=3.5,"Excellent",IF(I385&gt;=3,"Good",IF(I385&gt;=2,"Average","Poor")))</f>
        <v>Good</v>
      </c>
      <c r="M385" s="3" t="str">
        <v>Dr.Mehta</v>
      </c>
      <c r="N385" s="3" t="str">
        <f>IF(H385 &gt; (G385*50%), "Yes", "No")</f>
        <v>Yes</v>
      </c>
      <c r="O385" s="16">
        <f>G385-H385</f>
        <v>-4407</v>
      </c>
      <c r="P385" s="16">
        <f>SUMIFS(O385:O385,E385:E385,"Science",F385:F385,"Completed")</f>
        <v>0</v>
      </c>
      <c r="Q385" s="3" t="str">
        <f>IF(MONTH(E385)&gt;=7, YEAR(E385)&amp;"-"&amp;YEAR(E385)+1, YEAR(E385)-1&amp;"-"&amp;YEAR(E385))</f>
        <v>2023-2024</v>
      </c>
      <c r="R385" s="3"/>
      <c r="S385" s="3"/>
      <c r="T385" s="15" t="str">
        <f t="shared" ca="1" si="5"/>
        <v>0</v>
      </c>
      <c r="U385" s="3"/>
    </row>
    <row r="386" spans="1:21" x14ac:dyDescent="0.35">
      <c r="A386" s="3" t="s">
        <v>793</v>
      </c>
      <c r="B386" s="3" t="s">
        <v>794</v>
      </c>
      <c r="C386" s="3" t="s">
        <v>28</v>
      </c>
      <c r="D386" s="3" t="s">
        <v>62</v>
      </c>
      <c r="E386" s="6">
        <v>44726</v>
      </c>
      <c r="F386" s="3" t="s">
        <v>19</v>
      </c>
      <c r="G386" s="3">
        <v>2153</v>
      </c>
      <c r="H386" s="3">
        <v>7439</v>
      </c>
      <c r="I386" s="3">
        <v>3.76</v>
      </c>
      <c r="J386" s="3">
        <v>30</v>
      </c>
      <c r="K386" s="15" t="str">
        <f ca="1">IF(F386="Enrolled",TODAY()-E386,"0")</f>
        <v>0</v>
      </c>
      <c r="L386" s="3" t="str">
        <f>IF(I386&gt;=3.5,"Excellent",IF(I386&gt;=3,"Good",IF(I386&gt;=2,"Average","Poor")))</f>
        <v>Excellent</v>
      </c>
      <c r="M386" s="3" t="str">
        <v>Dr.Sinha</v>
      </c>
      <c r="N386" s="3" t="str">
        <f>IF(H386 &gt; (G386*50%), "Yes", "No")</f>
        <v>Yes</v>
      </c>
      <c r="O386" s="16">
        <f>G386-H386</f>
        <v>-5286</v>
      </c>
      <c r="P386" s="16">
        <f>SUMIFS(O386:O386,E386:E386,"Science",F386:F386,"Completed")</f>
        <v>0</v>
      </c>
      <c r="Q386" s="3" t="str">
        <f>IF(MONTH(E386)&gt;=7, YEAR(E386)&amp;"-"&amp;YEAR(E386)+1, YEAR(E386)-1&amp;"-"&amp;YEAR(E386))</f>
        <v>2021-2022</v>
      </c>
      <c r="R386" s="3"/>
      <c r="S386" s="3"/>
      <c r="T386" s="15">
        <f t="shared" ca="1" si="5"/>
        <v>1328</v>
      </c>
      <c r="U386" s="3"/>
    </row>
    <row r="387" spans="1:21" x14ac:dyDescent="0.35">
      <c r="A387" s="3" t="s">
        <v>795</v>
      </c>
      <c r="B387" s="3" t="s">
        <v>796</v>
      </c>
      <c r="C387" s="3" t="s">
        <v>36</v>
      </c>
      <c r="D387" s="3" t="s">
        <v>31</v>
      </c>
      <c r="E387" s="6">
        <v>44676</v>
      </c>
      <c r="F387" s="3" t="s">
        <v>14</v>
      </c>
      <c r="G387" s="3">
        <v>8339</v>
      </c>
      <c r="H387" s="3">
        <v>9829</v>
      </c>
      <c r="I387" s="3">
        <v>2.34</v>
      </c>
      <c r="J387" s="3">
        <v>116</v>
      </c>
      <c r="K387" s="15">
        <f ca="1">IF(F387="Enrolled",TODAY()-E387,"0")</f>
        <v>1378</v>
      </c>
      <c r="L387" s="3" t="str">
        <f>IF(I387&gt;=3.5,"Excellent",IF(I387&gt;=3,"Good",IF(I387&gt;=2,"Average","Poor")))</f>
        <v>Average</v>
      </c>
      <c r="M387" s="3" t="str">
        <v>Dr.Sharma</v>
      </c>
      <c r="N387" s="3" t="str">
        <f>IF(H387 &gt; (G387*50%), "Yes", "No")</f>
        <v>Yes</v>
      </c>
      <c r="O387" s="16">
        <f>G387-H387</f>
        <v>-1490</v>
      </c>
      <c r="P387" s="16">
        <f>SUMIFS(O387:O387,E387:E387,"Science",F387:F387,"Completed")</f>
        <v>0</v>
      </c>
      <c r="Q387" s="3" t="str">
        <f>IF(MONTH(E387)&gt;=7, YEAR(E387)&amp;"-"&amp;YEAR(E387)+1, YEAR(E387)-1&amp;"-"&amp;YEAR(E387))</f>
        <v>2021-2022</v>
      </c>
      <c r="R387" s="3"/>
      <c r="S387" s="3"/>
      <c r="T387" s="15" t="str">
        <f t="shared" ref="T387:T450" ca="1" si="6">IF(F387="Completed",TODAY()-E387,"0")</f>
        <v>0</v>
      </c>
      <c r="U387" s="3"/>
    </row>
    <row r="388" spans="1:21" x14ac:dyDescent="0.35">
      <c r="A388" s="3" t="s">
        <v>797</v>
      </c>
      <c r="B388" s="3" t="s">
        <v>798</v>
      </c>
      <c r="C388" s="3" t="s">
        <v>54</v>
      </c>
      <c r="D388" s="3" t="s">
        <v>13</v>
      </c>
      <c r="E388" s="6">
        <v>44629</v>
      </c>
      <c r="F388" s="3" t="s">
        <v>14</v>
      </c>
      <c r="G388" s="3">
        <v>11121</v>
      </c>
      <c r="H388" s="3">
        <v>2183</v>
      </c>
      <c r="I388" s="3">
        <v>2.99</v>
      </c>
      <c r="J388" s="3">
        <v>42</v>
      </c>
      <c r="K388" s="15">
        <f ca="1">IF(F388="Enrolled",TODAY()-E388,"0")</f>
        <v>1425</v>
      </c>
      <c r="L388" s="3" t="str">
        <f>IF(I388&gt;=3.5,"Excellent",IF(I388&gt;=3,"Good",IF(I388&gt;=2,"Average","Poor")))</f>
        <v>Average</v>
      </c>
      <c r="M388" s="3" t="str">
        <v>Dr.Mehta</v>
      </c>
      <c r="N388" s="3" t="str">
        <f>IF(H388 &gt; (G388*50%), "Yes", "No")</f>
        <v>No</v>
      </c>
      <c r="O388" s="16">
        <f>G388-H388</f>
        <v>8938</v>
      </c>
      <c r="P388" s="16">
        <f>SUMIFS(O388:O388,E388:E388,"Science",F388:F388,"Completed")</f>
        <v>0</v>
      </c>
      <c r="Q388" s="3" t="str">
        <f>IF(MONTH(E388)&gt;=7, YEAR(E388)&amp;"-"&amp;YEAR(E388)+1, YEAR(E388)-1&amp;"-"&amp;YEAR(E388))</f>
        <v>2021-2022</v>
      </c>
      <c r="R388" s="3"/>
      <c r="S388" s="3"/>
      <c r="T388" s="15" t="str">
        <f t="shared" ca="1" si="6"/>
        <v>0</v>
      </c>
      <c r="U388" s="3"/>
    </row>
    <row r="389" spans="1:21" x14ac:dyDescent="0.35">
      <c r="A389" s="3" t="s">
        <v>799</v>
      </c>
      <c r="B389" s="3" t="s">
        <v>800</v>
      </c>
      <c r="C389" s="3" t="s">
        <v>57</v>
      </c>
      <c r="D389" s="3" t="s">
        <v>31</v>
      </c>
      <c r="E389" s="6">
        <v>44741</v>
      </c>
      <c r="F389" s="3" t="s">
        <v>14</v>
      </c>
      <c r="G389" s="3">
        <v>7432</v>
      </c>
      <c r="H389" s="3">
        <v>7205</v>
      </c>
      <c r="I389" s="3">
        <v>3.64</v>
      </c>
      <c r="J389" s="3">
        <v>8</v>
      </c>
      <c r="K389" s="15">
        <f ca="1">IF(F389="Enrolled",TODAY()-E389,"0")</f>
        <v>1313</v>
      </c>
      <c r="L389" s="3" t="str">
        <f>IF(I389&gt;=3.5,"Excellent",IF(I389&gt;=3,"Good",IF(I389&gt;=2,"Average","Poor")))</f>
        <v>Excellent</v>
      </c>
      <c r="M389" s="3" t="str">
        <v>Dr.Sharma</v>
      </c>
      <c r="N389" s="3" t="str">
        <f>IF(H389 &gt; (G389*50%), "Yes", "No")</f>
        <v>Yes</v>
      </c>
      <c r="O389" s="16">
        <f>G389-H389</f>
        <v>227</v>
      </c>
      <c r="P389" s="16">
        <f>SUMIFS(O389:O389,E389:E389,"Science",F389:F389,"Completed")</f>
        <v>0</v>
      </c>
      <c r="Q389" s="3" t="str">
        <f>IF(MONTH(E389)&gt;=7, YEAR(E389)&amp;"-"&amp;YEAR(E389)+1, YEAR(E389)-1&amp;"-"&amp;YEAR(E389))</f>
        <v>2021-2022</v>
      </c>
      <c r="R389" s="3"/>
      <c r="S389" s="3"/>
      <c r="T389" s="15" t="str">
        <f t="shared" ca="1" si="6"/>
        <v>0</v>
      </c>
      <c r="U389" s="3"/>
    </row>
    <row r="390" spans="1:21" x14ac:dyDescent="0.35">
      <c r="A390" s="3" t="s">
        <v>801</v>
      </c>
      <c r="B390" s="3" t="s">
        <v>802</v>
      </c>
      <c r="C390" s="3" t="s">
        <v>36</v>
      </c>
      <c r="D390" s="3" t="s">
        <v>62</v>
      </c>
      <c r="E390" s="6">
        <v>44873</v>
      </c>
      <c r="F390" s="3" t="s">
        <v>14</v>
      </c>
      <c r="G390" s="3">
        <v>3537</v>
      </c>
      <c r="H390" s="3">
        <v>1875</v>
      </c>
      <c r="I390" s="3">
        <v>2.87</v>
      </c>
      <c r="J390" s="3">
        <v>19</v>
      </c>
      <c r="K390" s="15">
        <f ca="1">IF(F390="Enrolled",TODAY()-E390,"0")</f>
        <v>1181</v>
      </c>
      <c r="L390" s="3" t="str">
        <f>IF(I390&gt;=3.5,"Excellent",IF(I390&gt;=3,"Good",IF(I390&gt;=2,"Average","Poor")))</f>
        <v>Average</v>
      </c>
      <c r="M390" s="3" t="str">
        <v>Dr.Sinha</v>
      </c>
      <c r="N390" s="3" t="str">
        <f>IF(H390 &gt; (G390*50%), "Yes", "No")</f>
        <v>Yes</v>
      </c>
      <c r="O390" s="16">
        <f>G390-H390</f>
        <v>1662</v>
      </c>
      <c r="P390" s="16">
        <f>SUMIFS(O390:O390,E390:E390,"Science",F390:F390,"Completed")</f>
        <v>0</v>
      </c>
      <c r="Q390" s="3" t="str">
        <f>IF(MONTH(E390)&gt;=7, YEAR(E390)&amp;"-"&amp;YEAR(E390)+1, YEAR(E390)-1&amp;"-"&amp;YEAR(E390))</f>
        <v>2022-2023</v>
      </c>
      <c r="R390" s="3"/>
      <c r="S390" s="3"/>
      <c r="T390" s="15" t="str">
        <f t="shared" ca="1" si="6"/>
        <v>0</v>
      </c>
      <c r="U390" s="3"/>
    </row>
    <row r="391" spans="1:21" x14ac:dyDescent="0.35">
      <c r="A391" s="3" t="s">
        <v>803</v>
      </c>
      <c r="B391" s="3" t="s">
        <v>804</v>
      </c>
      <c r="C391" s="3" t="s">
        <v>28</v>
      </c>
      <c r="D391" s="3" t="s">
        <v>31</v>
      </c>
      <c r="E391" s="6">
        <v>44668</v>
      </c>
      <c r="F391" s="3" t="s">
        <v>14</v>
      </c>
      <c r="G391" s="3">
        <v>9228</v>
      </c>
      <c r="H391" s="3">
        <v>1359</v>
      </c>
      <c r="I391" s="3">
        <v>2.4</v>
      </c>
      <c r="J391" s="3">
        <v>81</v>
      </c>
      <c r="K391" s="15">
        <f ca="1">IF(F391="Enrolled",TODAY()-E391,"0")</f>
        <v>1386</v>
      </c>
      <c r="L391" s="3" t="str">
        <f>IF(I391&gt;=3.5,"Excellent",IF(I391&gt;=3,"Good",IF(I391&gt;=2,"Average","Poor")))</f>
        <v>Average</v>
      </c>
      <c r="M391" s="3" t="str">
        <v>Dr.Sharma</v>
      </c>
      <c r="N391" s="3" t="str">
        <f>IF(H391 &gt; (G391*50%), "Yes", "No")</f>
        <v>No</v>
      </c>
      <c r="O391" s="16">
        <f>G391-H391</f>
        <v>7869</v>
      </c>
      <c r="P391" s="16">
        <f>SUMIFS(O391:O391,E391:E391,"Science",F391:F391,"Completed")</f>
        <v>0</v>
      </c>
      <c r="Q391" s="3" t="str">
        <f>IF(MONTH(E391)&gt;=7, YEAR(E391)&amp;"-"&amp;YEAR(E391)+1, YEAR(E391)-1&amp;"-"&amp;YEAR(E391))</f>
        <v>2021-2022</v>
      </c>
      <c r="R391" s="3"/>
      <c r="S391" s="3"/>
      <c r="T391" s="15" t="str">
        <f t="shared" ca="1" si="6"/>
        <v>0</v>
      </c>
      <c r="U391" s="3"/>
    </row>
    <row r="392" spans="1:21" x14ac:dyDescent="0.35">
      <c r="A392" s="3" t="s">
        <v>805</v>
      </c>
      <c r="B392" s="3" t="s">
        <v>806</v>
      </c>
      <c r="C392" s="3" t="s">
        <v>36</v>
      </c>
      <c r="D392" s="3" t="s">
        <v>13</v>
      </c>
      <c r="E392" s="6">
        <v>44918</v>
      </c>
      <c r="F392" s="3" t="s">
        <v>19</v>
      </c>
      <c r="G392" s="3">
        <v>13877</v>
      </c>
      <c r="H392" s="3">
        <v>6447</v>
      </c>
      <c r="I392" s="3">
        <v>2.34</v>
      </c>
      <c r="J392" s="3">
        <v>69</v>
      </c>
      <c r="K392" s="15" t="str">
        <f ca="1">IF(F392="Enrolled",TODAY()-E392,"0")</f>
        <v>0</v>
      </c>
      <c r="L392" s="3" t="str">
        <f>IF(I392&gt;=3.5,"Excellent",IF(I392&gt;=3,"Good",IF(I392&gt;=2,"Average","Poor")))</f>
        <v>Average</v>
      </c>
      <c r="M392" s="3" t="str">
        <v>Dr.Mehta</v>
      </c>
      <c r="N392" s="3" t="str">
        <f>IF(H392 &gt; (G392*50%), "Yes", "No")</f>
        <v>No</v>
      </c>
      <c r="O392" s="16">
        <f>G392-H392</f>
        <v>7430</v>
      </c>
      <c r="P392" s="16">
        <f>SUMIFS(O392:O392,E392:E392,"Science",F392:F392,"Completed")</f>
        <v>0</v>
      </c>
      <c r="Q392" s="3" t="str">
        <f>IF(MONTH(E392)&gt;=7, YEAR(E392)&amp;"-"&amp;YEAR(E392)+1, YEAR(E392)-1&amp;"-"&amp;YEAR(E392))</f>
        <v>2022-2023</v>
      </c>
      <c r="R392" s="3"/>
      <c r="S392" s="3"/>
      <c r="T392" s="15">
        <f t="shared" ca="1" si="6"/>
        <v>1136</v>
      </c>
      <c r="U392" s="3"/>
    </row>
    <row r="393" spans="1:21" x14ac:dyDescent="0.35">
      <c r="A393" s="3" t="s">
        <v>807</v>
      </c>
      <c r="B393" s="3" t="s">
        <v>808</v>
      </c>
      <c r="C393" s="3" t="s">
        <v>36</v>
      </c>
      <c r="D393" s="3" t="s">
        <v>18</v>
      </c>
      <c r="E393" s="6">
        <v>45112</v>
      </c>
      <c r="F393" s="3" t="s">
        <v>14</v>
      </c>
      <c r="G393" s="3">
        <v>10582</v>
      </c>
      <c r="H393" s="3">
        <v>7243</v>
      </c>
      <c r="I393" s="3">
        <v>2.41</v>
      </c>
      <c r="J393" s="3">
        <v>10</v>
      </c>
      <c r="K393" s="15">
        <f ca="1">IF(F393="Enrolled",TODAY()-E393,"0")</f>
        <v>942</v>
      </c>
      <c r="L393" s="3" t="str">
        <f>IF(I393&gt;=3.5,"Excellent",IF(I393&gt;=3,"Good",IF(I393&gt;=2,"Average","Poor")))</f>
        <v>Average</v>
      </c>
      <c r="M393" s="3" t="str">
        <v>Dr.Roy</v>
      </c>
      <c r="N393" s="3" t="str">
        <f>IF(H393 &gt; (G393*50%), "Yes", "No")</f>
        <v>Yes</v>
      </c>
      <c r="O393" s="16">
        <f>G393-H393</f>
        <v>3339</v>
      </c>
      <c r="P393" s="16">
        <f>SUMIFS(O393:O393,E393:E393,"Science",F393:F393,"Completed")</f>
        <v>0</v>
      </c>
      <c r="Q393" s="3" t="str">
        <f>IF(MONTH(E393)&gt;=7, YEAR(E393)&amp;"-"&amp;YEAR(E393)+1, YEAR(E393)-1&amp;"-"&amp;YEAR(E393))</f>
        <v>2023-2024</v>
      </c>
      <c r="R393" s="3"/>
      <c r="S393" s="3"/>
      <c r="T393" s="15" t="str">
        <f t="shared" ca="1" si="6"/>
        <v>0</v>
      </c>
      <c r="U393" s="3"/>
    </row>
    <row r="394" spans="1:21" x14ac:dyDescent="0.35">
      <c r="A394" s="3" t="s">
        <v>809</v>
      </c>
      <c r="B394" s="3" t="s">
        <v>810</v>
      </c>
      <c r="C394" s="3" t="s">
        <v>57</v>
      </c>
      <c r="D394" s="3" t="s">
        <v>13</v>
      </c>
      <c r="E394" s="6">
        <v>45324</v>
      </c>
      <c r="F394" s="3" t="s">
        <v>14</v>
      </c>
      <c r="G394" s="3">
        <v>11913</v>
      </c>
      <c r="H394" s="3">
        <v>1193</v>
      </c>
      <c r="I394" s="3">
        <v>3.95</v>
      </c>
      <c r="J394" s="3">
        <v>92</v>
      </c>
      <c r="K394" s="15">
        <f ca="1">IF(F394="Enrolled",TODAY()-E394,"0")</f>
        <v>730</v>
      </c>
      <c r="L394" s="3" t="str">
        <f>IF(I394&gt;=3.5,"Excellent",IF(I394&gt;=3,"Good",IF(I394&gt;=2,"Average","Poor")))</f>
        <v>Excellent</v>
      </c>
      <c r="M394" s="3" t="str">
        <v>Dr.Mehta</v>
      </c>
      <c r="N394" s="3" t="str">
        <f>IF(H394 &gt; (G394*50%), "Yes", "No")</f>
        <v>No</v>
      </c>
      <c r="O394" s="16">
        <f>G394-H394</f>
        <v>10720</v>
      </c>
      <c r="P394" s="16">
        <f>SUMIFS(O394:O394,E394:E394,"Science",F394:F394,"Completed")</f>
        <v>0</v>
      </c>
      <c r="Q394" s="3" t="str">
        <f>IF(MONTH(E394)&gt;=7, YEAR(E394)&amp;"-"&amp;YEAR(E394)+1, YEAR(E394)-1&amp;"-"&amp;YEAR(E394))</f>
        <v>2023-2024</v>
      </c>
      <c r="R394" s="3"/>
      <c r="S394" s="3"/>
      <c r="T394" s="15" t="str">
        <f t="shared" ca="1" si="6"/>
        <v>0</v>
      </c>
      <c r="U394" s="3"/>
    </row>
    <row r="395" spans="1:21" x14ac:dyDescent="0.35">
      <c r="A395" s="3" t="s">
        <v>811</v>
      </c>
      <c r="B395" s="3" t="s">
        <v>812</v>
      </c>
      <c r="C395" s="3" t="s">
        <v>17</v>
      </c>
      <c r="D395" s="3" t="s">
        <v>62</v>
      </c>
      <c r="E395" s="6">
        <v>45102</v>
      </c>
      <c r="F395" s="3" t="s">
        <v>14</v>
      </c>
      <c r="G395" s="3">
        <v>4298</v>
      </c>
      <c r="H395" s="3">
        <v>6092</v>
      </c>
      <c r="I395" s="3">
        <v>3.4</v>
      </c>
      <c r="J395" s="3">
        <v>5</v>
      </c>
      <c r="K395" s="15">
        <f ca="1">IF(F395="Enrolled",TODAY()-E395,"0")</f>
        <v>952</v>
      </c>
      <c r="L395" s="3" t="str">
        <f>IF(I395&gt;=3.5,"Excellent",IF(I395&gt;=3,"Good",IF(I395&gt;=2,"Average","Poor")))</f>
        <v>Good</v>
      </c>
      <c r="M395" s="3" t="str">
        <v>Dr.Sinha</v>
      </c>
      <c r="N395" s="3" t="str">
        <f>IF(H395 &gt; (G395*50%), "Yes", "No")</f>
        <v>Yes</v>
      </c>
      <c r="O395" s="16">
        <f>G395-H395</f>
        <v>-1794</v>
      </c>
      <c r="P395" s="16">
        <f>SUMIFS(O395:O395,E395:E395,"Science",F395:F395,"Completed")</f>
        <v>0</v>
      </c>
      <c r="Q395" s="3" t="str">
        <f>IF(MONTH(E395)&gt;=7, YEAR(E395)&amp;"-"&amp;YEAR(E395)+1, YEAR(E395)-1&amp;"-"&amp;YEAR(E395))</f>
        <v>2022-2023</v>
      </c>
      <c r="R395" s="3"/>
      <c r="S395" s="3"/>
      <c r="T395" s="15" t="str">
        <f t="shared" ca="1" si="6"/>
        <v>0</v>
      </c>
      <c r="U395" s="3"/>
    </row>
    <row r="396" spans="1:21" x14ac:dyDescent="0.35">
      <c r="A396" s="3" t="s">
        <v>813</v>
      </c>
      <c r="B396" s="3" t="s">
        <v>814</v>
      </c>
      <c r="C396" s="3" t="s">
        <v>57</v>
      </c>
      <c r="D396" s="3" t="s">
        <v>13</v>
      </c>
      <c r="E396" s="6">
        <v>44576</v>
      </c>
      <c r="F396" s="3" t="s">
        <v>14</v>
      </c>
      <c r="G396" s="3">
        <v>4756</v>
      </c>
      <c r="H396" s="3">
        <v>7006</v>
      </c>
      <c r="I396" s="3">
        <v>3.99</v>
      </c>
      <c r="J396" s="3">
        <v>105</v>
      </c>
      <c r="K396" s="15">
        <f ca="1">IF(F396="Enrolled",TODAY()-E396,"0")</f>
        <v>1478</v>
      </c>
      <c r="L396" s="3" t="str">
        <f>IF(I396&gt;=3.5,"Excellent",IF(I396&gt;=3,"Good",IF(I396&gt;=2,"Average","Poor")))</f>
        <v>Excellent</v>
      </c>
      <c r="M396" s="3" t="str">
        <v>Dr.Mehta</v>
      </c>
      <c r="N396" s="3" t="str">
        <f>IF(H396 &gt; (G396*50%), "Yes", "No")</f>
        <v>Yes</v>
      </c>
      <c r="O396" s="16">
        <f>G396-H396</f>
        <v>-2250</v>
      </c>
      <c r="P396" s="16">
        <f>SUMIFS(O396:O396,E396:E396,"Science",F396:F396,"Completed")</f>
        <v>0</v>
      </c>
      <c r="Q396" s="3" t="str">
        <f>IF(MONTH(E396)&gt;=7, YEAR(E396)&amp;"-"&amp;YEAR(E396)+1, YEAR(E396)-1&amp;"-"&amp;YEAR(E396))</f>
        <v>2021-2022</v>
      </c>
      <c r="R396" s="3"/>
      <c r="S396" s="3"/>
      <c r="T396" s="15" t="str">
        <f t="shared" ca="1" si="6"/>
        <v>0</v>
      </c>
      <c r="U396" s="3"/>
    </row>
    <row r="397" spans="1:21" x14ac:dyDescent="0.35">
      <c r="A397" s="3" t="s">
        <v>815</v>
      </c>
      <c r="B397" s="3" t="s">
        <v>816</v>
      </c>
      <c r="C397" s="3" t="s">
        <v>36</v>
      </c>
      <c r="D397" s="3" t="s">
        <v>13</v>
      </c>
      <c r="E397" s="6">
        <v>44882</v>
      </c>
      <c r="F397" s="3" t="s">
        <v>14</v>
      </c>
      <c r="G397" s="3">
        <v>3656</v>
      </c>
      <c r="H397" s="3">
        <v>2681</v>
      </c>
      <c r="I397" s="3">
        <v>3.13</v>
      </c>
      <c r="J397" s="3">
        <v>100</v>
      </c>
      <c r="K397" s="15">
        <f ca="1">IF(F397="Enrolled",TODAY()-E397,"0")</f>
        <v>1172</v>
      </c>
      <c r="L397" s="3" t="str">
        <f>IF(I397&gt;=3.5,"Excellent",IF(I397&gt;=3,"Good",IF(I397&gt;=2,"Average","Poor")))</f>
        <v>Good</v>
      </c>
      <c r="M397" s="3" t="str">
        <v>Dr.Mehta</v>
      </c>
      <c r="N397" s="3" t="str">
        <f>IF(H397 &gt; (G397*50%), "Yes", "No")</f>
        <v>Yes</v>
      </c>
      <c r="O397" s="16">
        <f>G397-H397</f>
        <v>975</v>
      </c>
      <c r="P397" s="16">
        <f>SUMIFS(O397:O397,E397:E397,"Science",F397:F397,"Completed")</f>
        <v>0</v>
      </c>
      <c r="Q397" s="3" t="str">
        <f>IF(MONTH(E397)&gt;=7, YEAR(E397)&amp;"-"&amp;YEAR(E397)+1, YEAR(E397)-1&amp;"-"&amp;YEAR(E397))</f>
        <v>2022-2023</v>
      </c>
      <c r="R397" s="3"/>
      <c r="S397" s="3"/>
      <c r="T397" s="15" t="str">
        <f t="shared" ca="1" si="6"/>
        <v>0</v>
      </c>
      <c r="U397" s="3"/>
    </row>
    <row r="398" spans="1:21" x14ac:dyDescent="0.35">
      <c r="A398" s="3" t="s">
        <v>817</v>
      </c>
      <c r="B398" s="3" t="s">
        <v>818</v>
      </c>
      <c r="C398" s="3" t="s">
        <v>54</v>
      </c>
      <c r="D398" s="3" t="s">
        <v>62</v>
      </c>
      <c r="E398" s="6">
        <v>44846</v>
      </c>
      <c r="F398" s="3" t="s">
        <v>19</v>
      </c>
      <c r="G398" s="3">
        <v>10433</v>
      </c>
      <c r="H398" s="3">
        <v>4525</v>
      </c>
      <c r="I398" s="3">
        <v>3.29</v>
      </c>
      <c r="J398" s="3">
        <v>108</v>
      </c>
      <c r="K398" s="15" t="str">
        <f ca="1">IF(F398="Enrolled",TODAY()-E398,"0")</f>
        <v>0</v>
      </c>
      <c r="L398" s="3" t="str">
        <f>IF(I398&gt;=3.5,"Excellent",IF(I398&gt;=3,"Good",IF(I398&gt;=2,"Average","Poor")))</f>
        <v>Good</v>
      </c>
      <c r="M398" s="3" t="str">
        <v>Dr.Sinha</v>
      </c>
      <c r="N398" s="3" t="str">
        <f>IF(H398 &gt; (G398*50%), "Yes", "No")</f>
        <v>No</v>
      </c>
      <c r="O398" s="16">
        <f>G398-H398</f>
        <v>5908</v>
      </c>
      <c r="P398" s="16">
        <f>SUMIFS(O398:O398,E398:E398,"Science",F398:F398,"Completed")</f>
        <v>0</v>
      </c>
      <c r="Q398" s="3" t="str">
        <f>IF(MONTH(E398)&gt;=7, YEAR(E398)&amp;"-"&amp;YEAR(E398)+1, YEAR(E398)-1&amp;"-"&amp;YEAR(E398))</f>
        <v>2022-2023</v>
      </c>
      <c r="R398" s="3"/>
      <c r="S398" s="3"/>
      <c r="T398" s="15">
        <f t="shared" ca="1" si="6"/>
        <v>1208</v>
      </c>
      <c r="U398" s="3"/>
    </row>
    <row r="399" spans="1:21" x14ac:dyDescent="0.35">
      <c r="A399" s="3" t="s">
        <v>819</v>
      </c>
      <c r="B399" s="3" t="s">
        <v>820</v>
      </c>
      <c r="C399" s="3" t="s">
        <v>12</v>
      </c>
      <c r="D399" s="3" t="s">
        <v>62</v>
      </c>
      <c r="E399" s="6">
        <v>44945</v>
      </c>
      <c r="F399" s="3" t="s">
        <v>14</v>
      </c>
      <c r="G399" s="3">
        <v>7176</v>
      </c>
      <c r="H399" s="3">
        <v>6289</v>
      </c>
      <c r="I399" s="3">
        <v>2.74</v>
      </c>
      <c r="J399" s="3">
        <v>8</v>
      </c>
      <c r="K399" s="15">
        <f ca="1">IF(F399="Enrolled",TODAY()-E399,"0")</f>
        <v>1109</v>
      </c>
      <c r="L399" s="3" t="str">
        <f>IF(I399&gt;=3.5,"Excellent",IF(I399&gt;=3,"Good",IF(I399&gt;=2,"Average","Poor")))</f>
        <v>Average</v>
      </c>
      <c r="M399" s="3" t="str">
        <v>Dr.Sinha</v>
      </c>
      <c r="N399" s="3" t="str">
        <f>IF(H399 &gt; (G399*50%), "Yes", "No")</f>
        <v>Yes</v>
      </c>
      <c r="O399" s="16">
        <f>G399-H399</f>
        <v>887</v>
      </c>
      <c r="P399" s="16">
        <f>SUMIFS(O399:O399,E399:E399,"Science",F399:F399,"Completed")</f>
        <v>0</v>
      </c>
      <c r="Q399" s="3" t="str">
        <f>IF(MONTH(E399)&gt;=7, YEAR(E399)&amp;"-"&amp;YEAR(E399)+1, YEAR(E399)-1&amp;"-"&amp;YEAR(E399))</f>
        <v>2022-2023</v>
      </c>
      <c r="R399" s="3"/>
      <c r="S399" s="3"/>
      <c r="T399" s="15" t="str">
        <f t="shared" ca="1" si="6"/>
        <v>0</v>
      </c>
      <c r="U399" s="3"/>
    </row>
    <row r="400" spans="1:21" x14ac:dyDescent="0.35">
      <c r="A400" s="3" t="s">
        <v>821</v>
      </c>
      <c r="B400" s="3" t="s">
        <v>822</v>
      </c>
      <c r="C400" s="3" t="s">
        <v>12</v>
      </c>
      <c r="D400" s="3" t="s">
        <v>31</v>
      </c>
      <c r="E400" s="6">
        <v>45209</v>
      </c>
      <c r="F400" s="3" t="s">
        <v>19</v>
      </c>
      <c r="G400" s="3">
        <v>4923</v>
      </c>
      <c r="H400" s="3">
        <v>4054</v>
      </c>
      <c r="I400" s="3">
        <v>2.95</v>
      </c>
      <c r="J400" s="3">
        <v>47</v>
      </c>
      <c r="K400" s="15" t="str">
        <f ca="1">IF(F400="Enrolled",TODAY()-E400,"0")</f>
        <v>0</v>
      </c>
      <c r="L400" s="3" t="str">
        <f>IF(I400&gt;=3.5,"Excellent",IF(I400&gt;=3,"Good",IF(I400&gt;=2,"Average","Poor")))</f>
        <v>Average</v>
      </c>
      <c r="M400" s="3" t="str">
        <v>Dr.Sharma</v>
      </c>
      <c r="N400" s="3" t="str">
        <f>IF(H400 &gt; (G400*50%), "Yes", "No")</f>
        <v>Yes</v>
      </c>
      <c r="O400" s="16">
        <f>G400-H400</f>
        <v>869</v>
      </c>
      <c r="P400" s="16">
        <f>SUMIFS(O400:O400,E400:E400,"Science",F400:F400,"Completed")</f>
        <v>0</v>
      </c>
      <c r="Q400" s="3" t="str">
        <f>IF(MONTH(E400)&gt;=7, YEAR(E400)&amp;"-"&amp;YEAR(E400)+1, YEAR(E400)-1&amp;"-"&amp;YEAR(E400))</f>
        <v>2023-2024</v>
      </c>
      <c r="R400" s="3"/>
      <c r="S400" s="3"/>
      <c r="T400" s="15">
        <f t="shared" ca="1" si="6"/>
        <v>845</v>
      </c>
      <c r="U400" s="3"/>
    </row>
    <row r="401" spans="1:21" x14ac:dyDescent="0.35">
      <c r="A401" s="3" t="s">
        <v>823</v>
      </c>
      <c r="B401" s="3" t="s">
        <v>824</v>
      </c>
      <c r="C401" s="3" t="s">
        <v>25</v>
      </c>
      <c r="D401" s="3" t="s">
        <v>18</v>
      </c>
      <c r="E401" s="6">
        <v>45169</v>
      </c>
      <c r="F401" s="3" t="s">
        <v>14</v>
      </c>
      <c r="G401" s="3">
        <v>11530</v>
      </c>
      <c r="H401" s="3">
        <v>8184</v>
      </c>
      <c r="I401" s="3">
        <v>2.92</v>
      </c>
      <c r="J401" s="3">
        <v>39</v>
      </c>
      <c r="K401" s="15">
        <f ca="1">IF(F401="Enrolled",TODAY()-E401,"0")</f>
        <v>885</v>
      </c>
      <c r="L401" s="3" t="str">
        <f>IF(I401&gt;=3.5,"Excellent",IF(I401&gt;=3,"Good",IF(I401&gt;=2,"Average","Poor")))</f>
        <v>Average</v>
      </c>
      <c r="M401" s="3" t="str">
        <v>Dr.Roy</v>
      </c>
      <c r="N401" s="3" t="str">
        <f>IF(H401 &gt; (G401*50%), "Yes", "No")</f>
        <v>Yes</v>
      </c>
      <c r="O401" s="16">
        <f>G401-H401</f>
        <v>3346</v>
      </c>
      <c r="P401" s="16">
        <f>SUMIFS(O401:O401,E401:E401,"Science",F401:F401,"Completed")</f>
        <v>0</v>
      </c>
      <c r="Q401" s="3" t="str">
        <f>IF(MONTH(E401)&gt;=7, YEAR(E401)&amp;"-"&amp;YEAR(E401)+1, YEAR(E401)-1&amp;"-"&amp;YEAR(E401))</f>
        <v>2023-2024</v>
      </c>
      <c r="R401" s="3"/>
      <c r="S401" s="3"/>
      <c r="T401" s="15" t="str">
        <f t="shared" ca="1" si="6"/>
        <v>0</v>
      </c>
      <c r="U401" s="3"/>
    </row>
    <row r="402" spans="1:21" x14ac:dyDescent="0.35">
      <c r="A402" s="3" t="s">
        <v>825</v>
      </c>
      <c r="B402" s="3" t="s">
        <v>826</v>
      </c>
      <c r="C402" s="3" t="s">
        <v>36</v>
      </c>
      <c r="D402" s="3" t="s">
        <v>18</v>
      </c>
      <c r="E402" s="6">
        <v>44882</v>
      </c>
      <c r="F402" s="3" t="s">
        <v>14</v>
      </c>
      <c r="G402" s="3">
        <v>8885</v>
      </c>
      <c r="H402" s="3">
        <v>7872</v>
      </c>
      <c r="I402" s="3">
        <v>3.05</v>
      </c>
      <c r="J402" s="3">
        <v>90</v>
      </c>
      <c r="K402" s="15">
        <f ca="1">IF(F402="Enrolled",TODAY()-E402,"0")</f>
        <v>1172</v>
      </c>
      <c r="L402" s="3" t="str">
        <f>IF(I402&gt;=3.5,"Excellent",IF(I402&gt;=3,"Good",IF(I402&gt;=2,"Average","Poor")))</f>
        <v>Good</v>
      </c>
      <c r="M402" s="3" t="str">
        <v>Dr.Roy</v>
      </c>
      <c r="N402" s="3" t="str">
        <f>IF(H402 &gt; (G402*50%), "Yes", "No")</f>
        <v>Yes</v>
      </c>
      <c r="O402" s="16">
        <f>G402-H402</f>
        <v>1013</v>
      </c>
      <c r="P402" s="16">
        <f>SUMIFS(O402:O402,E402:E402,"Science",F402:F402,"Completed")</f>
        <v>0</v>
      </c>
      <c r="Q402" s="3" t="str">
        <f>IF(MONTH(E402)&gt;=7, YEAR(E402)&amp;"-"&amp;YEAR(E402)+1, YEAR(E402)-1&amp;"-"&amp;YEAR(E402))</f>
        <v>2022-2023</v>
      </c>
      <c r="R402" s="3"/>
      <c r="S402" s="3"/>
      <c r="T402" s="15" t="str">
        <f t="shared" ca="1" si="6"/>
        <v>0</v>
      </c>
      <c r="U402" s="3"/>
    </row>
    <row r="403" spans="1:21" x14ac:dyDescent="0.35">
      <c r="A403" s="3" t="s">
        <v>827</v>
      </c>
      <c r="B403" s="3" t="s">
        <v>828</v>
      </c>
      <c r="C403" s="3" t="s">
        <v>54</v>
      </c>
      <c r="D403" s="3" t="s">
        <v>31</v>
      </c>
      <c r="E403" s="6">
        <v>45451</v>
      </c>
      <c r="F403" s="3" t="s">
        <v>14</v>
      </c>
      <c r="G403" s="3">
        <v>10284</v>
      </c>
      <c r="H403" s="3">
        <v>3331</v>
      </c>
      <c r="I403" s="3">
        <v>2.88</v>
      </c>
      <c r="J403" s="3">
        <v>39</v>
      </c>
      <c r="K403" s="15">
        <f ca="1">IF(F403="Enrolled",TODAY()-E403,"0")</f>
        <v>603</v>
      </c>
      <c r="L403" s="3" t="str">
        <f>IF(I403&gt;=3.5,"Excellent",IF(I403&gt;=3,"Good",IF(I403&gt;=2,"Average","Poor")))</f>
        <v>Average</v>
      </c>
      <c r="M403" s="3" t="str">
        <v>Dr.Sharma</v>
      </c>
      <c r="N403" s="3" t="str">
        <f>IF(H403 &gt; (G403*50%), "Yes", "No")</f>
        <v>No</v>
      </c>
      <c r="O403" s="16">
        <f>G403-H403</f>
        <v>6953</v>
      </c>
      <c r="P403" s="16">
        <f>SUMIFS(O403:O403,E403:E403,"Science",F403:F403,"Completed")</f>
        <v>0</v>
      </c>
      <c r="Q403" s="3" t="str">
        <f>IF(MONTH(E403)&gt;=7, YEAR(E403)&amp;"-"&amp;YEAR(E403)+1, YEAR(E403)-1&amp;"-"&amp;YEAR(E403))</f>
        <v>2023-2024</v>
      </c>
      <c r="R403" s="3"/>
      <c r="S403" s="3"/>
      <c r="T403" s="15" t="str">
        <f t="shared" ca="1" si="6"/>
        <v>0</v>
      </c>
      <c r="U403" s="3"/>
    </row>
    <row r="404" spans="1:21" x14ac:dyDescent="0.35">
      <c r="A404" s="3" t="s">
        <v>829</v>
      </c>
      <c r="B404" s="3" t="s">
        <v>830</v>
      </c>
      <c r="C404" s="3" t="s">
        <v>36</v>
      </c>
      <c r="D404" s="3" t="s">
        <v>62</v>
      </c>
      <c r="E404" s="6">
        <v>44995</v>
      </c>
      <c r="F404" s="3" t="s">
        <v>19</v>
      </c>
      <c r="G404" s="3">
        <v>3783</v>
      </c>
      <c r="H404" s="3">
        <v>2017</v>
      </c>
      <c r="I404" s="3">
        <v>3.28</v>
      </c>
      <c r="J404" s="3">
        <v>88</v>
      </c>
      <c r="K404" s="15" t="str">
        <f ca="1">IF(F404="Enrolled",TODAY()-E404,"0")</f>
        <v>0</v>
      </c>
      <c r="L404" s="3" t="str">
        <f>IF(I404&gt;=3.5,"Excellent",IF(I404&gt;=3,"Good",IF(I404&gt;=2,"Average","Poor")))</f>
        <v>Good</v>
      </c>
      <c r="M404" s="3" t="str">
        <v>Dr.Sinha</v>
      </c>
      <c r="N404" s="3" t="str">
        <f>IF(H404 &gt; (G404*50%), "Yes", "No")</f>
        <v>Yes</v>
      </c>
      <c r="O404" s="16">
        <f>G404-H404</f>
        <v>1766</v>
      </c>
      <c r="P404" s="16">
        <f>SUMIFS(O404:O404,E404:E404,"Science",F404:F404,"Completed")</f>
        <v>0</v>
      </c>
      <c r="Q404" s="3" t="str">
        <f>IF(MONTH(E404)&gt;=7, YEAR(E404)&amp;"-"&amp;YEAR(E404)+1, YEAR(E404)-1&amp;"-"&amp;YEAR(E404))</f>
        <v>2022-2023</v>
      </c>
      <c r="R404" s="3"/>
      <c r="S404" s="3"/>
      <c r="T404" s="15">
        <f t="shared" ca="1" si="6"/>
        <v>1059</v>
      </c>
      <c r="U404" s="3"/>
    </row>
    <row r="405" spans="1:21" x14ac:dyDescent="0.35">
      <c r="A405" s="3" t="s">
        <v>831</v>
      </c>
      <c r="B405" s="3" t="s">
        <v>832</v>
      </c>
      <c r="C405" s="3" t="s">
        <v>57</v>
      </c>
      <c r="D405" s="3" t="s">
        <v>31</v>
      </c>
      <c r="E405" s="6">
        <v>45263</v>
      </c>
      <c r="F405" s="3" t="s">
        <v>39</v>
      </c>
      <c r="G405" s="3">
        <v>2286</v>
      </c>
      <c r="H405" s="3">
        <v>5321</v>
      </c>
      <c r="I405" s="3">
        <v>2.81</v>
      </c>
      <c r="J405" s="3">
        <v>111</v>
      </c>
      <c r="K405" s="15" t="str">
        <f ca="1">IF(F405="Enrolled",TODAY()-E405,"0")</f>
        <v>0</v>
      </c>
      <c r="L405" s="3" t="str">
        <f>IF(I405&gt;=3.5,"Excellent",IF(I405&gt;=3,"Good",IF(I405&gt;=2,"Average","Poor")))</f>
        <v>Average</v>
      </c>
      <c r="M405" s="3" t="str">
        <v>Dr.Sharma</v>
      </c>
      <c r="N405" s="3" t="str">
        <f>IF(H405 &gt; (G405*50%), "Yes", "No")</f>
        <v>Yes</v>
      </c>
      <c r="O405" s="16">
        <f>G405-H405</f>
        <v>-3035</v>
      </c>
      <c r="P405" s="16">
        <f>SUMIFS(O405:O405,E405:E405,"Science",F405:F405,"Completed")</f>
        <v>0</v>
      </c>
      <c r="Q405" s="3" t="str">
        <f>IF(MONTH(E405)&gt;=7, YEAR(E405)&amp;"-"&amp;YEAR(E405)+1, YEAR(E405)-1&amp;"-"&amp;YEAR(E405))</f>
        <v>2023-2024</v>
      </c>
      <c r="R405" s="3"/>
      <c r="S405" s="3"/>
      <c r="T405" s="15" t="str">
        <f t="shared" ca="1" si="6"/>
        <v>0</v>
      </c>
      <c r="U405" s="3"/>
    </row>
    <row r="406" spans="1:21" x14ac:dyDescent="0.35">
      <c r="A406" s="3" t="s">
        <v>833</v>
      </c>
      <c r="B406" s="3" t="s">
        <v>834</v>
      </c>
      <c r="C406" s="3" t="s">
        <v>28</v>
      </c>
      <c r="D406" s="3" t="s">
        <v>13</v>
      </c>
      <c r="E406" s="6">
        <v>44916</v>
      </c>
      <c r="F406" s="3" t="s">
        <v>14</v>
      </c>
      <c r="G406" s="3">
        <v>6531</v>
      </c>
      <c r="H406" s="3">
        <v>6344</v>
      </c>
      <c r="I406" s="3">
        <v>3.86</v>
      </c>
      <c r="J406" s="3">
        <v>36</v>
      </c>
      <c r="K406" s="15">
        <f ca="1">IF(F406="Enrolled",TODAY()-E406,"0")</f>
        <v>1138</v>
      </c>
      <c r="L406" s="3" t="str">
        <f>IF(I406&gt;=3.5,"Excellent",IF(I406&gt;=3,"Good",IF(I406&gt;=2,"Average","Poor")))</f>
        <v>Excellent</v>
      </c>
      <c r="M406" s="3" t="str">
        <v>Dr.Mehta</v>
      </c>
      <c r="N406" s="3" t="str">
        <f>IF(H406 &gt; (G406*50%), "Yes", "No")</f>
        <v>Yes</v>
      </c>
      <c r="O406" s="16">
        <f>G406-H406</f>
        <v>187</v>
      </c>
      <c r="P406" s="16">
        <f>SUMIFS(O406:O406,E406:E406,"Science",F406:F406,"Completed")</f>
        <v>0</v>
      </c>
      <c r="Q406" s="3" t="str">
        <f>IF(MONTH(E406)&gt;=7, YEAR(E406)&amp;"-"&amp;YEAR(E406)+1, YEAR(E406)-1&amp;"-"&amp;YEAR(E406))</f>
        <v>2022-2023</v>
      </c>
      <c r="R406" s="3"/>
      <c r="S406" s="3"/>
      <c r="T406" s="15" t="str">
        <f t="shared" ca="1" si="6"/>
        <v>0</v>
      </c>
      <c r="U406" s="3"/>
    </row>
    <row r="407" spans="1:21" x14ac:dyDescent="0.35">
      <c r="A407" s="3" t="s">
        <v>835</v>
      </c>
      <c r="B407" s="3" t="s">
        <v>836</v>
      </c>
      <c r="C407" s="3" t="s">
        <v>28</v>
      </c>
      <c r="D407" s="3" t="s">
        <v>13</v>
      </c>
      <c r="E407" s="6">
        <v>44674</v>
      </c>
      <c r="F407" s="3" t="s">
        <v>14</v>
      </c>
      <c r="G407" s="3">
        <v>5496</v>
      </c>
      <c r="H407" s="3">
        <v>3092</v>
      </c>
      <c r="I407" s="3">
        <v>3.83</v>
      </c>
      <c r="J407" s="3">
        <v>71</v>
      </c>
      <c r="K407" s="15">
        <f ca="1">IF(F407="Enrolled",TODAY()-E407,"0")</f>
        <v>1380</v>
      </c>
      <c r="L407" s="3" t="str">
        <f>IF(I407&gt;=3.5,"Excellent",IF(I407&gt;=3,"Good",IF(I407&gt;=2,"Average","Poor")))</f>
        <v>Excellent</v>
      </c>
      <c r="M407" s="3" t="str">
        <v>Dr.Mehta</v>
      </c>
      <c r="N407" s="3" t="str">
        <f>IF(H407 &gt; (G407*50%), "Yes", "No")</f>
        <v>Yes</v>
      </c>
      <c r="O407" s="16">
        <f>G407-H407</f>
        <v>2404</v>
      </c>
      <c r="P407" s="16">
        <f>SUMIFS(O407:O407,E407:E407,"Science",F407:F407,"Completed")</f>
        <v>0</v>
      </c>
      <c r="Q407" s="3" t="str">
        <f>IF(MONTH(E407)&gt;=7, YEAR(E407)&amp;"-"&amp;YEAR(E407)+1, YEAR(E407)-1&amp;"-"&amp;YEAR(E407))</f>
        <v>2021-2022</v>
      </c>
      <c r="R407" s="3"/>
      <c r="S407" s="3"/>
      <c r="T407" s="15" t="str">
        <f t="shared" ca="1" si="6"/>
        <v>0</v>
      </c>
      <c r="U407" s="3"/>
    </row>
    <row r="408" spans="1:21" x14ac:dyDescent="0.35">
      <c r="A408" s="3" t="s">
        <v>837</v>
      </c>
      <c r="B408" s="3" t="s">
        <v>838</v>
      </c>
      <c r="C408" s="3" t="s">
        <v>54</v>
      </c>
      <c r="D408" s="3" t="s">
        <v>13</v>
      </c>
      <c r="E408" s="6">
        <v>44681</v>
      </c>
      <c r="F408" s="3" t="s">
        <v>14</v>
      </c>
      <c r="G408" s="3">
        <v>8341</v>
      </c>
      <c r="H408" s="3">
        <v>2639</v>
      </c>
      <c r="I408" s="3">
        <v>3.15</v>
      </c>
      <c r="J408" s="3">
        <v>39</v>
      </c>
      <c r="K408" s="15">
        <f ca="1">IF(F408="Enrolled",TODAY()-E408,"0")</f>
        <v>1373</v>
      </c>
      <c r="L408" s="3" t="str">
        <f>IF(I408&gt;=3.5,"Excellent",IF(I408&gt;=3,"Good",IF(I408&gt;=2,"Average","Poor")))</f>
        <v>Good</v>
      </c>
      <c r="M408" s="3" t="str">
        <v>Dr.Mehta</v>
      </c>
      <c r="N408" s="3" t="str">
        <f>IF(H408 &gt; (G408*50%), "Yes", "No")</f>
        <v>No</v>
      </c>
      <c r="O408" s="16">
        <f>G408-H408</f>
        <v>5702</v>
      </c>
      <c r="P408" s="16">
        <f>SUMIFS(O408:O408,E408:E408,"Science",F408:F408,"Completed")</f>
        <v>0</v>
      </c>
      <c r="Q408" s="3" t="str">
        <f>IF(MONTH(E408)&gt;=7, YEAR(E408)&amp;"-"&amp;YEAR(E408)+1, YEAR(E408)-1&amp;"-"&amp;YEAR(E408))</f>
        <v>2021-2022</v>
      </c>
      <c r="R408" s="3"/>
      <c r="S408" s="3"/>
      <c r="T408" s="15" t="str">
        <f t="shared" ca="1" si="6"/>
        <v>0</v>
      </c>
      <c r="U408" s="3"/>
    </row>
    <row r="409" spans="1:21" x14ac:dyDescent="0.35">
      <c r="A409" s="3" t="s">
        <v>839</v>
      </c>
      <c r="B409" s="3" t="s">
        <v>840</v>
      </c>
      <c r="C409" s="3" t="s">
        <v>54</v>
      </c>
      <c r="D409" s="3" t="s">
        <v>18</v>
      </c>
      <c r="E409" s="6">
        <v>44767</v>
      </c>
      <c r="F409" s="3" t="s">
        <v>19</v>
      </c>
      <c r="G409" s="3">
        <v>3900</v>
      </c>
      <c r="H409" s="3">
        <v>8192</v>
      </c>
      <c r="I409" s="3">
        <v>3.46</v>
      </c>
      <c r="J409" s="3">
        <v>1</v>
      </c>
      <c r="K409" s="15" t="str">
        <f ca="1">IF(F409="Enrolled",TODAY()-E409,"0")</f>
        <v>0</v>
      </c>
      <c r="L409" s="3" t="str">
        <f>IF(I409&gt;=3.5,"Excellent",IF(I409&gt;=3,"Good",IF(I409&gt;=2,"Average","Poor")))</f>
        <v>Good</v>
      </c>
      <c r="M409" s="3" t="str">
        <v>Dr.Roy</v>
      </c>
      <c r="N409" s="3" t="str">
        <f>IF(H409 &gt; (G409*50%), "Yes", "No")</f>
        <v>Yes</v>
      </c>
      <c r="O409" s="16">
        <f>G409-H409</f>
        <v>-4292</v>
      </c>
      <c r="P409" s="16">
        <f>SUMIFS(O409:O409,E409:E409,"Science",F409:F409,"Completed")</f>
        <v>0</v>
      </c>
      <c r="Q409" s="3" t="str">
        <f>IF(MONTH(E409)&gt;=7, YEAR(E409)&amp;"-"&amp;YEAR(E409)+1, YEAR(E409)-1&amp;"-"&amp;YEAR(E409))</f>
        <v>2022-2023</v>
      </c>
      <c r="R409" s="3"/>
      <c r="S409" s="3"/>
      <c r="T409" s="15">
        <f t="shared" ca="1" si="6"/>
        <v>1287</v>
      </c>
      <c r="U409" s="3"/>
    </row>
    <row r="410" spans="1:21" x14ac:dyDescent="0.35">
      <c r="A410" s="3" t="s">
        <v>841</v>
      </c>
      <c r="B410" s="3" t="s">
        <v>842</v>
      </c>
      <c r="C410" s="3" t="s">
        <v>28</v>
      </c>
      <c r="D410" s="3" t="s">
        <v>13</v>
      </c>
      <c r="E410" s="6">
        <v>45451</v>
      </c>
      <c r="F410" s="3" t="s">
        <v>19</v>
      </c>
      <c r="G410" s="3">
        <v>10931</v>
      </c>
      <c r="H410" s="3">
        <v>768</v>
      </c>
      <c r="I410" s="3">
        <v>3.3</v>
      </c>
      <c r="J410" s="3">
        <v>97</v>
      </c>
      <c r="K410" s="15" t="str">
        <f ca="1">IF(F410="Enrolled",TODAY()-E410,"0")</f>
        <v>0</v>
      </c>
      <c r="L410" s="3" t="str">
        <f>IF(I410&gt;=3.5,"Excellent",IF(I410&gt;=3,"Good",IF(I410&gt;=2,"Average","Poor")))</f>
        <v>Good</v>
      </c>
      <c r="M410" s="3" t="str">
        <v>Dr.Mehta</v>
      </c>
      <c r="N410" s="3" t="str">
        <f>IF(H410 &gt; (G410*50%), "Yes", "No")</f>
        <v>No</v>
      </c>
      <c r="O410" s="16">
        <f>G410-H410</f>
        <v>10163</v>
      </c>
      <c r="P410" s="16">
        <f>SUMIFS(O410:O410,E410:E410,"Science",F410:F410,"Completed")</f>
        <v>0</v>
      </c>
      <c r="Q410" s="3" t="str">
        <f>IF(MONTH(E410)&gt;=7, YEAR(E410)&amp;"-"&amp;YEAR(E410)+1, YEAR(E410)-1&amp;"-"&amp;YEAR(E410))</f>
        <v>2023-2024</v>
      </c>
      <c r="R410" s="3"/>
      <c r="S410" s="3"/>
      <c r="T410" s="15">
        <f t="shared" ca="1" si="6"/>
        <v>603</v>
      </c>
      <c r="U410" s="3"/>
    </row>
    <row r="411" spans="1:21" x14ac:dyDescent="0.35">
      <c r="A411" s="3" t="s">
        <v>843</v>
      </c>
      <c r="B411" s="3" t="s">
        <v>844</v>
      </c>
      <c r="C411" s="3" t="s">
        <v>28</v>
      </c>
      <c r="D411" s="3" t="s">
        <v>13</v>
      </c>
      <c r="E411" s="6">
        <v>45199</v>
      </c>
      <c r="F411" s="3" t="s">
        <v>14</v>
      </c>
      <c r="G411" s="3">
        <v>13786</v>
      </c>
      <c r="H411" s="3">
        <v>8660</v>
      </c>
      <c r="I411" s="3">
        <v>2.0499999999999998</v>
      </c>
      <c r="J411" s="3">
        <v>59</v>
      </c>
      <c r="K411" s="15">
        <f ca="1">IF(F411="Enrolled",TODAY()-E411,"0")</f>
        <v>855</v>
      </c>
      <c r="L411" s="3" t="str">
        <f>IF(I411&gt;=3.5,"Excellent",IF(I411&gt;=3,"Good",IF(I411&gt;=2,"Average","Poor")))</f>
        <v>Average</v>
      </c>
      <c r="M411" s="3" t="str">
        <v>Dr.Mehta</v>
      </c>
      <c r="N411" s="3" t="str">
        <f>IF(H411 &gt; (G411*50%), "Yes", "No")</f>
        <v>Yes</v>
      </c>
      <c r="O411" s="16">
        <f>G411-H411</f>
        <v>5126</v>
      </c>
      <c r="P411" s="16">
        <f>SUMIFS(O411:O411,E411:E411,"Science",F411:F411,"Completed")</f>
        <v>0</v>
      </c>
      <c r="Q411" s="3" t="str">
        <f>IF(MONTH(E411)&gt;=7, YEAR(E411)&amp;"-"&amp;YEAR(E411)+1, YEAR(E411)-1&amp;"-"&amp;YEAR(E411))</f>
        <v>2023-2024</v>
      </c>
      <c r="R411" s="3"/>
      <c r="S411" s="3"/>
      <c r="T411" s="15" t="str">
        <f t="shared" ca="1" si="6"/>
        <v>0</v>
      </c>
      <c r="U411" s="3"/>
    </row>
    <row r="412" spans="1:21" x14ac:dyDescent="0.35">
      <c r="A412" s="3" t="s">
        <v>845</v>
      </c>
      <c r="B412" s="3" t="s">
        <v>846</v>
      </c>
      <c r="C412" s="3" t="s">
        <v>28</v>
      </c>
      <c r="D412" s="3" t="s">
        <v>62</v>
      </c>
      <c r="E412" s="6">
        <v>45359</v>
      </c>
      <c r="F412" s="3" t="s">
        <v>19</v>
      </c>
      <c r="G412" s="3">
        <v>7556</v>
      </c>
      <c r="H412" s="3">
        <v>4121</v>
      </c>
      <c r="I412" s="3">
        <v>2.62</v>
      </c>
      <c r="J412" s="3">
        <v>109</v>
      </c>
      <c r="K412" s="15" t="str">
        <f ca="1">IF(F412="Enrolled",TODAY()-E412,"0")</f>
        <v>0</v>
      </c>
      <c r="L412" s="3" t="str">
        <f>IF(I412&gt;=3.5,"Excellent",IF(I412&gt;=3,"Good",IF(I412&gt;=2,"Average","Poor")))</f>
        <v>Average</v>
      </c>
      <c r="M412" s="3" t="str">
        <v>Dr.Sinha</v>
      </c>
      <c r="N412" s="3" t="str">
        <f>IF(H412 &gt; (G412*50%), "Yes", "No")</f>
        <v>Yes</v>
      </c>
      <c r="O412" s="16">
        <f>G412-H412</f>
        <v>3435</v>
      </c>
      <c r="P412" s="16">
        <f>SUMIFS(O412:O412,E412:E412,"Science",F412:F412,"Completed")</f>
        <v>0</v>
      </c>
      <c r="Q412" s="3" t="str">
        <f>IF(MONTH(E412)&gt;=7, YEAR(E412)&amp;"-"&amp;YEAR(E412)+1, YEAR(E412)-1&amp;"-"&amp;YEAR(E412))</f>
        <v>2023-2024</v>
      </c>
      <c r="R412" s="3"/>
      <c r="S412" s="3"/>
      <c r="T412" s="15">
        <f t="shared" ca="1" si="6"/>
        <v>695</v>
      </c>
      <c r="U412" s="3"/>
    </row>
    <row r="413" spans="1:21" x14ac:dyDescent="0.35">
      <c r="A413" s="3" t="s">
        <v>847</v>
      </c>
      <c r="B413" s="3" t="s">
        <v>848</v>
      </c>
      <c r="C413" s="3" t="s">
        <v>12</v>
      </c>
      <c r="D413" s="3" t="s">
        <v>62</v>
      </c>
      <c r="E413" s="6">
        <v>45088</v>
      </c>
      <c r="F413" s="3" t="s">
        <v>14</v>
      </c>
      <c r="G413" s="3">
        <v>2531</v>
      </c>
      <c r="H413" s="3">
        <v>864</v>
      </c>
      <c r="I413" s="3">
        <v>2.9</v>
      </c>
      <c r="J413" s="3">
        <v>20</v>
      </c>
      <c r="K413" s="15">
        <f ca="1">IF(F413="Enrolled",TODAY()-E413,"0")</f>
        <v>966</v>
      </c>
      <c r="L413" s="3" t="str">
        <f>IF(I413&gt;=3.5,"Excellent",IF(I413&gt;=3,"Good",IF(I413&gt;=2,"Average","Poor")))</f>
        <v>Average</v>
      </c>
      <c r="M413" s="3" t="str">
        <v>Dr.Sinha</v>
      </c>
      <c r="N413" s="3" t="str">
        <f>IF(H413 &gt; (G413*50%), "Yes", "No")</f>
        <v>No</v>
      </c>
      <c r="O413" s="16">
        <f>G413-H413</f>
        <v>1667</v>
      </c>
      <c r="P413" s="16">
        <f>SUMIFS(O413:O413,E413:E413,"Science",F413:F413,"Completed")</f>
        <v>0</v>
      </c>
      <c r="Q413" s="3" t="str">
        <f>IF(MONTH(E413)&gt;=7, YEAR(E413)&amp;"-"&amp;YEAR(E413)+1, YEAR(E413)-1&amp;"-"&amp;YEAR(E413))</f>
        <v>2022-2023</v>
      </c>
      <c r="R413" s="3"/>
      <c r="S413" s="3"/>
      <c r="T413" s="15" t="str">
        <f t="shared" ca="1" si="6"/>
        <v>0</v>
      </c>
      <c r="U413" s="3"/>
    </row>
    <row r="414" spans="1:21" x14ac:dyDescent="0.35">
      <c r="A414" s="3" t="s">
        <v>849</v>
      </c>
      <c r="B414" s="3" t="s">
        <v>850</v>
      </c>
      <c r="C414" s="3" t="s">
        <v>25</v>
      </c>
      <c r="D414" s="3" t="s">
        <v>62</v>
      </c>
      <c r="E414" s="6">
        <v>45139</v>
      </c>
      <c r="F414" s="3" t="s">
        <v>14</v>
      </c>
      <c r="G414" s="3">
        <v>11002</v>
      </c>
      <c r="H414" s="3">
        <v>7136</v>
      </c>
      <c r="I414" s="3">
        <v>3.77</v>
      </c>
      <c r="J414" s="3">
        <v>43</v>
      </c>
      <c r="K414" s="15">
        <f ca="1">IF(F414="Enrolled",TODAY()-E414,"0")</f>
        <v>915</v>
      </c>
      <c r="L414" s="3" t="str">
        <f>IF(I414&gt;=3.5,"Excellent",IF(I414&gt;=3,"Good",IF(I414&gt;=2,"Average","Poor")))</f>
        <v>Excellent</v>
      </c>
      <c r="M414" s="3" t="str">
        <v>Dr.Sinha</v>
      </c>
      <c r="N414" s="3" t="str">
        <f>IF(H414 &gt; (G414*50%), "Yes", "No")</f>
        <v>Yes</v>
      </c>
      <c r="O414" s="16">
        <f>G414-H414</f>
        <v>3866</v>
      </c>
      <c r="P414" s="16">
        <f>SUMIFS(O414:O414,E414:E414,"Science",F414:F414,"Completed")</f>
        <v>0</v>
      </c>
      <c r="Q414" s="3" t="str">
        <f>IF(MONTH(E414)&gt;=7, YEAR(E414)&amp;"-"&amp;YEAR(E414)+1, YEAR(E414)-1&amp;"-"&amp;YEAR(E414))</f>
        <v>2023-2024</v>
      </c>
      <c r="R414" s="3"/>
      <c r="S414" s="3"/>
      <c r="T414" s="15" t="str">
        <f t="shared" ca="1" si="6"/>
        <v>0</v>
      </c>
      <c r="U414" s="3"/>
    </row>
    <row r="415" spans="1:21" x14ac:dyDescent="0.35">
      <c r="A415" s="3" t="s">
        <v>851</v>
      </c>
      <c r="B415" s="3" t="s">
        <v>852</v>
      </c>
      <c r="C415" s="3" t="s">
        <v>36</v>
      </c>
      <c r="D415" s="3" t="s">
        <v>13</v>
      </c>
      <c r="E415" s="6">
        <v>44950</v>
      </c>
      <c r="F415" s="3" t="s">
        <v>14</v>
      </c>
      <c r="G415" s="3">
        <v>11863</v>
      </c>
      <c r="H415" s="3">
        <v>3622</v>
      </c>
      <c r="I415" s="3">
        <v>3.98</v>
      </c>
      <c r="J415" s="3">
        <v>31</v>
      </c>
      <c r="K415" s="15">
        <f ca="1">IF(F415="Enrolled",TODAY()-E415,"0")</f>
        <v>1104</v>
      </c>
      <c r="L415" s="3" t="str">
        <f>IF(I415&gt;=3.5,"Excellent",IF(I415&gt;=3,"Good",IF(I415&gt;=2,"Average","Poor")))</f>
        <v>Excellent</v>
      </c>
      <c r="M415" s="3" t="str">
        <v>Dr.Mehta</v>
      </c>
      <c r="N415" s="3" t="str">
        <f>IF(H415 &gt; (G415*50%), "Yes", "No")</f>
        <v>No</v>
      </c>
      <c r="O415" s="16">
        <f>G415-H415</f>
        <v>8241</v>
      </c>
      <c r="P415" s="16">
        <f>SUMIFS(O415:O415,E415:E415,"Science",F415:F415,"Completed")</f>
        <v>0</v>
      </c>
      <c r="Q415" s="3" t="str">
        <f>IF(MONTH(E415)&gt;=7, YEAR(E415)&amp;"-"&amp;YEAR(E415)+1, YEAR(E415)-1&amp;"-"&amp;YEAR(E415))</f>
        <v>2022-2023</v>
      </c>
      <c r="R415" s="3"/>
      <c r="S415" s="3"/>
      <c r="T415" s="15" t="str">
        <f t="shared" ca="1" si="6"/>
        <v>0</v>
      </c>
      <c r="U415" s="3"/>
    </row>
    <row r="416" spans="1:21" x14ac:dyDescent="0.35">
      <c r="A416" s="3" t="s">
        <v>853</v>
      </c>
      <c r="B416" s="3" t="s">
        <v>854</v>
      </c>
      <c r="C416" s="3" t="s">
        <v>17</v>
      </c>
      <c r="D416" s="3" t="s">
        <v>13</v>
      </c>
      <c r="E416" s="6">
        <v>44906</v>
      </c>
      <c r="F416" s="3" t="s">
        <v>14</v>
      </c>
      <c r="G416" s="3">
        <v>2264</v>
      </c>
      <c r="H416" s="3">
        <v>9265</v>
      </c>
      <c r="I416" s="3">
        <v>2.16</v>
      </c>
      <c r="J416" s="3">
        <v>73</v>
      </c>
      <c r="K416" s="15">
        <f ca="1">IF(F416="Enrolled",TODAY()-E416,"0")</f>
        <v>1148</v>
      </c>
      <c r="L416" s="3" t="str">
        <f>IF(I416&gt;=3.5,"Excellent",IF(I416&gt;=3,"Good",IF(I416&gt;=2,"Average","Poor")))</f>
        <v>Average</v>
      </c>
      <c r="M416" s="3" t="str">
        <v>Dr.Mehta</v>
      </c>
      <c r="N416" s="3" t="str">
        <f>IF(H416 &gt; (G416*50%), "Yes", "No")</f>
        <v>Yes</v>
      </c>
      <c r="O416" s="16">
        <f>G416-H416</f>
        <v>-7001</v>
      </c>
      <c r="P416" s="16">
        <f>SUMIFS(O416:O416,E416:E416,"Science",F416:F416,"Completed")</f>
        <v>0</v>
      </c>
      <c r="Q416" s="3" t="str">
        <f>IF(MONTH(E416)&gt;=7, YEAR(E416)&amp;"-"&amp;YEAR(E416)+1, YEAR(E416)-1&amp;"-"&amp;YEAR(E416))</f>
        <v>2022-2023</v>
      </c>
      <c r="R416" s="3"/>
      <c r="S416" s="3"/>
      <c r="T416" s="15" t="str">
        <f t="shared" ca="1" si="6"/>
        <v>0</v>
      </c>
      <c r="U416" s="3"/>
    </row>
    <row r="417" spans="1:21" x14ac:dyDescent="0.35">
      <c r="A417" s="3" t="s">
        <v>855</v>
      </c>
      <c r="B417" s="3" t="s">
        <v>856</v>
      </c>
      <c r="C417" s="3" t="s">
        <v>22</v>
      </c>
      <c r="D417" s="3" t="s">
        <v>31</v>
      </c>
      <c r="E417" s="6">
        <v>44899</v>
      </c>
      <c r="F417" s="3" t="s">
        <v>14</v>
      </c>
      <c r="G417" s="3">
        <v>10950</v>
      </c>
      <c r="H417" s="3">
        <v>9633</v>
      </c>
      <c r="I417" s="3">
        <v>2.75</v>
      </c>
      <c r="J417" s="3">
        <v>103</v>
      </c>
      <c r="K417" s="15">
        <f ca="1">IF(F417="Enrolled",TODAY()-E417,"0")</f>
        <v>1155</v>
      </c>
      <c r="L417" s="3" t="str">
        <f>IF(I417&gt;=3.5,"Excellent",IF(I417&gt;=3,"Good",IF(I417&gt;=2,"Average","Poor")))</f>
        <v>Average</v>
      </c>
      <c r="M417" s="3" t="str">
        <v>Dr.Sharma</v>
      </c>
      <c r="N417" s="3" t="str">
        <f>IF(H417 &gt; (G417*50%), "Yes", "No")</f>
        <v>Yes</v>
      </c>
      <c r="O417" s="16">
        <f>G417-H417</f>
        <v>1317</v>
      </c>
      <c r="P417" s="16">
        <f>SUMIFS(O417:O417,E417:E417,"Science",F417:F417,"Completed")</f>
        <v>0</v>
      </c>
      <c r="Q417" s="3" t="str">
        <f>IF(MONTH(E417)&gt;=7, YEAR(E417)&amp;"-"&amp;YEAR(E417)+1, YEAR(E417)-1&amp;"-"&amp;YEAR(E417))</f>
        <v>2022-2023</v>
      </c>
      <c r="R417" s="3"/>
      <c r="S417" s="3"/>
      <c r="T417" s="15" t="str">
        <f t="shared" ca="1" si="6"/>
        <v>0</v>
      </c>
      <c r="U417" s="3"/>
    </row>
    <row r="418" spans="1:21" x14ac:dyDescent="0.35">
      <c r="A418" s="3" t="s">
        <v>857</v>
      </c>
      <c r="B418" s="3" t="s">
        <v>858</v>
      </c>
      <c r="C418" s="3" t="s">
        <v>54</v>
      </c>
      <c r="D418" s="3" t="s">
        <v>18</v>
      </c>
      <c r="E418" s="6">
        <v>44826</v>
      </c>
      <c r="F418" s="3" t="s">
        <v>14</v>
      </c>
      <c r="G418" s="3">
        <v>14054</v>
      </c>
      <c r="H418" s="3">
        <v>2816</v>
      </c>
      <c r="I418" s="3">
        <v>3.16</v>
      </c>
      <c r="J418" s="3">
        <v>72</v>
      </c>
      <c r="K418" s="15">
        <f ca="1">IF(F418="Enrolled",TODAY()-E418,"0")</f>
        <v>1228</v>
      </c>
      <c r="L418" s="3" t="str">
        <f>IF(I418&gt;=3.5,"Excellent",IF(I418&gt;=3,"Good",IF(I418&gt;=2,"Average","Poor")))</f>
        <v>Good</v>
      </c>
      <c r="M418" s="3" t="str">
        <v>Dr.Roy</v>
      </c>
      <c r="N418" s="3" t="str">
        <f>IF(H418 &gt; (G418*50%), "Yes", "No")</f>
        <v>No</v>
      </c>
      <c r="O418" s="16">
        <f>G418-H418</f>
        <v>11238</v>
      </c>
      <c r="P418" s="16">
        <f>SUMIFS(O418:O418,E418:E418,"Science",F418:F418,"Completed")</f>
        <v>0</v>
      </c>
      <c r="Q418" s="3" t="str">
        <f>IF(MONTH(E418)&gt;=7, YEAR(E418)&amp;"-"&amp;YEAR(E418)+1, YEAR(E418)-1&amp;"-"&amp;YEAR(E418))</f>
        <v>2022-2023</v>
      </c>
      <c r="R418" s="3"/>
      <c r="S418" s="3"/>
      <c r="T418" s="15" t="str">
        <f t="shared" ca="1" si="6"/>
        <v>0</v>
      </c>
      <c r="U418" s="3"/>
    </row>
    <row r="419" spans="1:21" x14ac:dyDescent="0.35">
      <c r="A419" s="3" t="s">
        <v>859</v>
      </c>
      <c r="B419" s="3" t="s">
        <v>860</v>
      </c>
      <c r="C419" s="3" t="s">
        <v>17</v>
      </c>
      <c r="D419" s="3" t="s">
        <v>13</v>
      </c>
      <c r="E419" s="6">
        <v>44822</v>
      </c>
      <c r="F419" s="3" t="s">
        <v>14</v>
      </c>
      <c r="G419" s="3">
        <v>3844</v>
      </c>
      <c r="H419" s="3">
        <v>3972</v>
      </c>
      <c r="I419" s="3">
        <v>2.31</v>
      </c>
      <c r="J419" s="3">
        <v>57</v>
      </c>
      <c r="K419" s="15">
        <f ca="1">IF(F419="Enrolled",TODAY()-E419,"0")</f>
        <v>1232</v>
      </c>
      <c r="L419" s="3" t="str">
        <f>IF(I419&gt;=3.5,"Excellent",IF(I419&gt;=3,"Good",IF(I419&gt;=2,"Average","Poor")))</f>
        <v>Average</v>
      </c>
      <c r="M419" s="3" t="str">
        <v>Dr.Mehta</v>
      </c>
      <c r="N419" s="3" t="str">
        <f>IF(H419 &gt; (G419*50%), "Yes", "No")</f>
        <v>Yes</v>
      </c>
      <c r="O419" s="16">
        <f>G419-H419</f>
        <v>-128</v>
      </c>
      <c r="P419" s="16">
        <f>SUMIFS(O419:O419,E419:E419,"Science",F419:F419,"Completed")</f>
        <v>0</v>
      </c>
      <c r="Q419" s="3" t="str">
        <f>IF(MONTH(E419)&gt;=7, YEAR(E419)&amp;"-"&amp;YEAR(E419)+1, YEAR(E419)-1&amp;"-"&amp;YEAR(E419))</f>
        <v>2022-2023</v>
      </c>
      <c r="R419" s="3"/>
      <c r="S419" s="3"/>
      <c r="T419" s="15" t="str">
        <f t="shared" ca="1" si="6"/>
        <v>0</v>
      </c>
      <c r="U419" s="3"/>
    </row>
    <row r="420" spans="1:21" x14ac:dyDescent="0.35">
      <c r="A420" s="3" t="s">
        <v>861</v>
      </c>
      <c r="B420" s="3" t="s">
        <v>862</v>
      </c>
      <c r="C420" s="3" t="s">
        <v>17</v>
      </c>
      <c r="D420" s="3" t="s">
        <v>62</v>
      </c>
      <c r="E420" s="6">
        <v>44627</v>
      </c>
      <c r="F420" s="3" t="s">
        <v>19</v>
      </c>
      <c r="G420" s="3">
        <v>5442</v>
      </c>
      <c r="H420" s="3">
        <v>4647</v>
      </c>
      <c r="I420" s="3">
        <v>2.83</v>
      </c>
      <c r="J420" s="3">
        <v>23</v>
      </c>
      <c r="K420" s="15" t="str">
        <f ca="1">IF(F420="Enrolled",TODAY()-E420,"0")</f>
        <v>0</v>
      </c>
      <c r="L420" s="3" t="str">
        <f>IF(I420&gt;=3.5,"Excellent",IF(I420&gt;=3,"Good",IF(I420&gt;=2,"Average","Poor")))</f>
        <v>Average</v>
      </c>
      <c r="M420" s="3" t="str">
        <v>Dr.Sinha</v>
      </c>
      <c r="N420" s="3" t="str">
        <f>IF(H420 &gt; (G420*50%), "Yes", "No")</f>
        <v>Yes</v>
      </c>
      <c r="O420" s="16">
        <f>G420-H420</f>
        <v>795</v>
      </c>
      <c r="P420" s="16">
        <f>SUMIFS(O420:O420,E420:E420,"Science",F420:F420,"Completed")</f>
        <v>0</v>
      </c>
      <c r="Q420" s="3" t="str">
        <f>IF(MONTH(E420)&gt;=7, YEAR(E420)&amp;"-"&amp;YEAR(E420)+1, YEAR(E420)-1&amp;"-"&amp;YEAR(E420))</f>
        <v>2021-2022</v>
      </c>
      <c r="R420" s="3"/>
      <c r="S420" s="3"/>
      <c r="T420" s="15">
        <f t="shared" ca="1" si="6"/>
        <v>1427</v>
      </c>
      <c r="U420" s="3"/>
    </row>
    <row r="421" spans="1:21" x14ac:dyDescent="0.35">
      <c r="A421" s="3" t="s">
        <v>863</v>
      </c>
      <c r="B421" s="3" t="s">
        <v>864</v>
      </c>
      <c r="C421" s="3" t="s">
        <v>28</v>
      </c>
      <c r="D421" s="3" t="s">
        <v>18</v>
      </c>
      <c r="E421" s="6">
        <v>44745</v>
      </c>
      <c r="F421" s="3" t="s">
        <v>14</v>
      </c>
      <c r="G421" s="3">
        <v>6199</v>
      </c>
      <c r="H421" s="3">
        <v>3078</v>
      </c>
      <c r="I421" s="3">
        <v>3.4</v>
      </c>
      <c r="J421" s="3">
        <v>118</v>
      </c>
      <c r="K421" s="15">
        <f ca="1">IF(F421="Enrolled",TODAY()-E421,"0")</f>
        <v>1309</v>
      </c>
      <c r="L421" s="3" t="str">
        <f>IF(I421&gt;=3.5,"Excellent",IF(I421&gt;=3,"Good",IF(I421&gt;=2,"Average","Poor")))</f>
        <v>Good</v>
      </c>
      <c r="M421" s="3" t="str">
        <v>Dr.Roy</v>
      </c>
      <c r="N421" s="3" t="str">
        <f>IF(H421 &gt; (G421*50%), "Yes", "No")</f>
        <v>No</v>
      </c>
      <c r="O421" s="16">
        <f>G421-H421</f>
        <v>3121</v>
      </c>
      <c r="P421" s="16">
        <f>SUMIFS(O421:O421,E421:E421,"Science",F421:F421,"Completed")</f>
        <v>0</v>
      </c>
      <c r="Q421" s="3" t="str">
        <f>IF(MONTH(E421)&gt;=7, YEAR(E421)&amp;"-"&amp;YEAR(E421)+1, YEAR(E421)-1&amp;"-"&amp;YEAR(E421))</f>
        <v>2022-2023</v>
      </c>
      <c r="R421" s="3"/>
      <c r="S421" s="3"/>
      <c r="T421" s="15" t="str">
        <f t="shared" ca="1" si="6"/>
        <v>0</v>
      </c>
      <c r="U421" s="3"/>
    </row>
    <row r="422" spans="1:21" x14ac:dyDescent="0.35">
      <c r="A422" s="3" t="s">
        <v>865</v>
      </c>
      <c r="B422" s="3" t="s">
        <v>866</v>
      </c>
      <c r="C422" s="3" t="s">
        <v>25</v>
      </c>
      <c r="D422" s="3" t="s">
        <v>18</v>
      </c>
      <c r="E422" s="6">
        <v>45394</v>
      </c>
      <c r="F422" s="3" t="s">
        <v>14</v>
      </c>
      <c r="G422" s="3">
        <v>14814</v>
      </c>
      <c r="H422" s="3">
        <v>8975</v>
      </c>
      <c r="I422" s="3">
        <v>3.52</v>
      </c>
      <c r="J422" s="3">
        <v>109</v>
      </c>
      <c r="K422" s="15">
        <f ca="1">IF(F422="Enrolled",TODAY()-E422,"0")</f>
        <v>660</v>
      </c>
      <c r="L422" s="3" t="str">
        <f>IF(I422&gt;=3.5,"Excellent",IF(I422&gt;=3,"Good",IF(I422&gt;=2,"Average","Poor")))</f>
        <v>Excellent</v>
      </c>
      <c r="M422" s="3" t="str">
        <v>Dr.Roy</v>
      </c>
      <c r="N422" s="3" t="str">
        <f>IF(H422 &gt; (G422*50%), "Yes", "No")</f>
        <v>Yes</v>
      </c>
      <c r="O422" s="16">
        <f>G422-H422</f>
        <v>5839</v>
      </c>
      <c r="P422" s="16">
        <f>SUMIFS(O422:O422,E422:E422,"Science",F422:F422,"Completed")</f>
        <v>0</v>
      </c>
      <c r="Q422" s="3" t="str">
        <f>IF(MONTH(E422)&gt;=7, YEAR(E422)&amp;"-"&amp;YEAR(E422)+1, YEAR(E422)-1&amp;"-"&amp;YEAR(E422))</f>
        <v>2023-2024</v>
      </c>
      <c r="R422" s="3"/>
      <c r="S422" s="3"/>
      <c r="T422" s="15" t="str">
        <f t="shared" ca="1" si="6"/>
        <v>0</v>
      </c>
      <c r="U422" s="3"/>
    </row>
    <row r="423" spans="1:21" x14ac:dyDescent="0.35">
      <c r="A423" s="3" t="s">
        <v>867</v>
      </c>
      <c r="B423" s="3" t="s">
        <v>868</v>
      </c>
      <c r="C423" s="3" t="s">
        <v>12</v>
      </c>
      <c r="D423" s="3" t="s">
        <v>62</v>
      </c>
      <c r="E423" s="6">
        <v>45247</v>
      </c>
      <c r="F423" s="3" t="s">
        <v>19</v>
      </c>
      <c r="G423" s="3">
        <v>7031</v>
      </c>
      <c r="H423" s="3">
        <v>1727</v>
      </c>
      <c r="I423" s="3">
        <v>3.48</v>
      </c>
      <c r="J423" s="3">
        <v>25</v>
      </c>
      <c r="K423" s="15" t="str">
        <f ca="1">IF(F423="Enrolled",TODAY()-E423,"0")</f>
        <v>0</v>
      </c>
      <c r="L423" s="3" t="str">
        <f>IF(I423&gt;=3.5,"Excellent",IF(I423&gt;=3,"Good",IF(I423&gt;=2,"Average","Poor")))</f>
        <v>Good</v>
      </c>
      <c r="M423" s="3" t="str">
        <v>Dr.Sinha</v>
      </c>
      <c r="N423" s="3" t="str">
        <f>IF(H423 &gt; (G423*50%), "Yes", "No")</f>
        <v>No</v>
      </c>
      <c r="O423" s="16">
        <f>G423-H423</f>
        <v>5304</v>
      </c>
      <c r="P423" s="16">
        <f>SUMIFS(O423:O423,E423:E423,"Science",F423:F423,"Completed")</f>
        <v>0</v>
      </c>
      <c r="Q423" s="3" t="str">
        <f>IF(MONTH(E423)&gt;=7, YEAR(E423)&amp;"-"&amp;YEAR(E423)+1, YEAR(E423)-1&amp;"-"&amp;YEAR(E423))</f>
        <v>2023-2024</v>
      </c>
      <c r="R423" s="3"/>
      <c r="S423" s="3"/>
      <c r="T423" s="15">
        <f t="shared" ca="1" si="6"/>
        <v>807</v>
      </c>
      <c r="U423" s="3"/>
    </row>
    <row r="424" spans="1:21" x14ac:dyDescent="0.35">
      <c r="A424" s="3" t="s">
        <v>869</v>
      </c>
      <c r="B424" s="3" t="s">
        <v>870</v>
      </c>
      <c r="C424" s="3" t="s">
        <v>36</v>
      </c>
      <c r="D424" s="3" t="s">
        <v>13</v>
      </c>
      <c r="E424" s="6">
        <v>44758</v>
      </c>
      <c r="F424" s="3" t="s">
        <v>14</v>
      </c>
      <c r="G424" s="3">
        <v>12388</v>
      </c>
      <c r="H424" s="3">
        <v>9027</v>
      </c>
      <c r="I424" s="3">
        <v>2.42</v>
      </c>
      <c r="J424" s="3">
        <v>93</v>
      </c>
      <c r="K424" s="15">
        <f ca="1">IF(F424="Enrolled",TODAY()-E424,"0")</f>
        <v>1296</v>
      </c>
      <c r="L424" s="3" t="str">
        <f>IF(I424&gt;=3.5,"Excellent",IF(I424&gt;=3,"Good",IF(I424&gt;=2,"Average","Poor")))</f>
        <v>Average</v>
      </c>
      <c r="M424" s="3" t="str">
        <v>Dr.Mehta</v>
      </c>
      <c r="N424" s="3" t="str">
        <f>IF(H424 &gt; (G424*50%), "Yes", "No")</f>
        <v>Yes</v>
      </c>
      <c r="O424" s="16">
        <f>G424-H424</f>
        <v>3361</v>
      </c>
      <c r="P424" s="16">
        <f>SUMIFS(O424:O424,E424:E424,"Science",F424:F424,"Completed")</f>
        <v>0</v>
      </c>
      <c r="Q424" s="3" t="str">
        <f>IF(MONTH(E424)&gt;=7, YEAR(E424)&amp;"-"&amp;YEAR(E424)+1, YEAR(E424)-1&amp;"-"&amp;YEAR(E424))</f>
        <v>2022-2023</v>
      </c>
      <c r="R424" s="3"/>
      <c r="S424" s="3"/>
      <c r="T424" s="15" t="str">
        <f t="shared" ca="1" si="6"/>
        <v>0</v>
      </c>
      <c r="U424" s="3"/>
    </row>
    <row r="425" spans="1:21" x14ac:dyDescent="0.35">
      <c r="A425" s="3" t="s">
        <v>871</v>
      </c>
      <c r="B425" s="3" t="s">
        <v>872</v>
      </c>
      <c r="C425" s="3" t="s">
        <v>54</v>
      </c>
      <c r="D425" s="3" t="s">
        <v>13</v>
      </c>
      <c r="E425" s="6">
        <v>45303</v>
      </c>
      <c r="F425" s="3" t="s">
        <v>19</v>
      </c>
      <c r="G425" s="3">
        <v>12003</v>
      </c>
      <c r="H425" s="3">
        <v>6828</v>
      </c>
      <c r="I425" s="3">
        <v>3.79</v>
      </c>
      <c r="J425" s="3">
        <v>69</v>
      </c>
      <c r="K425" s="15" t="str">
        <f ca="1">IF(F425="Enrolled",TODAY()-E425,"0")</f>
        <v>0</v>
      </c>
      <c r="L425" s="3" t="str">
        <f>IF(I425&gt;=3.5,"Excellent",IF(I425&gt;=3,"Good",IF(I425&gt;=2,"Average","Poor")))</f>
        <v>Excellent</v>
      </c>
      <c r="M425" s="3" t="str">
        <v>Dr.Mehta</v>
      </c>
      <c r="N425" s="3" t="str">
        <f>IF(H425 &gt; (G425*50%), "Yes", "No")</f>
        <v>Yes</v>
      </c>
      <c r="O425" s="16">
        <f>G425-H425</f>
        <v>5175</v>
      </c>
      <c r="P425" s="16">
        <f>SUMIFS(O425:O425,E425:E425,"Science",F425:F425,"Completed")</f>
        <v>0</v>
      </c>
      <c r="Q425" s="3" t="str">
        <f>IF(MONTH(E425)&gt;=7, YEAR(E425)&amp;"-"&amp;YEAR(E425)+1, YEAR(E425)-1&amp;"-"&amp;YEAR(E425))</f>
        <v>2023-2024</v>
      </c>
      <c r="R425" s="3"/>
      <c r="S425" s="3"/>
      <c r="T425" s="15">
        <f t="shared" ca="1" si="6"/>
        <v>751</v>
      </c>
      <c r="U425" s="3"/>
    </row>
    <row r="426" spans="1:21" x14ac:dyDescent="0.35">
      <c r="A426" s="3" t="s">
        <v>873</v>
      </c>
      <c r="B426" s="3" t="s">
        <v>874</v>
      </c>
      <c r="C426" s="3" t="s">
        <v>17</v>
      </c>
      <c r="D426" s="3" t="s">
        <v>31</v>
      </c>
      <c r="E426" s="6">
        <v>45119</v>
      </c>
      <c r="F426" s="3" t="s">
        <v>14</v>
      </c>
      <c r="G426" s="3">
        <v>11667</v>
      </c>
      <c r="H426" s="3">
        <v>4710</v>
      </c>
      <c r="I426" s="3">
        <v>2.02</v>
      </c>
      <c r="J426" s="3">
        <v>45</v>
      </c>
      <c r="K426" s="15">
        <f ca="1">IF(F426="Enrolled",TODAY()-E426,"0")</f>
        <v>935</v>
      </c>
      <c r="L426" s="3" t="str">
        <f>IF(I426&gt;=3.5,"Excellent",IF(I426&gt;=3,"Good",IF(I426&gt;=2,"Average","Poor")))</f>
        <v>Average</v>
      </c>
      <c r="M426" s="3" t="str">
        <v>Dr.Sharma</v>
      </c>
      <c r="N426" s="3" t="str">
        <f>IF(H426 &gt; (G426*50%), "Yes", "No")</f>
        <v>No</v>
      </c>
      <c r="O426" s="16">
        <f>G426-H426</f>
        <v>6957</v>
      </c>
      <c r="P426" s="16">
        <f>SUMIFS(O426:O426,E426:E426,"Science",F426:F426,"Completed")</f>
        <v>0</v>
      </c>
      <c r="Q426" s="3" t="str">
        <f>IF(MONTH(E426)&gt;=7, YEAR(E426)&amp;"-"&amp;YEAR(E426)+1, YEAR(E426)-1&amp;"-"&amp;YEAR(E426))</f>
        <v>2023-2024</v>
      </c>
      <c r="R426" s="3"/>
      <c r="S426" s="3"/>
      <c r="T426" s="15" t="str">
        <f t="shared" ca="1" si="6"/>
        <v>0</v>
      </c>
      <c r="U426" s="3"/>
    </row>
    <row r="427" spans="1:21" x14ac:dyDescent="0.35">
      <c r="A427" s="3" t="s">
        <v>875</v>
      </c>
      <c r="B427" s="3" t="s">
        <v>876</v>
      </c>
      <c r="C427" s="3" t="s">
        <v>25</v>
      </c>
      <c r="D427" s="3" t="s">
        <v>62</v>
      </c>
      <c r="E427" s="6">
        <v>44714</v>
      </c>
      <c r="F427" s="3" t="s">
        <v>14</v>
      </c>
      <c r="G427" s="3">
        <v>12437</v>
      </c>
      <c r="H427" s="3">
        <v>4916</v>
      </c>
      <c r="I427" s="3">
        <v>2.25</v>
      </c>
      <c r="J427" s="3">
        <v>3</v>
      </c>
      <c r="K427" s="15">
        <f ca="1">IF(F427="Enrolled",TODAY()-E427,"0")</f>
        <v>1340</v>
      </c>
      <c r="L427" s="3" t="str">
        <f>IF(I427&gt;=3.5,"Excellent",IF(I427&gt;=3,"Good",IF(I427&gt;=2,"Average","Poor")))</f>
        <v>Average</v>
      </c>
      <c r="M427" s="3" t="str">
        <v>Dr.Sinha</v>
      </c>
      <c r="N427" s="3" t="str">
        <f>IF(H427 &gt; (G427*50%), "Yes", "No")</f>
        <v>No</v>
      </c>
      <c r="O427" s="16">
        <f>G427-H427</f>
        <v>7521</v>
      </c>
      <c r="P427" s="16">
        <f>SUMIFS(O427:O427,E427:E427,"Science",F427:F427,"Completed")</f>
        <v>0</v>
      </c>
      <c r="Q427" s="3" t="str">
        <f>IF(MONTH(E427)&gt;=7, YEAR(E427)&amp;"-"&amp;YEAR(E427)+1, YEAR(E427)-1&amp;"-"&amp;YEAR(E427))</f>
        <v>2021-2022</v>
      </c>
      <c r="R427" s="3"/>
      <c r="S427" s="3"/>
      <c r="T427" s="15" t="str">
        <f t="shared" ca="1" si="6"/>
        <v>0</v>
      </c>
      <c r="U427" s="3"/>
    </row>
    <row r="428" spans="1:21" x14ac:dyDescent="0.35">
      <c r="A428" s="3" t="s">
        <v>877</v>
      </c>
      <c r="B428" s="3" t="s">
        <v>878</v>
      </c>
      <c r="C428" s="3" t="s">
        <v>28</v>
      </c>
      <c r="D428" s="3" t="s">
        <v>18</v>
      </c>
      <c r="E428" s="6">
        <v>45442</v>
      </c>
      <c r="F428" s="3" t="s">
        <v>14</v>
      </c>
      <c r="G428" s="3">
        <v>7135</v>
      </c>
      <c r="H428" s="3">
        <v>4567</v>
      </c>
      <c r="I428" s="3">
        <v>3.08</v>
      </c>
      <c r="J428" s="3">
        <v>66</v>
      </c>
      <c r="K428" s="15">
        <f ca="1">IF(F428="Enrolled",TODAY()-E428,"0")</f>
        <v>612</v>
      </c>
      <c r="L428" s="3" t="str">
        <f>IF(I428&gt;=3.5,"Excellent",IF(I428&gt;=3,"Good",IF(I428&gt;=2,"Average","Poor")))</f>
        <v>Good</v>
      </c>
      <c r="M428" s="3" t="str">
        <v>Dr.Roy</v>
      </c>
      <c r="N428" s="3" t="str">
        <f>IF(H428 &gt; (G428*50%), "Yes", "No")</f>
        <v>Yes</v>
      </c>
      <c r="O428" s="16">
        <f>G428-H428</f>
        <v>2568</v>
      </c>
      <c r="P428" s="16">
        <f>SUMIFS(O428:O428,E428:E428,"Science",F428:F428,"Completed")</f>
        <v>0</v>
      </c>
      <c r="Q428" s="3" t="str">
        <f>IF(MONTH(E428)&gt;=7, YEAR(E428)&amp;"-"&amp;YEAR(E428)+1, YEAR(E428)-1&amp;"-"&amp;YEAR(E428))</f>
        <v>2023-2024</v>
      </c>
      <c r="R428" s="3"/>
      <c r="S428" s="3"/>
      <c r="T428" s="15" t="str">
        <f t="shared" ca="1" si="6"/>
        <v>0</v>
      </c>
      <c r="U428" s="3"/>
    </row>
    <row r="429" spans="1:21" x14ac:dyDescent="0.35">
      <c r="A429" s="3" t="s">
        <v>879</v>
      </c>
      <c r="B429" s="3" t="s">
        <v>880</v>
      </c>
      <c r="C429" s="3" t="s">
        <v>25</v>
      </c>
      <c r="D429" s="3" t="s">
        <v>13</v>
      </c>
      <c r="E429" s="6">
        <v>44969</v>
      </c>
      <c r="F429" s="3" t="s">
        <v>39</v>
      </c>
      <c r="G429" s="3">
        <v>13450</v>
      </c>
      <c r="H429" s="3">
        <v>2890</v>
      </c>
      <c r="I429" s="3">
        <v>2.15</v>
      </c>
      <c r="J429" s="3">
        <v>45</v>
      </c>
      <c r="K429" s="15" t="str">
        <f ca="1">IF(F429="Enrolled",TODAY()-E429,"0")</f>
        <v>0</v>
      </c>
      <c r="L429" s="3" t="str">
        <f>IF(I429&gt;=3.5,"Excellent",IF(I429&gt;=3,"Good",IF(I429&gt;=2,"Average","Poor")))</f>
        <v>Average</v>
      </c>
      <c r="M429" s="3" t="str">
        <v>Dr.Mehta</v>
      </c>
      <c r="N429" s="3" t="str">
        <f>IF(H429 &gt; (G429*50%), "Yes", "No")</f>
        <v>No</v>
      </c>
      <c r="O429" s="16">
        <f>G429-H429</f>
        <v>10560</v>
      </c>
      <c r="P429" s="16">
        <f>SUMIFS(O429:O429,E429:E429,"Science",F429:F429,"Completed")</f>
        <v>0</v>
      </c>
      <c r="Q429" s="3" t="str">
        <f>IF(MONTH(E429)&gt;=7, YEAR(E429)&amp;"-"&amp;YEAR(E429)+1, YEAR(E429)-1&amp;"-"&amp;YEAR(E429))</f>
        <v>2022-2023</v>
      </c>
      <c r="R429" s="3"/>
      <c r="S429" s="3"/>
      <c r="T429" s="15" t="str">
        <f t="shared" ca="1" si="6"/>
        <v>0</v>
      </c>
      <c r="U429" s="3"/>
    </row>
    <row r="430" spans="1:21" x14ac:dyDescent="0.35">
      <c r="A430" s="3" t="s">
        <v>881</v>
      </c>
      <c r="B430" s="3" t="s">
        <v>882</v>
      </c>
      <c r="C430" s="3" t="s">
        <v>25</v>
      </c>
      <c r="D430" s="3" t="s">
        <v>13</v>
      </c>
      <c r="E430" s="6">
        <v>44968</v>
      </c>
      <c r="F430" s="3" t="s">
        <v>19</v>
      </c>
      <c r="G430" s="3">
        <v>4844</v>
      </c>
      <c r="H430" s="3">
        <v>4629</v>
      </c>
      <c r="I430" s="3">
        <v>3.53</v>
      </c>
      <c r="J430" s="3">
        <v>42</v>
      </c>
      <c r="K430" s="15" t="str">
        <f ca="1">IF(F430="Enrolled",TODAY()-E430,"0")</f>
        <v>0</v>
      </c>
      <c r="L430" s="3" t="str">
        <f>IF(I430&gt;=3.5,"Excellent",IF(I430&gt;=3,"Good",IF(I430&gt;=2,"Average","Poor")))</f>
        <v>Excellent</v>
      </c>
      <c r="M430" s="3" t="str">
        <v>Dr.Mehta</v>
      </c>
      <c r="N430" s="3" t="str">
        <f>IF(H430 &gt; (G430*50%), "Yes", "No")</f>
        <v>Yes</v>
      </c>
      <c r="O430" s="16">
        <f>G430-H430</f>
        <v>215</v>
      </c>
      <c r="P430" s="16">
        <f>SUMIFS(O430:O430,E430:E430,"Science",F430:F430,"Completed")</f>
        <v>0</v>
      </c>
      <c r="Q430" s="3" t="str">
        <f>IF(MONTH(E430)&gt;=7, YEAR(E430)&amp;"-"&amp;YEAR(E430)+1, YEAR(E430)-1&amp;"-"&amp;YEAR(E430))</f>
        <v>2022-2023</v>
      </c>
      <c r="R430" s="3"/>
      <c r="S430" s="3"/>
      <c r="T430" s="15">
        <f t="shared" ca="1" si="6"/>
        <v>1086</v>
      </c>
      <c r="U430" s="3"/>
    </row>
    <row r="431" spans="1:21" x14ac:dyDescent="0.35">
      <c r="A431" s="3" t="s">
        <v>883</v>
      </c>
      <c r="B431" s="3" t="s">
        <v>884</v>
      </c>
      <c r="C431" s="3" t="s">
        <v>28</v>
      </c>
      <c r="D431" s="3" t="s">
        <v>18</v>
      </c>
      <c r="E431" s="6">
        <v>45001</v>
      </c>
      <c r="F431" s="3" t="s">
        <v>14</v>
      </c>
      <c r="G431" s="3">
        <v>6230</v>
      </c>
      <c r="H431" s="3">
        <v>9993</v>
      </c>
      <c r="I431" s="3">
        <v>3.22</v>
      </c>
      <c r="J431" s="3">
        <v>54</v>
      </c>
      <c r="K431" s="15">
        <f ca="1">IF(F431="Enrolled",TODAY()-E431,"0")</f>
        <v>1053</v>
      </c>
      <c r="L431" s="3" t="str">
        <f>IF(I431&gt;=3.5,"Excellent",IF(I431&gt;=3,"Good",IF(I431&gt;=2,"Average","Poor")))</f>
        <v>Good</v>
      </c>
      <c r="M431" s="3" t="str">
        <v>Dr.Roy</v>
      </c>
      <c r="N431" s="3" t="str">
        <f>IF(H431 &gt; (G431*50%), "Yes", "No")</f>
        <v>Yes</v>
      </c>
      <c r="O431" s="16">
        <f>G431-H431</f>
        <v>-3763</v>
      </c>
      <c r="P431" s="16">
        <f>SUMIFS(O431:O431,E431:E431,"Science",F431:F431,"Completed")</f>
        <v>0</v>
      </c>
      <c r="Q431" s="3" t="str">
        <f>IF(MONTH(E431)&gt;=7, YEAR(E431)&amp;"-"&amp;YEAR(E431)+1, YEAR(E431)-1&amp;"-"&amp;YEAR(E431))</f>
        <v>2022-2023</v>
      </c>
      <c r="R431" s="3"/>
      <c r="S431" s="3"/>
      <c r="T431" s="15" t="str">
        <f t="shared" ca="1" si="6"/>
        <v>0</v>
      </c>
      <c r="U431" s="3"/>
    </row>
    <row r="432" spans="1:21" x14ac:dyDescent="0.35">
      <c r="A432" s="3" t="s">
        <v>885</v>
      </c>
      <c r="B432" s="3" t="s">
        <v>886</v>
      </c>
      <c r="C432" s="3" t="s">
        <v>25</v>
      </c>
      <c r="D432" s="3" t="s">
        <v>18</v>
      </c>
      <c r="E432" s="6">
        <v>44577</v>
      </c>
      <c r="F432" s="3" t="s">
        <v>14</v>
      </c>
      <c r="G432" s="3">
        <v>8045</v>
      </c>
      <c r="H432" s="3">
        <v>9544</v>
      </c>
      <c r="I432" s="3">
        <v>3.7</v>
      </c>
      <c r="J432" s="3">
        <v>112</v>
      </c>
      <c r="K432" s="15">
        <f ca="1">IF(F432="Enrolled",TODAY()-E432,"0")</f>
        <v>1477</v>
      </c>
      <c r="L432" s="3" t="str">
        <f>IF(I432&gt;=3.5,"Excellent",IF(I432&gt;=3,"Good",IF(I432&gt;=2,"Average","Poor")))</f>
        <v>Excellent</v>
      </c>
      <c r="M432" s="3" t="str">
        <v>Dr.Roy</v>
      </c>
      <c r="N432" s="3" t="str">
        <f>IF(H432 &gt; (G432*50%), "Yes", "No")</f>
        <v>Yes</v>
      </c>
      <c r="O432" s="16">
        <f>G432-H432</f>
        <v>-1499</v>
      </c>
      <c r="P432" s="16">
        <f>SUMIFS(O432:O432,E432:E432,"Science",F432:F432,"Completed")</f>
        <v>0</v>
      </c>
      <c r="Q432" s="3" t="str">
        <f>IF(MONTH(E432)&gt;=7, YEAR(E432)&amp;"-"&amp;YEAR(E432)+1, YEAR(E432)-1&amp;"-"&amp;YEAR(E432))</f>
        <v>2021-2022</v>
      </c>
      <c r="R432" s="3"/>
      <c r="S432" s="3"/>
      <c r="T432" s="15" t="str">
        <f t="shared" ca="1" si="6"/>
        <v>0</v>
      </c>
      <c r="U432" s="3"/>
    </row>
    <row r="433" spans="1:21" x14ac:dyDescent="0.35">
      <c r="A433" s="3" t="s">
        <v>887</v>
      </c>
      <c r="B433" s="3" t="s">
        <v>888</v>
      </c>
      <c r="C433" s="3" t="s">
        <v>25</v>
      </c>
      <c r="D433" s="3" t="s">
        <v>31</v>
      </c>
      <c r="E433" s="6">
        <v>45060</v>
      </c>
      <c r="F433" s="3" t="s">
        <v>14</v>
      </c>
      <c r="G433" s="3">
        <v>14341</v>
      </c>
      <c r="H433" s="3">
        <v>3156</v>
      </c>
      <c r="I433" s="3">
        <v>3.45</v>
      </c>
      <c r="J433" s="3">
        <v>34</v>
      </c>
      <c r="K433" s="15">
        <f ca="1">IF(F433="Enrolled",TODAY()-E433,"0")</f>
        <v>994</v>
      </c>
      <c r="L433" s="3" t="str">
        <f>IF(I433&gt;=3.5,"Excellent",IF(I433&gt;=3,"Good",IF(I433&gt;=2,"Average","Poor")))</f>
        <v>Good</v>
      </c>
      <c r="M433" s="3" t="str">
        <v>Dr.Sharma</v>
      </c>
      <c r="N433" s="3" t="str">
        <f>IF(H433 &gt; (G433*50%), "Yes", "No")</f>
        <v>No</v>
      </c>
      <c r="O433" s="16">
        <f>G433-H433</f>
        <v>11185</v>
      </c>
      <c r="P433" s="16">
        <f>SUMIFS(O433:O433,E433:E433,"Science",F433:F433,"Completed")</f>
        <v>0</v>
      </c>
      <c r="Q433" s="3" t="str">
        <f>IF(MONTH(E433)&gt;=7, YEAR(E433)&amp;"-"&amp;YEAR(E433)+1, YEAR(E433)-1&amp;"-"&amp;YEAR(E433))</f>
        <v>2022-2023</v>
      </c>
      <c r="R433" s="3"/>
      <c r="S433" s="3"/>
      <c r="T433" s="15" t="str">
        <f t="shared" ca="1" si="6"/>
        <v>0</v>
      </c>
      <c r="U433" s="3"/>
    </row>
    <row r="434" spans="1:21" x14ac:dyDescent="0.35">
      <c r="A434" s="3" t="s">
        <v>889</v>
      </c>
      <c r="B434" s="3" t="s">
        <v>890</v>
      </c>
      <c r="C434" s="3" t="s">
        <v>12</v>
      </c>
      <c r="D434" s="3" t="s">
        <v>13</v>
      </c>
      <c r="E434" s="6">
        <v>45186</v>
      </c>
      <c r="F434" s="3" t="s">
        <v>39</v>
      </c>
      <c r="G434" s="3">
        <v>12361</v>
      </c>
      <c r="H434" s="3">
        <v>7447</v>
      </c>
      <c r="I434" s="3">
        <v>2.37</v>
      </c>
      <c r="J434" s="3">
        <v>62</v>
      </c>
      <c r="K434" s="15" t="str">
        <f ca="1">IF(F434="Enrolled",TODAY()-E434,"0")</f>
        <v>0</v>
      </c>
      <c r="L434" s="3" t="str">
        <f>IF(I434&gt;=3.5,"Excellent",IF(I434&gt;=3,"Good",IF(I434&gt;=2,"Average","Poor")))</f>
        <v>Average</v>
      </c>
      <c r="M434" s="3" t="str">
        <v>Dr.Mehta</v>
      </c>
      <c r="N434" s="3" t="str">
        <f>IF(H434 &gt; (G434*50%), "Yes", "No")</f>
        <v>Yes</v>
      </c>
      <c r="O434" s="16">
        <f>G434-H434</f>
        <v>4914</v>
      </c>
      <c r="P434" s="16">
        <f>SUMIFS(O434:O434,E434:E434,"Science",F434:F434,"Completed")</f>
        <v>0</v>
      </c>
      <c r="Q434" s="3" t="str">
        <f>IF(MONTH(E434)&gt;=7, YEAR(E434)&amp;"-"&amp;YEAR(E434)+1, YEAR(E434)-1&amp;"-"&amp;YEAR(E434))</f>
        <v>2023-2024</v>
      </c>
      <c r="R434" s="3"/>
      <c r="S434" s="3"/>
      <c r="T434" s="15" t="str">
        <f t="shared" ca="1" si="6"/>
        <v>0</v>
      </c>
      <c r="U434" s="3"/>
    </row>
    <row r="435" spans="1:21" x14ac:dyDescent="0.35">
      <c r="A435" s="3" t="s">
        <v>891</v>
      </c>
      <c r="B435" s="3" t="s">
        <v>892</v>
      </c>
      <c r="C435" s="3" t="s">
        <v>17</v>
      </c>
      <c r="D435" s="3" t="s">
        <v>18</v>
      </c>
      <c r="E435" s="6">
        <v>45100</v>
      </c>
      <c r="F435" s="3" t="s">
        <v>14</v>
      </c>
      <c r="G435" s="3">
        <v>5539</v>
      </c>
      <c r="H435" s="3">
        <v>4162</v>
      </c>
      <c r="I435" s="3">
        <v>2.06</v>
      </c>
      <c r="J435" s="3">
        <v>41</v>
      </c>
      <c r="K435" s="15">
        <f ca="1">IF(F435="Enrolled",TODAY()-E435,"0")</f>
        <v>954</v>
      </c>
      <c r="L435" s="3" t="str">
        <f>IF(I435&gt;=3.5,"Excellent",IF(I435&gt;=3,"Good",IF(I435&gt;=2,"Average","Poor")))</f>
        <v>Average</v>
      </c>
      <c r="M435" s="3" t="str">
        <v>Dr.Roy</v>
      </c>
      <c r="N435" s="3" t="str">
        <f>IF(H435 &gt; (G435*50%), "Yes", "No")</f>
        <v>Yes</v>
      </c>
      <c r="O435" s="16">
        <f>G435-H435</f>
        <v>1377</v>
      </c>
      <c r="P435" s="16">
        <f>SUMIFS(O435:O435,E435:E435,"Science",F435:F435,"Completed")</f>
        <v>0</v>
      </c>
      <c r="Q435" s="3" t="str">
        <f>IF(MONTH(E435)&gt;=7, YEAR(E435)&amp;"-"&amp;YEAR(E435)+1, YEAR(E435)-1&amp;"-"&amp;YEAR(E435))</f>
        <v>2022-2023</v>
      </c>
      <c r="R435" s="3"/>
      <c r="S435" s="3"/>
      <c r="T435" s="15" t="str">
        <f t="shared" ca="1" si="6"/>
        <v>0</v>
      </c>
      <c r="U435" s="3"/>
    </row>
    <row r="436" spans="1:21" x14ac:dyDescent="0.35">
      <c r="A436" s="3" t="s">
        <v>893</v>
      </c>
      <c r="B436" s="3" t="s">
        <v>894</v>
      </c>
      <c r="C436" s="3" t="s">
        <v>22</v>
      </c>
      <c r="D436" s="3" t="s">
        <v>18</v>
      </c>
      <c r="E436" s="6">
        <v>45111</v>
      </c>
      <c r="F436" s="3" t="s">
        <v>19</v>
      </c>
      <c r="G436" s="3">
        <v>9848</v>
      </c>
      <c r="H436" s="3">
        <v>4265</v>
      </c>
      <c r="I436" s="3">
        <v>3.47</v>
      </c>
      <c r="J436" s="3">
        <v>24</v>
      </c>
      <c r="K436" s="15" t="str">
        <f ca="1">IF(F436="Enrolled",TODAY()-E436,"0")</f>
        <v>0</v>
      </c>
      <c r="L436" s="3" t="str">
        <f>IF(I436&gt;=3.5,"Excellent",IF(I436&gt;=3,"Good",IF(I436&gt;=2,"Average","Poor")))</f>
        <v>Good</v>
      </c>
      <c r="M436" s="3" t="str">
        <v>Dr.Roy</v>
      </c>
      <c r="N436" s="3" t="str">
        <f>IF(H436 &gt; (G436*50%), "Yes", "No")</f>
        <v>No</v>
      </c>
      <c r="O436" s="16">
        <f>G436-H436</f>
        <v>5583</v>
      </c>
      <c r="P436" s="16">
        <f>SUMIFS(O436:O436,E436:E436,"Science",F436:F436,"Completed")</f>
        <v>0</v>
      </c>
      <c r="Q436" s="3" t="str">
        <f>IF(MONTH(E436)&gt;=7, YEAR(E436)&amp;"-"&amp;YEAR(E436)+1, YEAR(E436)-1&amp;"-"&amp;YEAR(E436))</f>
        <v>2023-2024</v>
      </c>
      <c r="R436" s="3"/>
      <c r="S436" s="3"/>
      <c r="T436" s="15">
        <f t="shared" ca="1" si="6"/>
        <v>943</v>
      </c>
      <c r="U436" s="3"/>
    </row>
    <row r="437" spans="1:21" x14ac:dyDescent="0.35">
      <c r="A437" s="3" t="s">
        <v>895</v>
      </c>
      <c r="B437" s="3" t="s">
        <v>896</v>
      </c>
      <c r="C437" s="3" t="s">
        <v>25</v>
      </c>
      <c r="D437" s="3" t="s">
        <v>31</v>
      </c>
      <c r="E437" s="6">
        <v>44763</v>
      </c>
      <c r="F437" s="3" t="s">
        <v>14</v>
      </c>
      <c r="G437" s="3">
        <v>3572</v>
      </c>
      <c r="H437" s="3">
        <v>2564</v>
      </c>
      <c r="I437" s="3">
        <v>2.58</v>
      </c>
      <c r="J437" s="3">
        <v>15</v>
      </c>
      <c r="K437" s="15">
        <f ca="1">IF(F437="Enrolled",TODAY()-E437,"0")</f>
        <v>1291</v>
      </c>
      <c r="L437" s="3" t="str">
        <f>IF(I437&gt;=3.5,"Excellent",IF(I437&gt;=3,"Good",IF(I437&gt;=2,"Average","Poor")))</f>
        <v>Average</v>
      </c>
      <c r="M437" s="3" t="str">
        <v>Dr.Sharma</v>
      </c>
      <c r="N437" s="3" t="str">
        <f>IF(H437 &gt; (G437*50%), "Yes", "No")</f>
        <v>Yes</v>
      </c>
      <c r="O437" s="16">
        <f>G437-H437</f>
        <v>1008</v>
      </c>
      <c r="P437" s="16">
        <f>SUMIFS(O437:O437,E437:E437,"Science",F437:F437,"Completed")</f>
        <v>0</v>
      </c>
      <c r="Q437" s="3" t="str">
        <f>IF(MONTH(E437)&gt;=7, YEAR(E437)&amp;"-"&amp;YEAR(E437)+1, YEAR(E437)-1&amp;"-"&amp;YEAR(E437))</f>
        <v>2022-2023</v>
      </c>
      <c r="R437" s="3"/>
      <c r="S437" s="3"/>
      <c r="T437" s="15" t="str">
        <f t="shared" ca="1" si="6"/>
        <v>0</v>
      </c>
      <c r="U437" s="3"/>
    </row>
    <row r="438" spans="1:21" x14ac:dyDescent="0.35">
      <c r="A438" s="3" t="s">
        <v>897</v>
      </c>
      <c r="B438" s="3" t="s">
        <v>898</v>
      </c>
      <c r="C438" s="3" t="s">
        <v>54</v>
      </c>
      <c r="D438" s="3" t="s">
        <v>31</v>
      </c>
      <c r="E438" s="6">
        <v>45382</v>
      </c>
      <c r="F438" s="3" t="s">
        <v>14</v>
      </c>
      <c r="G438" s="3">
        <v>10473</v>
      </c>
      <c r="H438" s="3">
        <v>6758</v>
      </c>
      <c r="I438" s="3">
        <v>2.06</v>
      </c>
      <c r="J438" s="3">
        <v>89</v>
      </c>
      <c r="K438" s="15">
        <f ca="1">IF(F438="Enrolled",TODAY()-E438,"0")</f>
        <v>672</v>
      </c>
      <c r="L438" s="3" t="str">
        <f>IF(I438&gt;=3.5,"Excellent",IF(I438&gt;=3,"Good",IF(I438&gt;=2,"Average","Poor")))</f>
        <v>Average</v>
      </c>
      <c r="M438" s="3" t="str">
        <v>Dr.Sharma</v>
      </c>
      <c r="N438" s="3" t="str">
        <f>IF(H438 &gt; (G438*50%), "Yes", "No")</f>
        <v>Yes</v>
      </c>
      <c r="O438" s="16">
        <f>G438-H438</f>
        <v>3715</v>
      </c>
      <c r="P438" s="16">
        <f>SUMIFS(O438:O438,E438:E438,"Science",F438:F438,"Completed")</f>
        <v>0</v>
      </c>
      <c r="Q438" s="3" t="str">
        <f>IF(MONTH(E438)&gt;=7, YEAR(E438)&amp;"-"&amp;YEAR(E438)+1, YEAR(E438)-1&amp;"-"&amp;YEAR(E438))</f>
        <v>2023-2024</v>
      </c>
      <c r="R438" s="3"/>
      <c r="S438" s="3"/>
      <c r="T438" s="15" t="str">
        <f t="shared" ca="1" si="6"/>
        <v>0</v>
      </c>
      <c r="U438" s="3"/>
    </row>
    <row r="439" spans="1:21" x14ac:dyDescent="0.35">
      <c r="A439" s="3" t="s">
        <v>899</v>
      </c>
      <c r="B439" s="3" t="s">
        <v>900</v>
      </c>
      <c r="C439" s="3" t="s">
        <v>54</v>
      </c>
      <c r="D439" s="3" t="s">
        <v>13</v>
      </c>
      <c r="E439" s="6">
        <v>45384</v>
      </c>
      <c r="F439" s="3" t="s">
        <v>14</v>
      </c>
      <c r="G439" s="3">
        <v>14206</v>
      </c>
      <c r="H439" s="3">
        <v>7664</v>
      </c>
      <c r="I439" s="3">
        <v>2.93</v>
      </c>
      <c r="J439" s="3">
        <v>107</v>
      </c>
      <c r="K439" s="15">
        <f ca="1">IF(F439="Enrolled",TODAY()-E439,"0")</f>
        <v>670</v>
      </c>
      <c r="L439" s="3" t="str">
        <f>IF(I439&gt;=3.5,"Excellent",IF(I439&gt;=3,"Good",IF(I439&gt;=2,"Average","Poor")))</f>
        <v>Average</v>
      </c>
      <c r="M439" s="3" t="str">
        <v>Dr.Mehta</v>
      </c>
      <c r="N439" s="3" t="str">
        <f>IF(H439 &gt; (G439*50%), "Yes", "No")</f>
        <v>Yes</v>
      </c>
      <c r="O439" s="16">
        <f>G439-H439</f>
        <v>6542</v>
      </c>
      <c r="P439" s="16">
        <f>SUMIFS(O439:O439,E439:E439,"Science",F439:F439,"Completed")</f>
        <v>0</v>
      </c>
      <c r="Q439" s="3" t="str">
        <f>IF(MONTH(E439)&gt;=7, YEAR(E439)&amp;"-"&amp;YEAR(E439)+1, YEAR(E439)-1&amp;"-"&amp;YEAR(E439))</f>
        <v>2023-2024</v>
      </c>
      <c r="R439" s="3"/>
      <c r="S439" s="3"/>
      <c r="T439" s="15" t="str">
        <f t="shared" ca="1" si="6"/>
        <v>0</v>
      </c>
      <c r="U439" s="3"/>
    </row>
    <row r="440" spans="1:21" x14ac:dyDescent="0.35">
      <c r="A440" s="3" t="s">
        <v>901</v>
      </c>
      <c r="B440" s="3" t="s">
        <v>902</v>
      </c>
      <c r="C440" s="3" t="s">
        <v>28</v>
      </c>
      <c r="D440" s="3" t="s">
        <v>13</v>
      </c>
      <c r="E440" s="6">
        <v>45027</v>
      </c>
      <c r="F440" s="3" t="s">
        <v>14</v>
      </c>
      <c r="G440" s="3">
        <v>13152</v>
      </c>
      <c r="H440" s="3">
        <v>5009</v>
      </c>
      <c r="I440" s="3">
        <v>3.55</v>
      </c>
      <c r="J440" s="3">
        <v>32</v>
      </c>
      <c r="K440" s="15">
        <f ca="1">IF(F440="Enrolled",TODAY()-E440,"0")</f>
        <v>1027</v>
      </c>
      <c r="L440" s="3" t="str">
        <f>IF(I440&gt;=3.5,"Excellent",IF(I440&gt;=3,"Good",IF(I440&gt;=2,"Average","Poor")))</f>
        <v>Excellent</v>
      </c>
      <c r="M440" s="3" t="str">
        <v>Dr.Mehta</v>
      </c>
      <c r="N440" s="3" t="str">
        <f>IF(H440 &gt; (G440*50%), "Yes", "No")</f>
        <v>No</v>
      </c>
      <c r="O440" s="16">
        <f>G440-H440</f>
        <v>8143</v>
      </c>
      <c r="P440" s="16">
        <f>SUMIFS(O440:O440,E440:E440,"Science",F440:F440,"Completed")</f>
        <v>0</v>
      </c>
      <c r="Q440" s="3" t="str">
        <f>IF(MONTH(E440)&gt;=7, YEAR(E440)&amp;"-"&amp;YEAR(E440)+1, YEAR(E440)-1&amp;"-"&amp;YEAR(E440))</f>
        <v>2022-2023</v>
      </c>
      <c r="R440" s="3"/>
      <c r="S440" s="3"/>
      <c r="T440" s="15" t="str">
        <f t="shared" ca="1" si="6"/>
        <v>0</v>
      </c>
      <c r="U440" s="3"/>
    </row>
    <row r="441" spans="1:21" x14ac:dyDescent="0.35">
      <c r="A441" s="3" t="s">
        <v>903</v>
      </c>
      <c r="B441" s="3" t="s">
        <v>904</v>
      </c>
      <c r="C441" s="3" t="s">
        <v>57</v>
      </c>
      <c r="D441" s="3" t="s">
        <v>18</v>
      </c>
      <c r="E441" s="6">
        <v>45136</v>
      </c>
      <c r="F441" s="3" t="s">
        <v>14</v>
      </c>
      <c r="G441" s="3">
        <v>4765</v>
      </c>
      <c r="H441" s="3">
        <v>8911</v>
      </c>
      <c r="I441" s="3">
        <v>3.2</v>
      </c>
      <c r="J441" s="3">
        <v>98</v>
      </c>
      <c r="K441" s="15">
        <f ca="1">IF(F441="Enrolled",TODAY()-E441,"0")</f>
        <v>918</v>
      </c>
      <c r="L441" s="3" t="str">
        <f>IF(I441&gt;=3.5,"Excellent",IF(I441&gt;=3,"Good",IF(I441&gt;=2,"Average","Poor")))</f>
        <v>Good</v>
      </c>
      <c r="M441" s="3" t="str">
        <v>Dr.Roy</v>
      </c>
      <c r="N441" s="3" t="str">
        <f>IF(H441 &gt; (G441*50%), "Yes", "No")</f>
        <v>Yes</v>
      </c>
      <c r="O441" s="16">
        <f>G441-H441</f>
        <v>-4146</v>
      </c>
      <c r="P441" s="16">
        <f>SUMIFS(O441:O441,E441:E441,"Science",F441:F441,"Completed")</f>
        <v>0</v>
      </c>
      <c r="Q441" s="3" t="str">
        <f>IF(MONTH(E441)&gt;=7, YEAR(E441)&amp;"-"&amp;YEAR(E441)+1, YEAR(E441)-1&amp;"-"&amp;YEAR(E441))</f>
        <v>2023-2024</v>
      </c>
      <c r="R441" s="3"/>
      <c r="S441" s="3"/>
      <c r="T441" s="15" t="str">
        <f t="shared" ca="1" si="6"/>
        <v>0</v>
      </c>
      <c r="U441" s="3"/>
    </row>
    <row r="442" spans="1:21" x14ac:dyDescent="0.35">
      <c r="A442" s="3" t="s">
        <v>905</v>
      </c>
      <c r="B442" s="3" t="s">
        <v>906</v>
      </c>
      <c r="C442" s="3" t="s">
        <v>12</v>
      </c>
      <c r="D442" s="3" t="s">
        <v>62</v>
      </c>
      <c r="E442" s="6">
        <v>44885</v>
      </c>
      <c r="F442" s="3" t="s">
        <v>14</v>
      </c>
      <c r="G442" s="3">
        <v>5955</v>
      </c>
      <c r="H442" s="3">
        <v>2658</v>
      </c>
      <c r="I442" s="3">
        <v>2.09</v>
      </c>
      <c r="J442" s="3">
        <v>28</v>
      </c>
      <c r="K442" s="15">
        <f ca="1">IF(F442="Enrolled",TODAY()-E442,"0")</f>
        <v>1169</v>
      </c>
      <c r="L442" s="3" t="str">
        <f>IF(I442&gt;=3.5,"Excellent",IF(I442&gt;=3,"Good",IF(I442&gt;=2,"Average","Poor")))</f>
        <v>Average</v>
      </c>
      <c r="M442" s="3" t="str">
        <v>Dr.Sinha</v>
      </c>
      <c r="N442" s="3" t="str">
        <f>IF(H442 &gt; (G442*50%), "Yes", "No")</f>
        <v>No</v>
      </c>
      <c r="O442" s="16">
        <f>G442-H442</f>
        <v>3297</v>
      </c>
      <c r="P442" s="16">
        <f>SUMIFS(O442:O442,E442:E442,"Science",F442:F442,"Completed")</f>
        <v>0</v>
      </c>
      <c r="Q442" s="3" t="str">
        <f>IF(MONTH(E442)&gt;=7, YEAR(E442)&amp;"-"&amp;YEAR(E442)+1, YEAR(E442)-1&amp;"-"&amp;YEAR(E442))</f>
        <v>2022-2023</v>
      </c>
      <c r="R442" s="3"/>
      <c r="S442" s="3"/>
      <c r="T442" s="15" t="str">
        <f t="shared" ca="1" si="6"/>
        <v>0</v>
      </c>
      <c r="U442" s="3"/>
    </row>
    <row r="443" spans="1:21" x14ac:dyDescent="0.35">
      <c r="A443" s="3" t="s">
        <v>907</v>
      </c>
      <c r="B443" s="3" t="s">
        <v>908</v>
      </c>
      <c r="C443" s="3" t="s">
        <v>54</v>
      </c>
      <c r="D443" s="3" t="s">
        <v>31</v>
      </c>
      <c r="E443" s="6">
        <v>45415</v>
      </c>
      <c r="F443" s="3" t="s">
        <v>14</v>
      </c>
      <c r="G443" s="3">
        <v>7836</v>
      </c>
      <c r="H443" s="3">
        <v>4315</v>
      </c>
      <c r="I443" s="3">
        <v>3.51</v>
      </c>
      <c r="J443" s="3">
        <v>21</v>
      </c>
      <c r="K443" s="15">
        <f ca="1">IF(F443="Enrolled",TODAY()-E443,"0")</f>
        <v>639</v>
      </c>
      <c r="L443" s="3" t="str">
        <f>IF(I443&gt;=3.5,"Excellent",IF(I443&gt;=3,"Good",IF(I443&gt;=2,"Average","Poor")))</f>
        <v>Excellent</v>
      </c>
      <c r="M443" s="3" t="str">
        <v>Dr.Sharma</v>
      </c>
      <c r="N443" s="3" t="str">
        <f>IF(H443 &gt; (G443*50%), "Yes", "No")</f>
        <v>Yes</v>
      </c>
      <c r="O443" s="16">
        <f>G443-H443</f>
        <v>3521</v>
      </c>
      <c r="P443" s="16">
        <f>SUMIFS(O443:O443,E443:E443,"Science",F443:F443,"Completed")</f>
        <v>0</v>
      </c>
      <c r="Q443" s="3" t="str">
        <f>IF(MONTH(E443)&gt;=7, YEAR(E443)&amp;"-"&amp;YEAR(E443)+1, YEAR(E443)-1&amp;"-"&amp;YEAR(E443))</f>
        <v>2023-2024</v>
      </c>
      <c r="R443" s="3"/>
      <c r="S443" s="3"/>
      <c r="T443" s="15" t="str">
        <f t="shared" ca="1" si="6"/>
        <v>0</v>
      </c>
      <c r="U443" s="3"/>
    </row>
    <row r="444" spans="1:21" x14ac:dyDescent="0.35">
      <c r="A444" s="3" t="s">
        <v>909</v>
      </c>
      <c r="B444" s="3" t="s">
        <v>910</v>
      </c>
      <c r="C444" s="3" t="s">
        <v>54</v>
      </c>
      <c r="D444" s="3" t="s">
        <v>31</v>
      </c>
      <c r="E444" s="6">
        <v>45244</v>
      </c>
      <c r="F444" s="3" t="s">
        <v>39</v>
      </c>
      <c r="G444" s="3">
        <v>5721</v>
      </c>
      <c r="H444" s="3">
        <v>2408</v>
      </c>
      <c r="I444" s="3">
        <v>2.65</v>
      </c>
      <c r="J444" s="3">
        <v>95</v>
      </c>
      <c r="K444" s="15" t="str">
        <f ca="1">IF(F444="Enrolled",TODAY()-E444,"0")</f>
        <v>0</v>
      </c>
      <c r="L444" s="3" t="str">
        <f>IF(I444&gt;=3.5,"Excellent",IF(I444&gt;=3,"Good",IF(I444&gt;=2,"Average","Poor")))</f>
        <v>Average</v>
      </c>
      <c r="M444" s="3" t="str">
        <v>Dr.Sharma</v>
      </c>
      <c r="N444" s="3" t="str">
        <f>IF(H444 &gt; (G444*50%), "Yes", "No")</f>
        <v>No</v>
      </c>
      <c r="O444" s="16">
        <f>G444-H444</f>
        <v>3313</v>
      </c>
      <c r="P444" s="16">
        <f>SUMIFS(O444:O444,E444:E444,"Science",F444:F444,"Completed")</f>
        <v>0</v>
      </c>
      <c r="Q444" s="3" t="str">
        <f>IF(MONTH(E444)&gt;=7, YEAR(E444)&amp;"-"&amp;YEAR(E444)+1, YEAR(E444)-1&amp;"-"&amp;YEAR(E444))</f>
        <v>2023-2024</v>
      </c>
      <c r="R444" s="3"/>
      <c r="S444" s="3"/>
      <c r="T444" s="15" t="str">
        <f t="shared" ca="1" si="6"/>
        <v>0</v>
      </c>
      <c r="U444" s="3"/>
    </row>
    <row r="445" spans="1:21" x14ac:dyDescent="0.35">
      <c r="A445" s="3" t="s">
        <v>911</v>
      </c>
      <c r="B445" s="3" t="s">
        <v>912</v>
      </c>
      <c r="C445" s="3" t="s">
        <v>17</v>
      </c>
      <c r="D445" s="3" t="s">
        <v>31</v>
      </c>
      <c r="E445" s="6">
        <v>45020</v>
      </c>
      <c r="F445" s="3" t="s">
        <v>14</v>
      </c>
      <c r="G445" s="3">
        <v>11681</v>
      </c>
      <c r="H445" s="3">
        <v>8380</v>
      </c>
      <c r="I445" s="3">
        <v>2.21</v>
      </c>
      <c r="J445" s="3">
        <v>116</v>
      </c>
      <c r="K445" s="15">
        <f ca="1">IF(F445="Enrolled",TODAY()-E445,"0")</f>
        <v>1034</v>
      </c>
      <c r="L445" s="3" t="str">
        <f>IF(I445&gt;=3.5,"Excellent",IF(I445&gt;=3,"Good",IF(I445&gt;=2,"Average","Poor")))</f>
        <v>Average</v>
      </c>
      <c r="M445" s="3" t="str">
        <v>Dr.Sharma</v>
      </c>
      <c r="N445" s="3" t="str">
        <f>IF(H445 &gt; (G445*50%), "Yes", "No")</f>
        <v>Yes</v>
      </c>
      <c r="O445" s="16">
        <f>G445-H445</f>
        <v>3301</v>
      </c>
      <c r="P445" s="16">
        <f>SUMIFS(O445:O445,E445:E445,"Science",F445:F445,"Completed")</f>
        <v>0</v>
      </c>
      <c r="Q445" s="3" t="str">
        <f>IF(MONTH(E445)&gt;=7, YEAR(E445)&amp;"-"&amp;YEAR(E445)+1, YEAR(E445)-1&amp;"-"&amp;YEAR(E445))</f>
        <v>2022-2023</v>
      </c>
      <c r="R445" s="3"/>
      <c r="S445" s="3"/>
      <c r="T445" s="15" t="str">
        <f t="shared" ca="1" si="6"/>
        <v>0</v>
      </c>
      <c r="U445" s="3"/>
    </row>
    <row r="446" spans="1:21" x14ac:dyDescent="0.35">
      <c r="A446" s="3" t="s">
        <v>913</v>
      </c>
      <c r="B446" s="3" t="s">
        <v>914</v>
      </c>
      <c r="C446" s="3" t="s">
        <v>57</v>
      </c>
      <c r="D446" s="3" t="s">
        <v>13</v>
      </c>
      <c r="E446" s="6">
        <v>44912</v>
      </c>
      <c r="F446" s="3" t="s">
        <v>14</v>
      </c>
      <c r="G446" s="3">
        <v>12943</v>
      </c>
      <c r="H446" s="3">
        <v>5191</v>
      </c>
      <c r="I446" s="3">
        <v>2.0099999999999998</v>
      </c>
      <c r="J446" s="3">
        <v>47</v>
      </c>
      <c r="K446" s="15">
        <f ca="1">IF(F446="Enrolled",TODAY()-E446,"0")</f>
        <v>1142</v>
      </c>
      <c r="L446" s="3" t="str">
        <f>IF(I446&gt;=3.5,"Excellent",IF(I446&gt;=3,"Good",IF(I446&gt;=2,"Average","Poor")))</f>
        <v>Average</v>
      </c>
      <c r="M446" s="3" t="str">
        <v>Dr.Mehta</v>
      </c>
      <c r="N446" s="3" t="str">
        <f>IF(H446 &gt; (G446*50%), "Yes", "No")</f>
        <v>No</v>
      </c>
      <c r="O446" s="16">
        <f>G446-H446</f>
        <v>7752</v>
      </c>
      <c r="P446" s="16">
        <f>SUMIFS(O446:O446,E446:E446,"Science",F446:F446,"Completed")</f>
        <v>0</v>
      </c>
      <c r="Q446" s="3" t="str">
        <f>IF(MONTH(E446)&gt;=7, YEAR(E446)&amp;"-"&amp;YEAR(E446)+1, YEAR(E446)-1&amp;"-"&amp;YEAR(E446))</f>
        <v>2022-2023</v>
      </c>
      <c r="R446" s="3"/>
      <c r="S446" s="3"/>
      <c r="T446" s="15" t="str">
        <f t="shared" ca="1" si="6"/>
        <v>0</v>
      </c>
      <c r="U446" s="3"/>
    </row>
    <row r="447" spans="1:21" x14ac:dyDescent="0.35">
      <c r="A447" s="3" t="s">
        <v>915</v>
      </c>
      <c r="B447" s="3" t="s">
        <v>916</v>
      </c>
      <c r="C447" s="3" t="s">
        <v>57</v>
      </c>
      <c r="D447" s="3" t="s">
        <v>13</v>
      </c>
      <c r="E447" s="6">
        <v>45444</v>
      </c>
      <c r="F447" s="3" t="s">
        <v>39</v>
      </c>
      <c r="G447" s="3">
        <v>5062</v>
      </c>
      <c r="H447" s="3">
        <v>5198</v>
      </c>
      <c r="I447" s="3">
        <v>2.69</v>
      </c>
      <c r="J447" s="3">
        <v>20</v>
      </c>
      <c r="K447" s="15" t="str">
        <f ca="1">IF(F447="Enrolled",TODAY()-E447,"0")</f>
        <v>0</v>
      </c>
      <c r="L447" s="3" t="str">
        <f>IF(I447&gt;=3.5,"Excellent",IF(I447&gt;=3,"Good",IF(I447&gt;=2,"Average","Poor")))</f>
        <v>Average</v>
      </c>
      <c r="M447" s="3" t="str">
        <v>Dr.Mehta</v>
      </c>
      <c r="N447" s="3" t="str">
        <f>IF(H447 &gt; (G447*50%), "Yes", "No")</f>
        <v>Yes</v>
      </c>
      <c r="O447" s="16">
        <f>G447-H447</f>
        <v>-136</v>
      </c>
      <c r="P447" s="16">
        <f>SUMIFS(O447:O447,E447:E447,"Science",F447:F447,"Completed")</f>
        <v>0</v>
      </c>
      <c r="Q447" s="3" t="str">
        <f>IF(MONTH(E447)&gt;=7, YEAR(E447)&amp;"-"&amp;YEAR(E447)+1, YEAR(E447)-1&amp;"-"&amp;YEAR(E447))</f>
        <v>2023-2024</v>
      </c>
      <c r="R447" s="3"/>
      <c r="S447" s="3"/>
      <c r="T447" s="15" t="str">
        <f t="shared" ca="1" si="6"/>
        <v>0</v>
      </c>
      <c r="U447" s="3"/>
    </row>
    <row r="448" spans="1:21" x14ac:dyDescent="0.35">
      <c r="A448" s="3" t="s">
        <v>917</v>
      </c>
      <c r="B448" s="3" t="s">
        <v>918</v>
      </c>
      <c r="C448" s="3" t="s">
        <v>28</v>
      </c>
      <c r="D448" s="3" t="s">
        <v>13</v>
      </c>
      <c r="E448" s="6">
        <v>45055</v>
      </c>
      <c r="F448" s="3" t="s">
        <v>14</v>
      </c>
      <c r="G448" s="3">
        <v>12038</v>
      </c>
      <c r="H448" s="3">
        <v>5910</v>
      </c>
      <c r="I448" s="3">
        <v>3.02</v>
      </c>
      <c r="J448" s="3">
        <v>117</v>
      </c>
      <c r="K448" s="15">
        <f ca="1">IF(F448="Enrolled",TODAY()-E448,"0")</f>
        <v>999</v>
      </c>
      <c r="L448" s="3" t="str">
        <f>IF(I448&gt;=3.5,"Excellent",IF(I448&gt;=3,"Good",IF(I448&gt;=2,"Average","Poor")))</f>
        <v>Good</v>
      </c>
      <c r="M448" s="3" t="str">
        <v>Dr.Mehta</v>
      </c>
      <c r="N448" s="3" t="str">
        <f>IF(H448 &gt; (G448*50%), "Yes", "No")</f>
        <v>No</v>
      </c>
      <c r="O448" s="16">
        <f>G448-H448</f>
        <v>6128</v>
      </c>
      <c r="P448" s="16">
        <f>SUMIFS(O448:O448,E448:E448,"Science",F448:F448,"Completed")</f>
        <v>0</v>
      </c>
      <c r="Q448" s="3" t="str">
        <f>IF(MONTH(E448)&gt;=7, YEAR(E448)&amp;"-"&amp;YEAR(E448)+1, YEAR(E448)-1&amp;"-"&amp;YEAR(E448))</f>
        <v>2022-2023</v>
      </c>
      <c r="R448" s="3"/>
      <c r="S448" s="3"/>
      <c r="T448" s="15" t="str">
        <f t="shared" ca="1" si="6"/>
        <v>0</v>
      </c>
      <c r="U448" s="3"/>
    </row>
    <row r="449" spans="1:21" x14ac:dyDescent="0.35">
      <c r="A449" s="3" t="s">
        <v>919</v>
      </c>
      <c r="B449" s="3" t="s">
        <v>920</v>
      </c>
      <c r="C449" s="3" t="s">
        <v>22</v>
      </c>
      <c r="D449" s="3" t="s">
        <v>62</v>
      </c>
      <c r="E449" s="6">
        <v>44627</v>
      </c>
      <c r="F449" s="3" t="s">
        <v>14</v>
      </c>
      <c r="G449" s="3">
        <v>12484</v>
      </c>
      <c r="H449" s="3">
        <v>3462</v>
      </c>
      <c r="I449" s="3">
        <v>2.93</v>
      </c>
      <c r="J449" s="3">
        <v>41</v>
      </c>
      <c r="K449" s="15">
        <f ca="1">IF(F449="Enrolled",TODAY()-E449,"0")</f>
        <v>1427</v>
      </c>
      <c r="L449" s="3" t="str">
        <f>IF(I449&gt;=3.5,"Excellent",IF(I449&gt;=3,"Good",IF(I449&gt;=2,"Average","Poor")))</f>
        <v>Average</v>
      </c>
      <c r="M449" s="3" t="str">
        <v>Dr.Sinha</v>
      </c>
      <c r="N449" s="3" t="str">
        <f>IF(H449 &gt; (G449*50%), "Yes", "No")</f>
        <v>No</v>
      </c>
      <c r="O449" s="16">
        <f>G449-H449</f>
        <v>9022</v>
      </c>
      <c r="P449" s="16">
        <f>SUMIFS(O449:O449,E449:E449,"Science",F449:F449,"Completed")</f>
        <v>0</v>
      </c>
      <c r="Q449" s="3" t="str">
        <f>IF(MONTH(E449)&gt;=7, YEAR(E449)&amp;"-"&amp;YEAR(E449)+1, YEAR(E449)-1&amp;"-"&amp;YEAR(E449))</f>
        <v>2021-2022</v>
      </c>
      <c r="R449" s="3"/>
      <c r="S449" s="3"/>
      <c r="T449" s="15" t="str">
        <f t="shared" ca="1" si="6"/>
        <v>0</v>
      </c>
      <c r="U449" s="3"/>
    </row>
    <row r="450" spans="1:21" x14ac:dyDescent="0.35">
      <c r="A450" s="3" t="s">
        <v>921</v>
      </c>
      <c r="B450" s="3" t="s">
        <v>922</v>
      </c>
      <c r="C450" s="3" t="s">
        <v>17</v>
      </c>
      <c r="D450" s="3" t="s">
        <v>18</v>
      </c>
      <c r="E450" s="6">
        <v>44730</v>
      </c>
      <c r="F450" s="3" t="s">
        <v>14</v>
      </c>
      <c r="G450" s="3">
        <v>10278</v>
      </c>
      <c r="H450" s="3">
        <v>9891</v>
      </c>
      <c r="I450" s="3">
        <v>3.9</v>
      </c>
      <c r="J450" s="3">
        <v>105</v>
      </c>
      <c r="K450" s="15">
        <f ca="1">IF(F450="Enrolled",TODAY()-E450,"0")</f>
        <v>1324</v>
      </c>
      <c r="L450" s="3" t="str">
        <f>IF(I450&gt;=3.5,"Excellent",IF(I450&gt;=3,"Good",IF(I450&gt;=2,"Average","Poor")))</f>
        <v>Excellent</v>
      </c>
      <c r="M450" s="3" t="str">
        <v>Dr.Roy</v>
      </c>
      <c r="N450" s="3" t="str">
        <f>IF(H450 &gt; (G450*50%), "Yes", "No")</f>
        <v>Yes</v>
      </c>
      <c r="O450" s="16">
        <f>G450-H450</f>
        <v>387</v>
      </c>
      <c r="P450" s="16">
        <f>SUMIFS(O450:O450,E450:E450,"Science",F450:F450,"Completed")</f>
        <v>0</v>
      </c>
      <c r="Q450" s="3" t="str">
        <f>IF(MONTH(E450)&gt;=7, YEAR(E450)&amp;"-"&amp;YEAR(E450)+1, YEAR(E450)-1&amp;"-"&amp;YEAR(E450))</f>
        <v>2021-2022</v>
      </c>
      <c r="R450" s="3"/>
      <c r="S450" s="3"/>
      <c r="T450" s="15" t="str">
        <f t="shared" ca="1" si="6"/>
        <v>0</v>
      </c>
      <c r="U450" s="3"/>
    </row>
    <row r="451" spans="1:21" x14ac:dyDescent="0.35">
      <c r="A451" s="3" t="s">
        <v>923</v>
      </c>
      <c r="B451" s="3" t="s">
        <v>924</v>
      </c>
      <c r="C451" s="3" t="s">
        <v>36</v>
      </c>
      <c r="D451" s="3" t="s">
        <v>62</v>
      </c>
      <c r="E451" s="6">
        <v>45407</v>
      </c>
      <c r="F451" s="3" t="s">
        <v>19</v>
      </c>
      <c r="G451" s="3">
        <v>14666</v>
      </c>
      <c r="H451" s="3">
        <v>8402</v>
      </c>
      <c r="I451" s="3">
        <v>3.55</v>
      </c>
      <c r="J451" s="3">
        <v>22</v>
      </c>
      <c r="K451" s="15" t="str">
        <f ca="1">IF(F451="Enrolled",TODAY()-E451,"0")</f>
        <v>0</v>
      </c>
      <c r="L451" s="3" t="str">
        <f>IF(I451&gt;=3.5,"Excellent",IF(I451&gt;=3,"Good",IF(I451&gt;=2,"Average","Poor")))</f>
        <v>Excellent</v>
      </c>
      <c r="M451" s="3" t="str">
        <v>Dr.Sinha</v>
      </c>
      <c r="N451" s="3" t="str">
        <f>IF(H451 &gt; (G451*50%), "Yes", "No")</f>
        <v>Yes</v>
      </c>
      <c r="O451" s="16">
        <f>G451-H451</f>
        <v>6264</v>
      </c>
      <c r="P451" s="16">
        <f>SUMIFS(O451:O451,E451:E451,"Science",F451:F451,"Completed")</f>
        <v>0</v>
      </c>
      <c r="Q451" s="3" t="str">
        <f>IF(MONTH(E451)&gt;=7, YEAR(E451)&amp;"-"&amp;YEAR(E451)+1, YEAR(E451)-1&amp;"-"&amp;YEAR(E451))</f>
        <v>2023-2024</v>
      </c>
      <c r="R451" s="3"/>
      <c r="S451" s="3"/>
      <c r="T451" s="15">
        <f t="shared" ref="T451:T514" ca="1" si="7">IF(F451="Completed",TODAY()-E451,"0")</f>
        <v>647</v>
      </c>
      <c r="U451" s="3"/>
    </row>
    <row r="452" spans="1:21" x14ac:dyDescent="0.35">
      <c r="A452" s="3" t="s">
        <v>925</v>
      </c>
      <c r="B452" s="3" t="s">
        <v>926</v>
      </c>
      <c r="C452" s="3" t="s">
        <v>57</v>
      </c>
      <c r="D452" s="3" t="s">
        <v>62</v>
      </c>
      <c r="E452" s="6">
        <v>45027</v>
      </c>
      <c r="F452" s="3" t="s">
        <v>14</v>
      </c>
      <c r="G452" s="3">
        <v>5773</v>
      </c>
      <c r="H452" s="3">
        <v>2234</v>
      </c>
      <c r="I452" s="3">
        <v>3.22</v>
      </c>
      <c r="J452" s="3">
        <v>1</v>
      </c>
      <c r="K452" s="15">
        <f ca="1">IF(F452="Enrolled",TODAY()-E452,"0")</f>
        <v>1027</v>
      </c>
      <c r="L452" s="3" t="str">
        <f>IF(I452&gt;=3.5,"Excellent",IF(I452&gt;=3,"Good",IF(I452&gt;=2,"Average","Poor")))</f>
        <v>Good</v>
      </c>
      <c r="M452" s="3" t="str">
        <v>Dr.Sinha</v>
      </c>
      <c r="N452" s="3" t="str">
        <f>IF(H452 &gt; (G452*50%), "Yes", "No")</f>
        <v>No</v>
      </c>
      <c r="O452" s="16">
        <f>G452-H452</f>
        <v>3539</v>
      </c>
      <c r="P452" s="16">
        <f>SUMIFS(O452:O452,E452:E452,"Science",F452:F452,"Completed")</f>
        <v>0</v>
      </c>
      <c r="Q452" s="3" t="str">
        <f>IF(MONTH(E452)&gt;=7, YEAR(E452)&amp;"-"&amp;YEAR(E452)+1, YEAR(E452)-1&amp;"-"&amp;YEAR(E452))</f>
        <v>2022-2023</v>
      </c>
      <c r="R452" s="3"/>
      <c r="S452" s="3"/>
      <c r="T452" s="15" t="str">
        <f t="shared" ca="1" si="7"/>
        <v>0</v>
      </c>
      <c r="U452" s="3"/>
    </row>
    <row r="453" spans="1:21" x14ac:dyDescent="0.35">
      <c r="A453" s="3" t="s">
        <v>927</v>
      </c>
      <c r="B453" s="3" t="s">
        <v>928</v>
      </c>
      <c r="C453" s="3" t="s">
        <v>17</v>
      </c>
      <c r="D453" s="3" t="s">
        <v>13</v>
      </c>
      <c r="E453" s="6">
        <v>45135</v>
      </c>
      <c r="F453" s="3" t="s">
        <v>19</v>
      </c>
      <c r="G453" s="3">
        <v>14561</v>
      </c>
      <c r="H453" s="3">
        <v>2548</v>
      </c>
      <c r="I453" s="3">
        <v>2.78</v>
      </c>
      <c r="J453" s="3">
        <v>73</v>
      </c>
      <c r="K453" s="15" t="str">
        <f ca="1">IF(F453="Enrolled",TODAY()-E453,"0")</f>
        <v>0</v>
      </c>
      <c r="L453" s="3" t="str">
        <f>IF(I453&gt;=3.5,"Excellent",IF(I453&gt;=3,"Good",IF(I453&gt;=2,"Average","Poor")))</f>
        <v>Average</v>
      </c>
      <c r="M453" s="3" t="str">
        <v>Dr.Mehta</v>
      </c>
      <c r="N453" s="3" t="str">
        <f>IF(H453 &gt; (G453*50%), "Yes", "No")</f>
        <v>No</v>
      </c>
      <c r="O453" s="16">
        <f>G453-H453</f>
        <v>12013</v>
      </c>
      <c r="P453" s="16">
        <f>SUMIFS(O453:O453,E453:E453,"Science",F453:F453,"Completed")</f>
        <v>0</v>
      </c>
      <c r="Q453" s="3" t="str">
        <f>IF(MONTH(E453)&gt;=7, YEAR(E453)&amp;"-"&amp;YEAR(E453)+1, YEAR(E453)-1&amp;"-"&amp;YEAR(E453))</f>
        <v>2023-2024</v>
      </c>
      <c r="R453" s="3"/>
      <c r="S453" s="3"/>
      <c r="T453" s="15">
        <f t="shared" ca="1" si="7"/>
        <v>919</v>
      </c>
      <c r="U453" s="3"/>
    </row>
    <row r="454" spans="1:21" x14ac:dyDescent="0.35">
      <c r="A454" s="3" t="s">
        <v>929</v>
      </c>
      <c r="B454" s="3" t="s">
        <v>930</v>
      </c>
      <c r="C454" s="3" t="s">
        <v>17</v>
      </c>
      <c r="D454" s="3" t="s">
        <v>62</v>
      </c>
      <c r="E454" s="6">
        <v>44665</v>
      </c>
      <c r="F454" s="3" t="s">
        <v>14</v>
      </c>
      <c r="G454" s="3">
        <v>10266</v>
      </c>
      <c r="H454" s="3">
        <v>7787</v>
      </c>
      <c r="I454" s="3">
        <v>2.36</v>
      </c>
      <c r="J454" s="3">
        <v>97</v>
      </c>
      <c r="K454" s="15">
        <f ca="1">IF(F454="Enrolled",TODAY()-E454,"0")</f>
        <v>1389</v>
      </c>
      <c r="L454" s="3" t="str">
        <f>IF(I454&gt;=3.5,"Excellent",IF(I454&gt;=3,"Good",IF(I454&gt;=2,"Average","Poor")))</f>
        <v>Average</v>
      </c>
      <c r="M454" s="3" t="str">
        <v>Dr.Sinha</v>
      </c>
      <c r="N454" s="3" t="str">
        <f>IF(H454 &gt; (G454*50%), "Yes", "No")</f>
        <v>Yes</v>
      </c>
      <c r="O454" s="16">
        <f>G454-H454</f>
        <v>2479</v>
      </c>
      <c r="P454" s="16">
        <f>SUMIFS(O454:O454,E454:E454,"Science",F454:F454,"Completed")</f>
        <v>0</v>
      </c>
      <c r="Q454" s="3" t="str">
        <f>IF(MONTH(E454)&gt;=7, YEAR(E454)&amp;"-"&amp;YEAR(E454)+1, YEAR(E454)-1&amp;"-"&amp;YEAR(E454))</f>
        <v>2021-2022</v>
      </c>
      <c r="R454" s="3"/>
      <c r="S454" s="3"/>
      <c r="T454" s="15" t="str">
        <f t="shared" ca="1" si="7"/>
        <v>0</v>
      </c>
      <c r="U454" s="3"/>
    </row>
    <row r="455" spans="1:21" x14ac:dyDescent="0.35">
      <c r="A455" s="3" t="s">
        <v>931</v>
      </c>
      <c r="B455" s="3" t="s">
        <v>932</v>
      </c>
      <c r="C455" s="3" t="s">
        <v>57</v>
      </c>
      <c r="D455" s="3" t="s">
        <v>62</v>
      </c>
      <c r="E455" s="6">
        <v>45177</v>
      </c>
      <c r="F455" s="3" t="s">
        <v>14</v>
      </c>
      <c r="G455" s="3">
        <v>7631</v>
      </c>
      <c r="H455" s="3">
        <v>3737</v>
      </c>
      <c r="I455" s="3">
        <v>3.84</v>
      </c>
      <c r="J455" s="3">
        <v>84</v>
      </c>
      <c r="K455" s="15">
        <f ca="1">IF(F455="Enrolled",TODAY()-E455,"0")</f>
        <v>877</v>
      </c>
      <c r="L455" s="3" t="str">
        <f>IF(I455&gt;=3.5,"Excellent",IF(I455&gt;=3,"Good",IF(I455&gt;=2,"Average","Poor")))</f>
        <v>Excellent</v>
      </c>
      <c r="M455" s="3" t="str">
        <v>Dr.Sinha</v>
      </c>
      <c r="N455" s="3" t="str">
        <f>IF(H455 &gt; (G455*50%), "Yes", "No")</f>
        <v>No</v>
      </c>
      <c r="O455" s="16">
        <f>G455-H455</f>
        <v>3894</v>
      </c>
      <c r="P455" s="16">
        <f>SUMIFS(O455:O455,E455:E455,"Science",F455:F455,"Completed")</f>
        <v>0</v>
      </c>
      <c r="Q455" s="3" t="str">
        <f>IF(MONTH(E455)&gt;=7, YEAR(E455)&amp;"-"&amp;YEAR(E455)+1, YEAR(E455)-1&amp;"-"&amp;YEAR(E455))</f>
        <v>2023-2024</v>
      </c>
      <c r="R455" s="3"/>
      <c r="S455" s="3"/>
      <c r="T455" s="15" t="str">
        <f t="shared" ca="1" si="7"/>
        <v>0</v>
      </c>
      <c r="U455" s="3"/>
    </row>
    <row r="456" spans="1:21" x14ac:dyDescent="0.35">
      <c r="A456" s="3" t="s">
        <v>933</v>
      </c>
      <c r="B456" s="3" t="s">
        <v>934</v>
      </c>
      <c r="C456" s="3" t="s">
        <v>17</v>
      </c>
      <c r="D456" s="3" t="s">
        <v>13</v>
      </c>
      <c r="E456" s="6">
        <v>44606</v>
      </c>
      <c r="F456" s="3" t="s">
        <v>39</v>
      </c>
      <c r="G456" s="3">
        <v>8113</v>
      </c>
      <c r="H456" s="3">
        <v>5772</v>
      </c>
      <c r="I456" s="3">
        <v>2.13</v>
      </c>
      <c r="J456" s="3">
        <v>23</v>
      </c>
      <c r="K456" s="15" t="str">
        <f ca="1">IF(F456="Enrolled",TODAY()-E456,"0")</f>
        <v>0</v>
      </c>
      <c r="L456" s="3" t="str">
        <f>IF(I456&gt;=3.5,"Excellent",IF(I456&gt;=3,"Good",IF(I456&gt;=2,"Average","Poor")))</f>
        <v>Average</v>
      </c>
      <c r="M456" s="3" t="str">
        <v>Dr.Mehta</v>
      </c>
      <c r="N456" s="3" t="str">
        <f>IF(H456 &gt; (G456*50%), "Yes", "No")</f>
        <v>Yes</v>
      </c>
      <c r="O456" s="16">
        <f>G456-H456</f>
        <v>2341</v>
      </c>
      <c r="P456" s="16">
        <f>SUMIFS(O456:O456,E456:E456,"Science",F456:F456,"Completed")</f>
        <v>0</v>
      </c>
      <c r="Q456" s="3" t="str">
        <f>IF(MONTH(E456)&gt;=7, YEAR(E456)&amp;"-"&amp;YEAR(E456)+1, YEAR(E456)-1&amp;"-"&amp;YEAR(E456))</f>
        <v>2021-2022</v>
      </c>
      <c r="R456" s="3"/>
      <c r="S456" s="3"/>
      <c r="T456" s="15" t="str">
        <f t="shared" ca="1" si="7"/>
        <v>0</v>
      </c>
      <c r="U456" s="3"/>
    </row>
    <row r="457" spans="1:21" x14ac:dyDescent="0.35">
      <c r="A457" s="3" t="s">
        <v>935</v>
      </c>
      <c r="B457" s="3" t="s">
        <v>936</v>
      </c>
      <c r="C457" s="3" t="s">
        <v>54</v>
      </c>
      <c r="D457" s="3" t="s">
        <v>31</v>
      </c>
      <c r="E457" s="6">
        <v>44581</v>
      </c>
      <c r="F457" s="3" t="s">
        <v>39</v>
      </c>
      <c r="G457" s="3">
        <v>8188</v>
      </c>
      <c r="H457" s="3">
        <v>5814</v>
      </c>
      <c r="I457" s="3">
        <v>3.94</v>
      </c>
      <c r="J457" s="3">
        <v>48</v>
      </c>
      <c r="K457" s="15" t="str">
        <f ca="1">IF(F457="Enrolled",TODAY()-E457,"0")</f>
        <v>0</v>
      </c>
      <c r="L457" s="3" t="str">
        <f>IF(I457&gt;=3.5,"Excellent",IF(I457&gt;=3,"Good",IF(I457&gt;=2,"Average","Poor")))</f>
        <v>Excellent</v>
      </c>
      <c r="M457" s="3" t="str">
        <v>Dr.Sharma</v>
      </c>
      <c r="N457" s="3" t="str">
        <f>IF(H457 &gt; (G457*50%), "Yes", "No")</f>
        <v>Yes</v>
      </c>
      <c r="O457" s="16">
        <f>G457-H457</f>
        <v>2374</v>
      </c>
      <c r="P457" s="16">
        <f>SUMIFS(O457:O457,E457:E457,"Science",F457:F457,"Completed")</f>
        <v>0</v>
      </c>
      <c r="Q457" s="3" t="str">
        <f>IF(MONTH(E457)&gt;=7, YEAR(E457)&amp;"-"&amp;YEAR(E457)+1, YEAR(E457)-1&amp;"-"&amp;YEAR(E457))</f>
        <v>2021-2022</v>
      </c>
      <c r="R457" s="3"/>
      <c r="S457" s="3"/>
      <c r="T457" s="15" t="str">
        <f t="shared" ca="1" si="7"/>
        <v>0</v>
      </c>
      <c r="U457" s="3"/>
    </row>
    <row r="458" spans="1:21" x14ac:dyDescent="0.35">
      <c r="A458" s="3" t="s">
        <v>937</v>
      </c>
      <c r="B458" s="3" t="s">
        <v>938</v>
      </c>
      <c r="C458" s="3" t="s">
        <v>36</v>
      </c>
      <c r="D458" s="3" t="s">
        <v>13</v>
      </c>
      <c r="E458" s="6">
        <v>45397</v>
      </c>
      <c r="F458" s="3" t="s">
        <v>14</v>
      </c>
      <c r="G458" s="3">
        <v>11072</v>
      </c>
      <c r="H458" s="3">
        <v>3466</v>
      </c>
      <c r="I458" s="3">
        <v>2.4700000000000002</v>
      </c>
      <c r="J458" s="3">
        <v>2</v>
      </c>
      <c r="K458" s="15">
        <f ca="1">IF(F458="Enrolled",TODAY()-E458,"0")</f>
        <v>657</v>
      </c>
      <c r="L458" s="3" t="str">
        <f>IF(I458&gt;=3.5,"Excellent",IF(I458&gt;=3,"Good",IF(I458&gt;=2,"Average","Poor")))</f>
        <v>Average</v>
      </c>
      <c r="M458" s="3" t="str">
        <v>Dr.Mehta</v>
      </c>
      <c r="N458" s="3" t="str">
        <f>IF(H458 &gt; (G458*50%), "Yes", "No")</f>
        <v>No</v>
      </c>
      <c r="O458" s="16">
        <f>G458-H458</f>
        <v>7606</v>
      </c>
      <c r="P458" s="16">
        <f>SUMIFS(O458:O458,E458:E458,"Science",F458:F458,"Completed")</f>
        <v>0</v>
      </c>
      <c r="Q458" s="3" t="str">
        <f>IF(MONTH(E458)&gt;=7, YEAR(E458)&amp;"-"&amp;YEAR(E458)+1, YEAR(E458)-1&amp;"-"&amp;YEAR(E458))</f>
        <v>2023-2024</v>
      </c>
      <c r="R458" s="3"/>
      <c r="S458" s="3"/>
      <c r="T458" s="15" t="str">
        <f t="shared" ca="1" si="7"/>
        <v>0</v>
      </c>
      <c r="U458" s="3"/>
    </row>
    <row r="459" spans="1:21" x14ac:dyDescent="0.35">
      <c r="A459" s="3" t="s">
        <v>939</v>
      </c>
      <c r="B459" s="3" t="s">
        <v>940</v>
      </c>
      <c r="C459" s="3" t="s">
        <v>25</v>
      </c>
      <c r="D459" s="3" t="s">
        <v>31</v>
      </c>
      <c r="E459" s="6">
        <v>45338</v>
      </c>
      <c r="F459" s="3" t="s">
        <v>14</v>
      </c>
      <c r="G459" s="3">
        <v>10070</v>
      </c>
      <c r="H459" s="3">
        <v>6381</v>
      </c>
      <c r="I459" s="3">
        <v>2.36</v>
      </c>
      <c r="J459" s="3">
        <v>111</v>
      </c>
      <c r="K459" s="15">
        <f ca="1">IF(F459="Enrolled",TODAY()-E459,"0")</f>
        <v>716</v>
      </c>
      <c r="L459" s="3" t="str">
        <f>IF(I459&gt;=3.5,"Excellent",IF(I459&gt;=3,"Good",IF(I459&gt;=2,"Average","Poor")))</f>
        <v>Average</v>
      </c>
      <c r="M459" s="3" t="str">
        <v>Dr.Sharma</v>
      </c>
      <c r="N459" s="3" t="str">
        <f>IF(H459 &gt; (G459*50%), "Yes", "No")</f>
        <v>Yes</v>
      </c>
      <c r="O459" s="16">
        <f>G459-H459</f>
        <v>3689</v>
      </c>
      <c r="P459" s="16">
        <f>SUMIFS(O459:O459,E459:E459,"Science",F459:F459,"Completed")</f>
        <v>0</v>
      </c>
      <c r="Q459" s="3" t="str">
        <f>IF(MONTH(E459)&gt;=7, YEAR(E459)&amp;"-"&amp;YEAR(E459)+1, YEAR(E459)-1&amp;"-"&amp;YEAR(E459))</f>
        <v>2023-2024</v>
      </c>
      <c r="R459" s="3"/>
      <c r="S459" s="3"/>
      <c r="T459" s="15" t="str">
        <f t="shared" ca="1" si="7"/>
        <v>0</v>
      </c>
      <c r="U459" s="3"/>
    </row>
    <row r="460" spans="1:21" x14ac:dyDescent="0.35">
      <c r="A460" s="3" t="s">
        <v>941</v>
      </c>
      <c r="B460" s="3" t="s">
        <v>942</v>
      </c>
      <c r="C460" s="3" t="s">
        <v>25</v>
      </c>
      <c r="D460" s="3" t="s">
        <v>18</v>
      </c>
      <c r="E460" s="6">
        <v>44648</v>
      </c>
      <c r="F460" s="3" t="s">
        <v>19</v>
      </c>
      <c r="G460" s="3">
        <v>10311</v>
      </c>
      <c r="H460" s="3">
        <v>1376</v>
      </c>
      <c r="I460" s="3">
        <v>2.76</v>
      </c>
      <c r="J460" s="3">
        <v>104</v>
      </c>
      <c r="K460" s="15" t="str">
        <f ca="1">IF(F460="Enrolled",TODAY()-E460,"0")</f>
        <v>0</v>
      </c>
      <c r="L460" s="3" t="str">
        <f>IF(I460&gt;=3.5,"Excellent",IF(I460&gt;=3,"Good",IF(I460&gt;=2,"Average","Poor")))</f>
        <v>Average</v>
      </c>
      <c r="M460" s="3" t="str">
        <v>Dr.Roy</v>
      </c>
      <c r="N460" s="3" t="str">
        <f>IF(H460 &gt; (G460*50%), "Yes", "No")</f>
        <v>No</v>
      </c>
      <c r="O460" s="16">
        <f>G460-H460</f>
        <v>8935</v>
      </c>
      <c r="P460" s="16">
        <f>SUMIFS(O460:O460,E460:E460,"Science",F460:F460,"Completed")</f>
        <v>0</v>
      </c>
      <c r="Q460" s="3" t="str">
        <f>IF(MONTH(E460)&gt;=7, YEAR(E460)&amp;"-"&amp;YEAR(E460)+1, YEAR(E460)-1&amp;"-"&amp;YEAR(E460))</f>
        <v>2021-2022</v>
      </c>
      <c r="R460" s="3"/>
      <c r="S460" s="3"/>
      <c r="T460" s="15">
        <f t="shared" ca="1" si="7"/>
        <v>1406</v>
      </c>
      <c r="U460" s="3"/>
    </row>
    <row r="461" spans="1:21" x14ac:dyDescent="0.35">
      <c r="A461" s="3" t="s">
        <v>943</v>
      </c>
      <c r="B461" s="3" t="s">
        <v>944</v>
      </c>
      <c r="C461" s="3" t="s">
        <v>36</v>
      </c>
      <c r="D461" s="3" t="s">
        <v>31</v>
      </c>
      <c r="E461" s="6">
        <v>45308</v>
      </c>
      <c r="F461" s="3" t="s">
        <v>14</v>
      </c>
      <c r="G461" s="3">
        <v>7796</v>
      </c>
      <c r="H461" s="3">
        <v>7561</v>
      </c>
      <c r="I461" s="3">
        <v>2.42</v>
      </c>
      <c r="J461" s="3">
        <v>102</v>
      </c>
      <c r="K461" s="15">
        <f ca="1">IF(F461="Enrolled",TODAY()-E461,"0")</f>
        <v>746</v>
      </c>
      <c r="L461" s="3" t="str">
        <f>IF(I461&gt;=3.5,"Excellent",IF(I461&gt;=3,"Good",IF(I461&gt;=2,"Average","Poor")))</f>
        <v>Average</v>
      </c>
      <c r="M461" s="3" t="str">
        <v>Dr.Sharma</v>
      </c>
      <c r="N461" s="3" t="str">
        <f>IF(H461 &gt; (G461*50%), "Yes", "No")</f>
        <v>Yes</v>
      </c>
      <c r="O461" s="16">
        <f>G461-H461</f>
        <v>235</v>
      </c>
      <c r="P461" s="16">
        <f>SUMIFS(O461:O461,E461:E461,"Science",F461:F461,"Completed")</f>
        <v>0</v>
      </c>
      <c r="Q461" s="3" t="str">
        <f>IF(MONTH(E461)&gt;=7, YEAR(E461)&amp;"-"&amp;YEAR(E461)+1, YEAR(E461)-1&amp;"-"&amp;YEAR(E461))</f>
        <v>2023-2024</v>
      </c>
      <c r="R461" s="3"/>
      <c r="S461" s="3"/>
      <c r="T461" s="15" t="str">
        <f t="shared" ca="1" si="7"/>
        <v>0</v>
      </c>
      <c r="U461" s="3"/>
    </row>
    <row r="462" spans="1:21" x14ac:dyDescent="0.35">
      <c r="A462" s="3" t="s">
        <v>945</v>
      </c>
      <c r="B462" s="3" t="s">
        <v>946</v>
      </c>
      <c r="C462" s="3" t="s">
        <v>17</v>
      </c>
      <c r="D462" s="3" t="s">
        <v>18</v>
      </c>
      <c r="E462" s="6">
        <v>45366</v>
      </c>
      <c r="F462" s="3" t="s">
        <v>14</v>
      </c>
      <c r="G462" s="3">
        <v>3923</v>
      </c>
      <c r="H462" s="3">
        <v>9125</v>
      </c>
      <c r="I462" s="3">
        <v>3.36</v>
      </c>
      <c r="J462" s="3">
        <v>63</v>
      </c>
      <c r="K462" s="15">
        <f ca="1">IF(F462="Enrolled",TODAY()-E462,"0")</f>
        <v>688</v>
      </c>
      <c r="L462" s="3" t="str">
        <f>IF(I462&gt;=3.5,"Excellent",IF(I462&gt;=3,"Good",IF(I462&gt;=2,"Average","Poor")))</f>
        <v>Good</v>
      </c>
      <c r="M462" s="3" t="str">
        <v>Dr.Roy</v>
      </c>
      <c r="N462" s="3" t="str">
        <f>IF(H462 &gt; (G462*50%), "Yes", "No")</f>
        <v>Yes</v>
      </c>
      <c r="O462" s="16">
        <f>G462-H462</f>
        <v>-5202</v>
      </c>
      <c r="P462" s="16">
        <f>SUMIFS(O462:O462,E462:E462,"Science",F462:F462,"Completed")</f>
        <v>0</v>
      </c>
      <c r="Q462" s="3" t="str">
        <f>IF(MONTH(E462)&gt;=7, YEAR(E462)&amp;"-"&amp;YEAR(E462)+1, YEAR(E462)-1&amp;"-"&amp;YEAR(E462))</f>
        <v>2023-2024</v>
      </c>
      <c r="R462" s="3"/>
      <c r="S462" s="3"/>
      <c r="T462" s="15" t="str">
        <f t="shared" ca="1" si="7"/>
        <v>0</v>
      </c>
      <c r="U462" s="3"/>
    </row>
    <row r="463" spans="1:21" x14ac:dyDescent="0.35">
      <c r="A463" s="3" t="s">
        <v>947</v>
      </c>
      <c r="B463" s="3" t="s">
        <v>948</v>
      </c>
      <c r="C463" s="3" t="s">
        <v>57</v>
      </c>
      <c r="D463" s="3" t="s">
        <v>18</v>
      </c>
      <c r="E463" s="6">
        <v>44968</v>
      </c>
      <c r="F463" s="3" t="s">
        <v>19</v>
      </c>
      <c r="G463" s="3">
        <v>11697</v>
      </c>
      <c r="H463" s="3">
        <v>6392</v>
      </c>
      <c r="I463" s="3">
        <v>2.61</v>
      </c>
      <c r="J463" s="3">
        <v>3</v>
      </c>
      <c r="K463" s="15" t="str">
        <f ca="1">IF(F463="Enrolled",TODAY()-E463,"0")</f>
        <v>0</v>
      </c>
      <c r="L463" s="3" t="str">
        <f>IF(I463&gt;=3.5,"Excellent",IF(I463&gt;=3,"Good",IF(I463&gt;=2,"Average","Poor")))</f>
        <v>Average</v>
      </c>
      <c r="M463" s="3" t="str">
        <v>Dr.Roy</v>
      </c>
      <c r="N463" s="3" t="str">
        <f>IF(H463 &gt; (G463*50%), "Yes", "No")</f>
        <v>Yes</v>
      </c>
      <c r="O463" s="16">
        <f>G463-H463</f>
        <v>5305</v>
      </c>
      <c r="P463" s="16">
        <f>SUMIFS(O463:O463,E463:E463,"Science",F463:F463,"Completed")</f>
        <v>0</v>
      </c>
      <c r="Q463" s="3" t="str">
        <f>IF(MONTH(E463)&gt;=7, YEAR(E463)&amp;"-"&amp;YEAR(E463)+1, YEAR(E463)-1&amp;"-"&amp;YEAR(E463))</f>
        <v>2022-2023</v>
      </c>
      <c r="R463" s="3"/>
      <c r="S463" s="3"/>
      <c r="T463" s="15">
        <f t="shared" ca="1" si="7"/>
        <v>1086</v>
      </c>
      <c r="U463" s="3"/>
    </row>
    <row r="464" spans="1:21" x14ac:dyDescent="0.35">
      <c r="A464" s="3" t="s">
        <v>949</v>
      </c>
      <c r="B464" s="3" t="s">
        <v>950</v>
      </c>
      <c r="C464" s="3" t="s">
        <v>28</v>
      </c>
      <c r="D464" s="3" t="s">
        <v>18</v>
      </c>
      <c r="E464" s="6">
        <v>45440</v>
      </c>
      <c r="F464" s="3" t="s">
        <v>14</v>
      </c>
      <c r="G464" s="3">
        <v>2666</v>
      </c>
      <c r="H464" s="3">
        <v>2729</v>
      </c>
      <c r="I464" s="3">
        <v>2.94</v>
      </c>
      <c r="J464" s="3">
        <v>10</v>
      </c>
      <c r="K464" s="15">
        <f ca="1">IF(F464="Enrolled",TODAY()-E464,"0")</f>
        <v>614</v>
      </c>
      <c r="L464" s="3" t="str">
        <f>IF(I464&gt;=3.5,"Excellent",IF(I464&gt;=3,"Good",IF(I464&gt;=2,"Average","Poor")))</f>
        <v>Average</v>
      </c>
      <c r="M464" s="3" t="str">
        <v>Dr.Roy</v>
      </c>
      <c r="N464" s="3" t="str">
        <f>IF(H464 &gt; (G464*50%), "Yes", "No")</f>
        <v>Yes</v>
      </c>
      <c r="O464" s="16">
        <f>G464-H464</f>
        <v>-63</v>
      </c>
      <c r="P464" s="16">
        <f>SUMIFS(O464:O464,E464:E464,"Science",F464:F464,"Completed")</f>
        <v>0</v>
      </c>
      <c r="Q464" s="3" t="str">
        <f>IF(MONTH(E464)&gt;=7, YEAR(E464)&amp;"-"&amp;YEAR(E464)+1, YEAR(E464)-1&amp;"-"&amp;YEAR(E464))</f>
        <v>2023-2024</v>
      </c>
      <c r="R464" s="3"/>
      <c r="S464" s="3"/>
      <c r="T464" s="15" t="str">
        <f t="shared" ca="1" si="7"/>
        <v>0</v>
      </c>
      <c r="U464" s="3"/>
    </row>
    <row r="465" spans="1:21" x14ac:dyDescent="0.35">
      <c r="A465" s="3" t="s">
        <v>951</v>
      </c>
      <c r="B465" s="3" t="s">
        <v>952</v>
      </c>
      <c r="C465" s="3" t="s">
        <v>12</v>
      </c>
      <c r="D465" s="3" t="s">
        <v>62</v>
      </c>
      <c r="E465" s="6">
        <v>44650</v>
      </c>
      <c r="F465" s="3" t="s">
        <v>14</v>
      </c>
      <c r="G465" s="3">
        <v>7947</v>
      </c>
      <c r="H465" s="3">
        <v>1</v>
      </c>
      <c r="I465" s="3">
        <v>3.25</v>
      </c>
      <c r="J465" s="3">
        <v>60</v>
      </c>
      <c r="K465" s="15">
        <f ca="1">IF(F465="Enrolled",TODAY()-E465,"0")</f>
        <v>1404</v>
      </c>
      <c r="L465" s="3" t="str">
        <f>IF(I465&gt;=3.5,"Excellent",IF(I465&gt;=3,"Good",IF(I465&gt;=2,"Average","Poor")))</f>
        <v>Good</v>
      </c>
      <c r="M465" s="3" t="str">
        <v>Dr.Sinha</v>
      </c>
      <c r="N465" s="3" t="str">
        <f>IF(H465 &gt; (G465*50%), "Yes", "No")</f>
        <v>No</v>
      </c>
      <c r="O465" s="16">
        <f>G465-H465</f>
        <v>7946</v>
      </c>
      <c r="P465" s="16">
        <f>SUMIFS(O465:O465,E465:E465,"Science",F465:F465,"Completed")</f>
        <v>0</v>
      </c>
      <c r="Q465" s="3" t="str">
        <f>IF(MONTH(E465)&gt;=7, YEAR(E465)&amp;"-"&amp;YEAR(E465)+1, YEAR(E465)-1&amp;"-"&amp;YEAR(E465))</f>
        <v>2021-2022</v>
      </c>
      <c r="R465" s="3"/>
      <c r="S465" s="3"/>
      <c r="T465" s="15" t="str">
        <f t="shared" ca="1" si="7"/>
        <v>0</v>
      </c>
      <c r="U465" s="3"/>
    </row>
    <row r="466" spans="1:21" x14ac:dyDescent="0.35">
      <c r="A466" s="3" t="s">
        <v>953</v>
      </c>
      <c r="B466" s="3" t="s">
        <v>954</v>
      </c>
      <c r="C466" s="3" t="s">
        <v>22</v>
      </c>
      <c r="D466" s="3" t="s">
        <v>31</v>
      </c>
      <c r="E466" s="6">
        <v>44983</v>
      </c>
      <c r="F466" s="3" t="s">
        <v>19</v>
      </c>
      <c r="G466" s="3">
        <v>10596</v>
      </c>
      <c r="H466" s="3">
        <v>9803</v>
      </c>
      <c r="I466" s="3">
        <v>2.16</v>
      </c>
      <c r="J466" s="3">
        <v>118</v>
      </c>
      <c r="K466" s="15" t="str">
        <f ca="1">IF(F466="Enrolled",TODAY()-E466,"0")</f>
        <v>0</v>
      </c>
      <c r="L466" s="3" t="str">
        <f>IF(I466&gt;=3.5,"Excellent",IF(I466&gt;=3,"Good",IF(I466&gt;=2,"Average","Poor")))</f>
        <v>Average</v>
      </c>
      <c r="M466" s="3" t="str">
        <v>Dr.Sharma</v>
      </c>
      <c r="N466" s="3" t="str">
        <f>IF(H466 &gt; (G466*50%), "Yes", "No")</f>
        <v>Yes</v>
      </c>
      <c r="O466" s="16">
        <f>G466-H466</f>
        <v>793</v>
      </c>
      <c r="P466" s="16">
        <f>SUMIFS(O466:O466,E466:E466,"Science",F466:F466,"Completed")</f>
        <v>0</v>
      </c>
      <c r="Q466" s="3" t="str">
        <f>IF(MONTH(E466)&gt;=7, YEAR(E466)&amp;"-"&amp;YEAR(E466)+1, YEAR(E466)-1&amp;"-"&amp;YEAR(E466))</f>
        <v>2022-2023</v>
      </c>
      <c r="R466" s="3"/>
      <c r="S466" s="3"/>
      <c r="T466" s="15">
        <f t="shared" ca="1" si="7"/>
        <v>1071</v>
      </c>
      <c r="U466" s="3"/>
    </row>
    <row r="467" spans="1:21" x14ac:dyDescent="0.35">
      <c r="A467" s="3" t="s">
        <v>955</v>
      </c>
      <c r="B467" s="3" t="s">
        <v>956</v>
      </c>
      <c r="C467" s="3" t="s">
        <v>54</v>
      </c>
      <c r="D467" s="3" t="s">
        <v>31</v>
      </c>
      <c r="E467" s="6">
        <v>44807</v>
      </c>
      <c r="F467" s="3" t="s">
        <v>14</v>
      </c>
      <c r="G467" s="3">
        <v>8634</v>
      </c>
      <c r="H467" s="3">
        <v>3087</v>
      </c>
      <c r="I467" s="3">
        <v>3.44</v>
      </c>
      <c r="J467" s="3">
        <v>41</v>
      </c>
      <c r="K467" s="15">
        <f ca="1">IF(F467="Enrolled",TODAY()-E467,"0")</f>
        <v>1247</v>
      </c>
      <c r="L467" s="3" t="str">
        <f>IF(I467&gt;=3.5,"Excellent",IF(I467&gt;=3,"Good",IF(I467&gt;=2,"Average","Poor")))</f>
        <v>Good</v>
      </c>
      <c r="M467" s="3" t="str">
        <v>Dr.Sharma</v>
      </c>
      <c r="N467" s="3" t="str">
        <f>IF(H467 &gt; (G467*50%), "Yes", "No")</f>
        <v>No</v>
      </c>
      <c r="O467" s="16">
        <f>G467-H467</f>
        <v>5547</v>
      </c>
      <c r="P467" s="16">
        <f>SUMIFS(O467:O467,E467:E467,"Science",F467:F467,"Completed")</f>
        <v>0</v>
      </c>
      <c r="Q467" s="3" t="str">
        <f>IF(MONTH(E467)&gt;=7, YEAR(E467)&amp;"-"&amp;YEAR(E467)+1, YEAR(E467)-1&amp;"-"&amp;YEAR(E467))</f>
        <v>2022-2023</v>
      </c>
      <c r="R467" s="3"/>
      <c r="S467" s="3"/>
      <c r="T467" s="15" t="str">
        <f t="shared" ca="1" si="7"/>
        <v>0</v>
      </c>
      <c r="U467" s="3"/>
    </row>
    <row r="468" spans="1:21" x14ac:dyDescent="0.35">
      <c r="A468" s="3" t="s">
        <v>957</v>
      </c>
      <c r="B468" s="3" t="s">
        <v>958</v>
      </c>
      <c r="C468" s="3" t="s">
        <v>28</v>
      </c>
      <c r="D468" s="3" t="s">
        <v>31</v>
      </c>
      <c r="E468" s="6">
        <v>45060</v>
      </c>
      <c r="F468" s="3" t="s">
        <v>19</v>
      </c>
      <c r="G468" s="3">
        <v>10367</v>
      </c>
      <c r="H468" s="3">
        <v>4879</v>
      </c>
      <c r="I468" s="3">
        <v>3.24</v>
      </c>
      <c r="J468" s="3">
        <v>110</v>
      </c>
      <c r="K468" s="15" t="str">
        <f ca="1">IF(F468="Enrolled",TODAY()-E468,"0")</f>
        <v>0</v>
      </c>
      <c r="L468" s="3" t="str">
        <f>IF(I468&gt;=3.5,"Excellent",IF(I468&gt;=3,"Good",IF(I468&gt;=2,"Average","Poor")))</f>
        <v>Good</v>
      </c>
      <c r="M468" s="3" t="str">
        <v>Dr.Sharma</v>
      </c>
      <c r="N468" s="3" t="str">
        <f>IF(H468 &gt; (G468*50%), "Yes", "No")</f>
        <v>No</v>
      </c>
      <c r="O468" s="16">
        <f>G468-H468</f>
        <v>5488</v>
      </c>
      <c r="P468" s="16">
        <f>SUMIFS(O468:O468,E468:E468,"Science",F468:F468,"Completed")</f>
        <v>0</v>
      </c>
      <c r="Q468" s="3" t="str">
        <f>IF(MONTH(E468)&gt;=7, YEAR(E468)&amp;"-"&amp;YEAR(E468)+1, YEAR(E468)-1&amp;"-"&amp;YEAR(E468))</f>
        <v>2022-2023</v>
      </c>
      <c r="R468" s="3"/>
      <c r="S468" s="3"/>
      <c r="T468" s="15">
        <f t="shared" ca="1" si="7"/>
        <v>994</v>
      </c>
      <c r="U468" s="3"/>
    </row>
    <row r="469" spans="1:21" x14ac:dyDescent="0.35">
      <c r="A469" s="3" t="s">
        <v>959</v>
      </c>
      <c r="B469" s="3" t="s">
        <v>960</v>
      </c>
      <c r="C469" s="3" t="s">
        <v>17</v>
      </c>
      <c r="D469" s="3" t="s">
        <v>13</v>
      </c>
      <c r="E469" s="6">
        <v>44765</v>
      </c>
      <c r="F469" s="3" t="s">
        <v>19</v>
      </c>
      <c r="G469" s="3">
        <v>10339</v>
      </c>
      <c r="H469" s="3">
        <v>2913</v>
      </c>
      <c r="I469" s="3">
        <v>2.92</v>
      </c>
      <c r="J469" s="3">
        <v>49</v>
      </c>
      <c r="K469" s="15" t="str">
        <f ca="1">IF(F469="Enrolled",TODAY()-E469,"0")</f>
        <v>0</v>
      </c>
      <c r="L469" s="3" t="str">
        <f>IF(I469&gt;=3.5,"Excellent",IF(I469&gt;=3,"Good",IF(I469&gt;=2,"Average","Poor")))</f>
        <v>Average</v>
      </c>
      <c r="M469" s="3" t="str">
        <v>Dr.Mehta</v>
      </c>
      <c r="N469" s="3" t="str">
        <f>IF(H469 &gt; (G469*50%), "Yes", "No")</f>
        <v>No</v>
      </c>
      <c r="O469" s="16">
        <f>G469-H469</f>
        <v>7426</v>
      </c>
      <c r="P469" s="16">
        <f>SUMIFS(O469:O469,E469:E469,"Science",F469:F469,"Completed")</f>
        <v>0</v>
      </c>
      <c r="Q469" s="3" t="str">
        <f>IF(MONTH(E469)&gt;=7, YEAR(E469)&amp;"-"&amp;YEAR(E469)+1, YEAR(E469)-1&amp;"-"&amp;YEAR(E469))</f>
        <v>2022-2023</v>
      </c>
      <c r="R469" s="3"/>
      <c r="S469" s="3"/>
      <c r="T469" s="15">
        <f t="shared" ca="1" si="7"/>
        <v>1289</v>
      </c>
      <c r="U469" s="3"/>
    </row>
    <row r="470" spans="1:21" x14ac:dyDescent="0.35">
      <c r="A470" s="3" t="s">
        <v>961</v>
      </c>
      <c r="B470" s="3" t="s">
        <v>962</v>
      </c>
      <c r="C470" s="3" t="s">
        <v>57</v>
      </c>
      <c r="D470" s="3" t="s">
        <v>13</v>
      </c>
      <c r="E470" s="6">
        <v>45339</v>
      </c>
      <c r="F470" s="3" t="s">
        <v>19</v>
      </c>
      <c r="G470" s="3">
        <v>5503</v>
      </c>
      <c r="H470" s="3">
        <v>9605</v>
      </c>
      <c r="I470" s="3">
        <v>3.96</v>
      </c>
      <c r="J470" s="3">
        <v>35</v>
      </c>
      <c r="K470" s="15" t="str">
        <f ca="1">IF(F470="Enrolled",TODAY()-E470,"0")</f>
        <v>0</v>
      </c>
      <c r="L470" s="3" t="str">
        <f>IF(I470&gt;=3.5,"Excellent",IF(I470&gt;=3,"Good",IF(I470&gt;=2,"Average","Poor")))</f>
        <v>Excellent</v>
      </c>
      <c r="M470" s="3" t="str">
        <v>Dr.Mehta</v>
      </c>
      <c r="N470" s="3" t="str">
        <f>IF(H470 &gt; (G470*50%), "Yes", "No")</f>
        <v>Yes</v>
      </c>
      <c r="O470" s="16">
        <f>G470-H470</f>
        <v>-4102</v>
      </c>
      <c r="P470" s="16">
        <f>SUMIFS(O470:O470,E470:E470,"Science",F470:F470,"Completed")</f>
        <v>0</v>
      </c>
      <c r="Q470" s="3" t="str">
        <f>IF(MONTH(E470)&gt;=7, YEAR(E470)&amp;"-"&amp;YEAR(E470)+1, YEAR(E470)-1&amp;"-"&amp;YEAR(E470))</f>
        <v>2023-2024</v>
      </c>
      <c r="R470" s="3"/>
      <c r="S470" s="3"/>
      <c r="T470" s="15">
        <f t="shared" ca="1" si="7"/>
        <v>715</v>
      </c>
      <c r="U470" s="3"/>
    </row>
    <row r="471" spans="1:21" x14ac:dyDescent="0.35">
      <c r="A471" s="3" t="s">
        <v>963</v>
      </c>
      <c r="B471" s="3" t="s">
        <v>964</v>
      </c>
      <c r="C471" s="3" t="s">
        <v>25</v>
      </c>
      <c r="D471" s="3" t="s">
        <v>18</v>
      </c>
      <c r="E471" s="6">
        <v>44997</v>
      </c>
      <c r="F471" s="3" t="s">
        <v>19</v>
      </c>
      <c r="G471" s="3">
        <v>7289</v>
      </c>
      <c r="H471" s="3">
        <v>3200</v>
      </c>
      <c r="I471" s="3">
        <v>3.83</v>
      </c>
      <c r="J471" s="3">
        <v>73</v>
      </c>
      <c r="K471" s="15" t="str">
        <f ca="1">IF(F471="Enrolled",TODAY()-E471,"0")</f>
        <v>0</v>
      </c>
      <c r="L471" s="3" t="str">
        <f>IF(I471&gt;=3.5,"Excellent",IF(I471&gt;=3,"Good",IF(I471&gt;=2,"Average","Poor")))</f>
        <v>Excellent</v>
      </c>
      <c r="M471" s="3" t="str">
        <v>Dr.Roy</v>
      </c>
      <c r="N471" s="3" t="str">
        <f>IF(H471 &gt; (G471*50%), "Yes", "No")</f>
        <v>No</v>
      </c>
      <c r="O471" s="16">
        <f>G471-H471</f>
        <v>4089</v>
      </c>
      <c r="P471" s="16">
        <f>SUMIFS(O471:O471,E471:E471,"Science",F471:F471,"Completed")</f>
        <v>0</v>
      </c>
      <c r="Q471" s="3" t="str">
        <f>IF(MONTH(E471)&gt;=7, YEAR(E471)&amp;"-"&amp;YEAR(E471)+1, YEAR(E471)-1&amp;"-"&amp;YEAR(E471))</f>
        <v>2022-2023</v>
      </c>
      <c r="R471" s="3"/>
      <c r="S471" s="3"/>
      <c r="T471" s="15">
        <f t="shared" ca="1" si="7"/>
        <v>1057</v>
      </c>
      <c r="U471" s="3"/>
    </row>
    <row r="472" spans="1:21" x14ac:dyDescent="0.35">
      <c r="A472" s="3" t="s">
        <v>965</v>
      </c>
      <c r="B472" s="3" t="s">
        <v>966</v>
      </c>
      <c r="C472" s="3" t="s">
        <v>25</v>
      </c>
      <c r="D472" s="3" t="s">
        <v>13</v>
      </c>
      <c r="E472" s="6">
        <v>44684</v>
      </c>
      <c r="F472" s="3" t="s">
        <v>14</v>
      </c>
      <c r="G472" s="3">
        <v>11474</v>
      </c>
      <c r="H472" s="3">
        <v>6902</v>
      </c>
      <c r="I472" s="3">
        <v>3.46</v>
      </c>
      <c r="J472" s="3">
        <v>91</v>
      </c>
      <c r="K472" s="15">
        <f ca="1">IF(F472="Enrolled",TODAY()-E472,"0")</f>
        <v>1370</v>
      </c>
      <c r="L472" s="3" t="str">
        <f>IF(I472&gt;=3.5,"Excellent",IF(I472&gt;=3,"Good",IF(I472&gt;=2,"Average","Poor")))</f>
        <v>Good</v>
      </c>
      <c r="M472" s="3" t="str">
        <v>Dr.Mehta</v>
      </c>
      <c r="N472" s="3" t="str">
        <f>IF(H472 &gt; (G472*50%), "Yes", "No")</f>
        <v>Yes</v>
      </c>
      <c r="O472" s="16">
        <f>G472-H472</f>
        <v>4572</v>
      </c>
      <c r="P472" s="16">
        <f>SUMIFS(O472:O472,E472:E472,"Science",F472:F472,"Completed")</f>
        <v>0</v>
      </c>
      <c r="Q472" s="3" t="str">
        <f>IF(MONTH(E472)&gt;=7, YEAR(E472)&amp;"-"&amp;YEAR(E472)+1, YEAR(E472)-1&amp;"-"&amp;YEAR(E472))</f>
        <v>2021-2022</v>
      </c>
      <c r="R472" s="3"/>
      <c r="S472" s="3"/>
      <c r="T472" s="15" t="str">
        <f t="shared" ca="1" si="7"/>
        <v>0</v>
      </c>
      <c r="U472" s="3"/>
    </row>
    <row r="473" spans="1:21" x14ac:dyDescent="0.35">
      <c r="A473" s="3" t="s">
        <v>967</v>
      </c>
      <c r="B473" s="3" t="s">
        <v>968</v>
      </c>
      <c r="C473" s="3" t="s">
        <v>28</v>
      </c>
      <c r="D473" s="3" t="s">
        <v>13</v>
      </c>
      <c r="E473" s="6">
        <v>45416</v>
      </c>
      <c r="F473" s="3" t="s">
        <v>39</v>
      </c>
      <c r="G473" s="3">
        <v>10970</v>
      </c>
      <c r="H473" s="3">
        <v>8625</v>
      </c>
      <c r="I473" s="3">
        <v>3.51</v>
      </c>
      <c r="J473" s="3">
        <v>9</v>
      </c>
      <c r="K473" s="15" t="str">
        <f ca="1">IF(F473="Enrolled",TODAY()-E473,"0")</f>
        <v>0</v>
      </c>
      <c r="L473" s="3" t="str">
        <f>IF(I473&gt;=3.5,"Excellent",IF(I473&gt;=3,"Good",IF(I473&gt;=2,"Average","Poor")))</f>
        <v>Excellent</v>
      </c>
      <c r="M473" s="3" t="str">
        <v>Dr.Mehta</v>
      </c>
      <c r="N473" s="3" t="str">
        <f>IF(H473 &gt; (G473*50%), "Yes", "No")</f>
        <v>Yes</v>
      </c>
      <c r="O473" s="16">
        <f>G473-H473</f>
        <v>2345</v>
      </c>
      <c r="P473" s="16">
        <f>SUMIFS(O473:O473,E473:E473,"Science",F473:F473,"Completed")</f>
        <v>0</v>
      </c>
      <c r="Q473" s="3" t="str">
        <f>IF(MONTH(E473)&gt;=7, YEAR(E473)&amp;"-"&amp;YEAR(E473)+1, YEAR(E473)-1&amp;"-"&amp;YEAR(E473))</f>
        <v>2023-2024</v>
      </c>
      <c r="R473" s="3"/>
      <c r="S473" s="3"/>
      <c r="T473" s="15" t="str">
        <f t="shared" ca="1" si="7"/>
        <v>0</v>
      </c>
      <c r="U473" s="3"/>
    </row>
    <row r="474" spans="1:21" x14ac:dyDescent="0.35">
      <c r="A474" s="3" t="s">
        <v>969</v>
      </c>
      <c r="B474" s="3" t="s">
        <v>970</v>
      </c>
      <c r="C474" s="3" t="s">
        <v>25</v>
      </c>
      <c r="D474" s="3" t="s">
        <v>13</v>
      </c>
      <c r="E474" s="6">
        <v>45260</v>
      </c>
      <c r="F474" s="3" t="s">
        <v>19</v>
      </c>
      <c r="G474" s="3">
        <v>10927</v>
      </c>
      <c r="H474" s="3">
        <v>1469</v>
      </c>
      <c r="I474" s="3">
        <v>3.19</v>
      </c>
      <c r="J474" s="3">
        <v>31</v>
      </c>
      <c r="K474" s="15" t="str">
        <f ca="1">IF(F474="Enrolled",TODAY()-E474,"0")</f>
        <v>0</v>
      </c>
      <c r="L474" s="3" t="str">
        <f>IF(I474&gt;=3.5,"Excellent",IF(I474&gt;=3,"Good",IF(I474&gt;=2,"Average","Poor")))</f>
        <v>Good</v>
      </c>
      <c r="M474" s="3" t="str">
        <v>Dr.Mehta</v>
      </c>
      <c r="N474" s="3" t="str">
        <f>IF(H474 &gt; (G474*50%), "Yes", "No")</f>
        <v>No</v>
      </c>
      <c r="O474" s="16">
        <f>G474-H474</f>
        <v>9458</v>
      </c>
      <c r="P474" s="16">
        <f>SUMIFS(O474:O474,E474:E474,"Science",F474:F474,"Completed")</f>
        <v>0</v>
      </c>
      <c r="Q474" s="3" t="str">
        <f>IF(MONTH(E474)&gt;=7, YEAR(E474)&amp;"-"&amp;YEAR(E474)+1, YEAR(E474)-1&amp;"-"&amp;YEAR(E474))</f>
        <v>2023-2024</v>
      </c>
      <c r="R474" s="3"/>
      <c r="S474" s="3"/>
      <c r="T474" s="15">
        <f t="shared" ca="1" si="7"/>
        <v>794</v>
      </c>
      <c r="U474" s="3"/>
    </row>
    <row r="475" spans="1:21" x14ac:dyDescent="0.35">
      <c r="A475" s="3" t="s">
        <v>971</v>
      </c>
      <c r="B475" s="3" t="s">
        <v>972</v>
      </c>
      <c r="C475" s="3" t="s">
        <v>36</v>
      </c>
      <c r="D475" s="3" t="s">
        <v>62</v>
      </c>
      <c r="E475" s="6">
        <v>44765</v>
      </c>
      <c r="F475" s="3" t="s">
        <v>14</v>
      </c>
      <c r="G475" s="3">
        <v>8469</v>
      </c>
      <c r="H475" s="3">
        <v>371</v>
      </c>
      <c r="I475" s="3">
        <v>3.71</v>
      </c>
      <c r="J475" s="3">
        <v>9</v>
      </c>
      <c r="K475" s="15">
        <f ca="1">IF(F475="Enrolled",TODAY()-E475,"0")</f>
        <v>1289</v>
      </c>
      <c r="L475" s="3" t="str">
        <f>IF(I475&gt;=3.5,"Excellent",IF(I475&gt;=3,"Good",IF(I475&gt;=2,"Average","Poor")))</f>
        <v>Excellent</v>
      </c>
      <c r="M475" s="3" t="str">
        <v>Dr.Sinha</v>
      </c>
      <c r="N475" s="3" t="str">
        <f>IF(H475 &gt; (G475*50%), "Yes", "No")</f>
        <v>No</v>
      </c>
      <c r="O475" s="16">
        <f>G475-H475</f>
        <v>8098</v>
      </c>
      <c r="P475" s="16">
        <f>SUMIFS(O475:O475,E475:E475,"Science",F475:F475,"Completed")</f>
        <v>0</v>
      </c>
      <c r="Q475" s="3" t="str">
        <f>IF(MONTH(E475)&gt;=7, YEAR(E475)&amp;"-"&amp;YEAR(E475)+1, YEAR(E475)-1&amp;"-"&amp;YEAR(E475))</f>
        <v>2022-2023</v>
      </c>
      <c r="R475" s="3"/>
      <c r="S475" s="3"/>
      <c r="T475" s="15" t="str">
        <f t="shared" ca="1" si="7"/>
        <v>0</v>
      </c>
      <c r="U475" s="3"/>
    </row>
    <row r="476" spans="1:21" x14ac:dyDescent="0.35">
      <c r="A476" s="3" t="s">
        <v>973</v>
      </c>
      <c r="B476" s="3" t="s">
        <v>974</v>
      </c>
      <c r="C476" s="3" t="s">
        <v>57</v>
      </c>
      <c r="D476" s="3" t="s">
        <v>31</v>
      </c>
      <c r="E476" s="6">
        <v>44745</v>
      </c>
      <c r="F476" s="3" t="s">
        <v>14</v>
      </c>
      <c r="G476" s="3">
        <v>13334</v>
      </c>
      <c r="H476" s="3">
        <v>2799</v>
      </c>
      <c r="I476" s="3">
        <v>3.97</v>
      </c>
      <c r="J476" s="3">
        <v>57</v>
      </c>
      <c r="K476" s="15">
        <f ca="1">IF(F476="Enrolled",TODAY()-E476,"0")</f>
        <v>1309</v>
      </c>
      <c r="L476" s="3" t="str">
        <f>IF(I476&gt;=3.5,"Excellent",IF(I476&gt;=3,"Good",IF(I476&gt;=2,"Average","Poor")))</f>
        <v>Excellent</v>
      </c>
      <c r="M476" s="3" t="str">
        <v>Dr.Sharma</v>
      </c>
      <c r="N476" s="3" t="str">
        <f>IF(H476 &gt; (G476*50%), "Yes", "No")</f>
        <v>No</v>
      </c>
      <c r="O476" s="16">
        <f>G476-H476</f>
        <v>10535</v>
      </c>
      <c r="P476" s="16">
        <f>SUMIFS(O476:O476,E476:E476,"Science",F476:F476,"Completed")</f>
        <v>0</v>
      </c>
      <c r="Q476" s="3" t="str">
        <f>IF(MONTH(E476)&gt;=7, YEAR(E476)&amp;"-"&amp;YEAR(E476)+1, YEAR(E476)-1&amp;"-"&amp;YEAR(E476))</f>
        <v>2022-2023</v>
      </c>
      <c r="R476" s="3"/>
      <c r="S476" s="3"/>
      <c r="T476" s="15" t="str">
        <f t="shared" ca="1" si="7"/>
        <v>0</v>
      </c>
      <c r="U476" s="3"/>
    </row>
    <row r="477" spans="1:21" x14ac:dyDescent="0.35">
      <c r="A477" s="3" t="s">
        <v>975</v>
      </c>
      <c r="B477" s="3" t="s">
        <v>976</v>
      </c>
      <c r="C477" s="3" t="s">
        <v>25</v>
      </c>
      <c r="D477" s="3" t="s">
        <v>62</v>
      </c>
      <c r="E477" s="6">
        <v>44881</v>
      </c>
      <c r="F477" s="3" t="s">
        <v>14</v>
      </c>
      <c r="G477" s="3">
        <v>11400</v>
      </c>
      <c r="H477" s="3">
        <v>8573</v>
      </c>
      <c r="I477" s="3">
        <v>2.76</v>
      </c>
      <c r="J477" s="3">
        <v>0</v>
      </c>
      <c r="K477" s="15">
        <f ca="1">IF(F477="Enrolled",TODAY()-E477,"0")</f>
        <v>1173</v>
      </c>
      <c r="L477" s="3" t="str">
        <f>IF(I477&gt;=3.5,"Excellent",IF(I477&gt;=3,"Good",IF(I477&gt;=2,"Average","Poor")))</f>
        <v>Average</v>
      </c>
      <c r="M477" s="3" t="str">
        <v>Dr.Sinha</v>
      </c>
      <c r="N477" s="3" t="str">
        <f>IF(H477 &gt; (G477*50%), "Yes", "No")</f>
        <v>Yes</v>
      </c>
      <c r="O477" s="16">
        <f>G477-H477</f>
        <v>2827</v>
      </c>
      <c r="P477" s="16">
        <f>SUMIFS(O477:O477,E477:E477,"Science",F477:F477,"Completed")</f>
        <v>0</v>
      </c>
      <c r="Q477" s="3" t="str">
        <f>IF(MONTH(E477)&gt;=7, YEAR(E477)&amp;"-"&amp;YEAR(E477)+1, YEAR(E477)-1&amp;"-"&amp;YEAR(E477))</f>
        <v>2022-2023</v>
      </c>
      <c r="R477" s="3"/>
      <c r="S477" s="3"/>
      <c r="T477" s="15" t="str">
        <f t="shared" ca="1" si="7"/>
        <v>0</v>
      </c>
      <c r="U477" s="3"/>
    </row>
    <row r="478" spans="1:21" x14ac:dyDescent="0.35">
      <c r="A478" s="3" t="s">
        <v>977</v>
      </c>
      <c r="B478" s="3" t="s">
        <v>978</v>
      </c>
      <c r="C478" s="3" t="s">
        <v>12</v>
      </c>
      <c r="D478" s="3" t="s">
        <v>18</v>
      </c>
      <c r="E478" s="6">
        <v>44876</v>
      </c>
      <c r="F478" s="3" t="s">
        <v>14</v>
      </c>
      <c r="G478" s="3">
        <v>11931</v>
      </c>
      <c r="H478" s="3">
        <v>6007</v>
      </c>
      <c r="I478" s="3">
        <v>3.96</v>
      </c>
      <c r="J478" s="3">
        <v>8</v>
      </c>
      <c r="K478" s="15">
        <f ca="1">IF(F478="Enrolled",TODAY()-E478,"0")</f>
        <v>1178</v>
      </c>
      <c r="L478" s="3" t="str">
        <f>IF(I478&gt;=3.5,"Excellent",IF(I478&gt;=3,"Good",IF(I478&gt;=2,"Average","Poor")))</f>
        <v>Excellent</v>
      </c>
      <c r="M478" s="3" t="str">
        <v>Dr.Roy</v>
      </c>
      <c r="N478" s="3" t="str">
        <f>IF(H478 &gt; (G478*50%), "Yes", "No")</f>
        <v>Yes</v>
      </c>
      <c r="O478" s="16">
        <f>G478-H478</f>
        <v>5924</v>
      </c>
      <c r="P478" s="16">
        <f>SUMIFS(O478:O478,E478:E478,"Science",F478:F478,"Completed")</f>
        <v>0</v>
      </c>
      <c r="Q478" s="3" t="str">
        <f>IF(MONTH(E478)&gt;=7, YEAR(E478)&amp;"-"&amp;YEAR(E478)+1, YEAR(E478)-1&amp;"-"&amp;YEAR(E478))</f>
        <v>2022-2023</v>
      </c>
      <c r="R478" s="3"/>
      <c r="S478" s="3"/>
      <c r="T478" s="15" t="str">
        <f t="shared" ca="1" si="7"/>
        <v>0</v>
      </c>
      <c r="U478" s="3"/>
    </row>
    <row r="479" spans="1:21" x14ac:dyDescent="0.35">
      <c r="A479" s="3" t="s">
        <v>979</v>
      </c>
      <c r="B479" s="3" t="s">
        <v>980</v>
      </c>
      <c r="C479" s="3" t="s">
        <v>22</v>
      </c>
      <c r="D479" s="3" t="s">
        <v>62</v>
      </c>
      <c r="E479" s="6">
        <v>44863</v>
      </c>
      <c r="F479" s="3" t="s">
        <v>14</v>
      </c>
      <c r="G479" s="3">
        <v>12019</v>
      </c>
      <c r="H479" s="3">
        <v>8711</v>
      </c>
      <c r="I479" s="3">
        <v>3.97</v>
      </c>
      <c r="J479" s="3">
        <v>12</v>
      </c>
      <c r="K479" s="15">
        <f ca="1">IF(F479="Enrolled",TODAY()-E479,"0")</f>
        <v>1191</v>
      </c>
      <c r="L479" s="3" t="str">
        <f>IF(I479&gt;=3.5,"Excellent",IF(I479&gt;=3,"Good",IF(I479&gt;=2,"Average","Poor")))</f>
        <v>Excellent</v>
      </c>
      <c r="M479" s="3" t="str">
        <v>Dr.Sinha</v>
      </c>
      <c r="N479" s="3" t="str">
        <f>IF(H479 &gt; (G479*50%), "Yes", "No")</f>
        <v>Yes</v>
      </c>
      <c r="O479" s="16">
        <f>G479-H479</f>
        <v>3308</v>
      </c>
      <c r="P479" s="16">
        <f>SUMIFS(O479:O479,E479:E479,"Science",F479:F479,"Completed")</f>
        <v>0</v>
      </c>
      <c r="Q479" s="3" t="str">
        <f>IF(MONTH(E479)&gt;=7, YEAR(E479)&amp;"-"&amp;YEAR(E479)+1, YEAR(E479)-1&amp;"-"&amp;YEAR(E479))</f>
        <v>2022-2023</v>
      </c>
      <c r="R479" s="3"/>
      <c r="S479" s="3"/>
      <c r="T479" s="15" t="str">
        <f t="shared" ca="1" si="7"/>
        <v>0</v>
      </c>
      <c r="U479" s="3"/>
    </row>
    <row r="480" spans="1:21" x14ac:dyDescent="0.35">
      <c r="A480" s="3" t="s">
        <v>981</v>
      </c>
      <c r="B480" s="3" t="s">
        <v>982</v>
      </c>
      <c r="C480" s="3" t="s">
        <v>57</v>
      </c>
      <c r="D480" s="3" t="s">
        <v>31</v>
      </c>
      <c r="E480" s="6">
        <v>44756</v>
      </c>
      <c r="F480" s="3" t="s">
        <v>14</v>
      </c>
      <c r="G480" s="3">
        <v>6419</v>
      </c>
      <c r="H480" s="3">
        <v>1464</v>
      </c>
      <c r="I480" s="3">
        <v>2.97</v>
      </c>
      <c r="J480" s="3">
        <v>93</v>
      </c>
      <c r="K480" s="15">
        <f ca="1">IF(F480="Enrolled",TODAY()-E480,"0")</f>
        <v>1298</v>
      </c>
      <c r="L480" s="3" t="str">
        <f>IF(I480&gt;=3.5,"Excellent",IF(I480&gt;=3,"Good",IF(I480&gt;=2,"Average","Poor")))</f>
        <v>Average</v>
      </c>
      <c r="M480" s="3" t="str">
        <v>Dr.Sharma</v>
      </c>
      <c r="N480" s="3" t="str">
        <f>IF(H480 &gt; (G480*50%), "Yes", "No")</f>
        <v>No</v>
      </c>
      <c r="O480" s="16">
        <f>G480-H480</f>
        <v>4955</v>
      </c>
      <c r="P480" s="16">
        <f>SUMIFS(O480:O480,E480:E480,"Science",F480:F480,"Completed")</f>
        <v>0</v>
      </c>
      <c r="Q480" s="3" t="str">
        <f>IF(MONTH(E480)&gt;=7, YEAR(E480)&amp;"-"&amp;YEAR(E480)+1, YEAR(E480)-1&amp;"-"&amp;YEAR(E480))</f>
        <v>2022-2023</v>
      </c>
      <c r="R480" s="3"/>
      <c r="S480" s="3"/>
      <c r="T480" s="15" t="str">
        <f t="shared" ca="1" si="7"/>
        <v>0</v>
      </c>
      <c r="U480" s="3"/>
    </row>
    <row r="481" spans="1:21" x14ac:dyDescent="0.35">
      <c r="A481" s="3" t="s">
        <v>983</v>
      </c>
      <c r="B481" s="3" t="s">
        <v>984</v>
      </c>
      <c r="C481" s="3" t="s">
        <v>25</v>
      </c>
      <c r="D481" s="3" t="s">
        <v>31</v>
      </c>
      <c r="E481" s="6">
        <v>45070</v>
      </c>
      <c r="F481" s="3" t="s">
        <v>19</v>
      </c>
      <c r="G481" s="3">
        <v>3561</v>
      </c>
      <c r="H481" s="3">
        <v>6640</v>
      </c>
      <c r="I481" s="3">
        <v>2.02</v>
      </c>
      <c r="J481" s="3">
        <v>63</v>
      </c>
      <c r="K481" s="15" t="str">
        <f ca="1">IF(F481="Enrolled",TODAY()-E481,"0")</f>
        <v>0</v>
      </c>
      <c r="L481" s="3" t="str">
        <f>IF(I481&gt;=3.5,"Excellent",IF(I481&gt;=3,"Good",IF(I481&gt;=2,"Average","Poor")))</f>
        <v>Average</v>
      </c>
      <c r="M481" s="3" t="str">
        <v>Dr.Sharma</v>
      </c>
      <c r="N481" s="3" t="str">
        <f>IF(H481 &gt; (G481*50%), "Yes", "No")</f>
        <v>Yes</v>
      </c>
      <c r="O481" s="16">
        <f>G481-H481</f>
        <v>-3079</v>
      </c>
      <c r="P481" s="16">
        <f>SUMIFS(O481:O481,E481:E481,"Science",F481:F481,"Completed")</f>
        <v>0</v>
      </c>
      <c r="Q481" s="3" t="str">
        <f>IF(MONTH(E481)&gt;=7, YEAR(E481)&amp;"-"&amp;YEAR(E481)+1, YEAR(E481)-1&amp;"-"&amp;YEAR(E481))</f>
        <v>2022-2023</v>
      </c>
      <c r="R481" s="3"/>
      <c r="S481" s="3"/>
      <c r="T481" s="15">
        <f t="shared" ca="1" si="7"/>
        <v>984</v>
      </c>
      <c r="U481" s="3"/>
    </row>
    <row r="482" spans="1:21" x14ac:dyDescent="0.35">
      <c r="A482" s="3" t="s">
        <v>985</v>
      </c>
      <c r="B482" s="3" t="s">
        <v>986</v>
      </c>
      <c r="C482" s="3" t="s">
        <v>17</v>
      </c>
      <c r="D482" s="3" t="s">
        <v>31</v>
      </c>
      <c r="E482" s="6">
        <v>44799</v>
      </c>
      <c r="F482" s="3" t="s">
        <v>19</v>
      </c>
      <c r="G482" s="3">
        <v>3683</v>
      </c>
      <c r="H482" s="3">
        <v>1441</v>
      </c>
      <c r="I482" s="3">
        <v>2.31</v>
      </c>
      <c r="J482" s="3">
        <v>102</v>
      </c>
      <c r="K482" s="15" t="str">
        <f ca="1">IF(F482="Enrolled",TODAY()-E482,"0")</f>
        <v>0</v>
      </c>
      <c r="L482" s="3" t="str">
        <f>IF(I482&gt;=3.5,"Excellent",IF(I482&gt;=3,"Good",IF(I482&gt;=2,"Average","Poor")))</f>
        <v>Average</v>
      </c>
      <c r="M482" s="3" t="str">
        <v>Dr.Sharma</v>
      </c>
      <c r="N482" s="3" t="str">
        <f>IF(H482 &gt; (G482*50%), "Yes", "No")</f>
        <v>No</v>
      </c>
      <c r="O482" s="16">
        <f>G482-H482</f>
        <v>2242</v>
      </c>
      <c r="P482" s="16">
        <f>SUMIFS(O482:O482,E482:E482,"Science",F482:F482,"Completed")</f>
        <v>0</v>
      </c>
      <c r="Q482" s="3" t="str">
        <f>IF(MONTH(E482)&gt;=7, YEAR(E482)&amp;"-"&amp;YEAR(E482)+1, YEAR(E482)-1&amp;"-"&amp;YEAR(E482))</f>
        <v>2022-2023</v>
      </c>
      <c r="R482" s="3"/>
      <c r="S482" s="3"/>
      <c r="T482" s="15">
        <f t="shared" ca="1" si="7"/>
        <v>1255</v>
      </c>
      <c r="U482" s="3"/>
    </row>
    <row r="483" spans="1:21" x14ac:dyDescent="0.35">
      <c r="A483" s="3" t="s">
        <v>987</v>
      </c>
      <c r="B483" s="3" t="s">
        <v>988</v>
      </c>
      <c r="C483" s="3" t="s">
        <v>22</v>
      </c>
      <c r="D483" s="3" t="s">
        <v>62</v>
      </c>
      <c r="E483" s="6">
        <v>45424</v>
      </c>
      <c r="F483" s="3" t="s">
        <v>14</v>
      </c>
      <c r="G483" s="3">
        <v>6365</v>
      </c>
      <c r="H483" s="3">
        <v>5276</v>
      </c>
      <c r="I483" s="3">
        <v>3.2</v>
      </c>
      <c r="J483" s="3">
        <v>20</v>
      </c>
      <c r="K483" s="15">
        <f ca="1">IF(F483="Enrolled",TODAY()-E483,"0")</f>
        <v>630</v>
      </c>
      <c r="L483" s="3" t="str">
        <f>IF(I483&gt;=3.5,"Excellent",IF(I483&gt;=3,"Good",IF(I483&gt;=2,"Average","Poor")))</f>
        <v>Good</v>
      </c>
      <c r="M483" s="3" t="str">
        <v>Dr.Sinha</v>
      </c>
      <c r="N483" s="3" t="str">
        <f>IF(H483 &gt; (G483*50%), "Yes", "No")</f>
        <v>Yes</v>
      </c>
      <c r="O483" s="16">
        <f>G483-H483</f>
        <v>1089</v>
      </c>
      <c r="P483" s="16">
        <f>SUMIFS(O483:O483,E483:E483,"Science",F483:F483,"Completed")</f>
        <v>0</v>
      </c>
      <c r="Q483" s="3" t="str">
        <f>IF(MONTH(E483)&gt;=7, YEAR(E483)&amp;"-"&amp;YEAR(E483)+1, YEAR(E483)-1&amp;"-"&amp;YEAR(E483))</f>
        <v>2023-2024</v>
      </c>
      <c r="R483" s="3"/>
      <c r="S483" s="3"/>
      <c r="T483" s="15" t="str">
        <f t="shared" ca="1" si="7"/>
        <v>0</v>
      </c>
      <c r="U483" s="3"/>
    </row>
    <row r="484" spans="1:21" x14ac:dyDescent="0.35">
      <c r="A484" s="3" t="s">
        <v>989</v>
      </c>
      <c r="B484" s="3" t="s">
        <v>990</v>
      </c>
      <c r="C484" s="3" t="s">
        <v>12</v>
      </c>
      <c r="D484" s="3" t="s">
        <v>31</v>
      </c>
      <c r="E484" s="6">
        <v>44859</v>
      </c>
      <c r="F484" s="3" t="s">
        <v>19</v>
      </c>
      <c r="G484" s="3">
        <v>9763</v>
      </c>
      <c r="H484" s="3">
        <v>308</v>
      </c>
      <c r="I484" s="3">
        <v>3.25</v>
      </c>
      <c r="J484" s="3">
        <v>69</v>
      </c>
      <c r="K484" s="15" t="str">
        <f ca="1">IF(F484="Enrolled",TODAY()-E484,"0")</f>
        <v>0</v>
      </c>
      <c r="L484" s="3" t="str">
        <f>IF(I484&gt;=3.5,"Excellent",IF(I484&gt;=3,"Good",IF(I484&gt;=2,"Average","Poor")))</f>
        <v>Good</v>
      </c>
      <c r="M484" s="3" t="str">
        <v>Dr.Sharma</v>
      </c>
      <c r="N484" s="3" t="str">
        <f>IF(H484 &gt; (G484*50%), "Yes", "No")</f>
        <v>No</v>
      </c>
      <c r="O484" s="16">
        <f>G484-H484</f>
        <v>9455</v>
      </c>
      <c r="P484" s="16">
        <f>SUMIFS(O484:O484,E484:E484,"Science",F484:F484,"Completed")</f>
        <v>0</v>
      </c>
      <c r="Q484" s="3" t="str">
        <f>IF(MONTH(E484)&gt;=7, YEAR(E484)&amp;"-"&amp;YEAR(E484)+1, YEAR(E484)-1&amp;"-"&amp;YEAR(E484))</f>
        <v>2022-2023</v>
      </c>
      <c r="R484" s="3"/>
      <c r="S484" s="3"/>
      <c r="T484" s="15">
        <f t="shared" ca="1" si="7"/>
        <v>1195</v>
      </c>
      <c r="U484" s="3"/>
    </row>
    <row r="485" spans="1:21" x14ac:dyDescent="0.35">
      <c r="A485" s="3" t="s">
        <v>991</v>
      </c>
      <c r="B485" s="3" t="s">
        <v>992</v>
      </c>
      <c r="C485" s="3" t="s">
        <v>22</v>
      </c>
      <c r="D485" s="3" t="s">
        <v>13</v>
      </c>
      <c r="E485" s="6">
        <v>44765</v>
      </c>
      <c r="F485" s="3" t="s">
        <v>14</v>
      </c>
      <c r="G485" s="3">
        <v>8244</v>
      </c>
      <c r="H485" s="3">
        <v>6754</v>
      </c>
      <c r="I485" s="3">
        <v>3.13</v>
      </c>
      <c r="J485" s="3">
        <v>20</v>
      </c>
      <c r="K485" s="15">
        <f ca="1">IF(F485="Enrolled",TODAY()-E485,"0")</f>
        <v>1289</v>
      </c>
      <c r="L485" s="3" t="str">
        <f>IF(I485&gt;=3.5,"Excellent",IF(I485&gt;=3,"Good",IF(I485&gt;=2,"Average","Poor")))</f>
        <v>Good</v>
      </c>
      <c r="M485" s="3" t="str">
        <v>Dr.Mehta</v>
      </c>
      <c r="N485" s="3" t="str">
        <f>IF(H485 &gt; (G485*50%), "Yes", "No")</f>
        <v>Yes</v>
      </c>
      <c r="O485" s="16">
        <f>G485-H485</f>
        <v>1490</v>
      </c>
      <c r="P485" s="16">
        <f>SUMIFS(O485:O485,E485:E485,"Science",F485:F485,"Completed")</f>
        <v>0</v>
      </c>
      <c r="Q485" s="3" t="str">
        <f>IF(MONTH(E485)&gt;=7, YEAR(E485)&amp;"-"&amp;YEAR(E485)+1, YEAR(E485)-1&amp;"-"&amp;YEAR(E485))</f>
        <v>2022-2023</v>
      </c>
      <c r="R485" s="3"/>
      <c r="S485" s="3"/>
      <c r="T485" s="15" t="str">
        <f t="shared" ca="1" si="7"/>
        <v>0</v>
      </c>
      <c r="U485" s="3"/>
    </row>
    <row r="486" spans="1:21" x14ac:dyDescent="0.35">
      <c r="A486" s="3" t="s">
        <v>993</v>
      </c>
      <c r="B486" s="3" t="s">
        <v>994</v>
      </c>
      <c r="C486" s="3" t="s">
        <v>25</v>
      </c>
      <c r="D486" s="3" t="s">
        <v>18</v>
      </c>
      <c r="E486" s="6">
        <v>44582</v>
      </c>
      <c r="F486" s="3" t="s">
        <v>19</v>
      </c>
      <c r="G486" s="3">
        <v>14276</v>
      </c>
      <c r="H486" s="3">
        <v>4243</v>
      </c>
      <c r="I486" s="3">
        <v>3.91</v>
      </c>
      <c r="J486" s="3">
        <v>1</v>
      </c>
      <c r="K486" s="15" t="str">
        <f ca="1">IF(F486="Enrolled",TODAY()-E486,"0")</f>
        <v>0</v>
      </c>
      <c r="L486" s="3" t="str">
        <f>IF(I486&gt;=3.5,"Excellent",IF(I486&gt;=3,"Good",IF(I486&gt;=2,"Average","Poor")))</f>
        <v>Excellent</v>
      </c>
      <c r="M486" s="3" t="str">
        <v>Dr.Roy</v>
      </c>
      <c r="N486" s="3" t="str">
        <f>IF(H486 &gt; (G486*50%), "Yes", "No")</f>
        <v>No</v>
      </c>
      <c r="O486" s="16">
        <f>G486-H486</f>
        <v>10033</v>
      </c>
      <c r="P486" s="16">
        <f>SUMIFS(O486:O486,E486:E486,"Science",F486:F486,"Completed")</f>
        <v>0</v>
      </c>
      <c r="Q486" s="3" t="str">
        <f>IF(MONTH(E486)&gt;=7, YEAR(E486)&amp;"-"&amp;YEAR(E486)+1, YEAR(E486)-1&amp;"-"&amp;YEAR(E486))</f>
        <v>2021-2022</v>
      </c>
      <c r="R486" s="3"/>
      <c r="S486" s="3"/>
      <c r="T486" s="15">
        <f t="shared" ca="1" si="7"/>
        <v>1472</v>
      </c>
      <c r="U486" s="3"/>
    </row>
    <row r="487" spans="1:21" x14ac:dyDescent="0.35">
      <c r="A487" s="3" t="s">
        <v>995</v>
      </c>
      <c r="B487" s="3" t="s">
        <v>996</v>
      </c>
      <c r="C487" s="3" t="s">
        <v>28</v>
      </c>
      <c r="D487" s="3" t="s">
        <v>62</v>
      </c>
      <c r="E487" s="6">
        <v>44736</v>
      </c>
      <c r="F487" s="3" t="s">
        <v>19</v>
      </c>
      <c r="G487" s="3">
        <v>5843</v>
      </c>
      <c r="H487" s="3">
        <v>6177</v>
      </c>
      <c r="I487" s="3">
        <v>2.09</v>
      </c>
      <c r="J487" s="3">
        <v>28</v>
      </c>
      <c r="K487" s="15" t="str">
        <f ca="1">IF(F487="Enrolled",TODAY()-E487,"0")</f>
        <v>0</v>
      </c>
      <c r="L487" s="3" t="str">
        <f>IF(I487&gt;=3.5,"Excellent",IF(I487&gt;=3,"Good",IF(I487&gt;=2,"Average","Poor")))</f>
        <v>Average</v>
      </c>
      <c r="M487" s="3" t="str">
        <v>Dr.Sinha</v>
      </c>
      <c r="N487" s="3" t="str">
        <f>IF(H487 &gt; (G487*50%), "Yes", "No")</f>
        <v>Yes</v>
      </c>
      <c r="O487" s="16">
        <f>G487-H487</f>
        <v>-334</v>
      </c>
      <c r="P487" s="16">
        <f>SUMIFS(O487:O487,E487:E487,"Science",F487:F487,"Completed")</f>
        <v>0</v>
      </c>
      <c r="Q487" s="3" t="str">
        <f>IF(MONTH(E487)&gt;=7, YEAR(E487)&amp;"-"&amp;YEAR(E487)+1, YEAR(E487)-1&amp;"-"&amp;YEAR(E487))</f>
        <v>2021-2022</v>
      </c>
      <c r="R487" s="3"/>
      <c r="S487" s="3"/>
      <c r="T487" s="15">
        <f t="shared" ca="1" si="7"/>
        <v>1318</v>
      </c>
      <c r="U487" s="3"/>
    </row>
    <row r="488" spans="1:21" x14ac:dyDescent="0.35">
      <c r="A488" s="3" t="s">
        <v>997</v>
      </c>
      <c r="B488" s="3" t="s">
        <v>998</v>
      </c>
      <c r="C488" s="3" t="s">
        <v>12</v>
      </c>
      <c r="D488" s="3" t="s">
        <v>13</v>
      </c>
      <c r="E488" s="6">
        <v>45140</v>
      </c>
      <c r="F488" s="3" t="s">
        <v>14</v>
      </c>
      <c r="G488" s="3">
        <v>10937</v>
      </c>
      <c r="H488" s="3">
        <v>1114</v>
      </c>
      <c r="I488" s="3">
        <v>2.69</v>
      </c>
      <c r="J488" s="3">
        <v>109</v>
      </c>
      <c r="K488" s="15">
        <f ca="1">IF(F488="Enrolled",TODAY()-E488,"0")</f>
        <v>914</v>
      </c>
      <c r="L488" s="3" t="str">
        <f>IF(I488&gt;=3.5,"Excellent",IF(I488&gt;=3,"Good",IF(I488&gt;=2,"Average","Poor")))</f>
        <v>Average</v>
      </c>
      <c r="M488" s="3" t="str">
        <v>Dr.Mehta</v>
      </c>
      <c r="N488" s="3" t="str">
        <f>IF(H488 &gt; (G488*50%), "Yes", "No")</f>
        <v>No</v>
      </c>
      <c r="O488" s="16">
        <f>G488-H488</f>
        <v>9823</v>
      </c>
      <c r="P488" s="16">
        <f>SUMIFS(O488:O488,E488:E488,"Science",F488:F488,"Completed")</f>
        <v>0</v>
      </c>
      <c r="Q488" s="3" t="str">
        <f>IF(MONTH(E488)&gt;=7, YEAR(E488)&amp;"-"&amp;YEAR(E488)+1, YEAR(E488)-1&amp;"-"&amp;YEAR(E488))</f>
        <v>2023-2024</v>
      </c>
      <c r="R488" s="3"/>
      <c r="S488" s="3"/>
      <c r="T488" s="15" t="str">
        <f t="shared" ca="1" si="7"/>
        <v>0</v>
      </c>
      <c r="U488" s="3"/>
    </row>
    <row r="489" spans="1:21" x14ac:dyDescent="0.35">
      <c r="A489" s="3" t="s">
        <v>999</v>
      </c>
      <c r="B489" s="3" t="s">
        <v>1000</v>
      </c>
      <c r="C489" s="3" t="s">
        <v>12</v>
      </c>
      <c r="D489" s="3" t="s">
        <v>62</v>
      </c>
      <c r="E489" s="6">
        <v>45146</v>
      </c>
      <c r="F489" s="3" t="s">
        <v>14</v>
      </c>
      <c r="G489" s="3">
        <v>4056</v>
      </c>
      <c r="H489" s="3">
        <v>332</v>
      </c>
      <c r="I489" s="3">
        <v>3.81</v>
      </c>
      <c r="J489" s="3">
        <v>97</v>
      </c>
      <c r="K489" s="15">
        <f ca="1">IF(F489="Enrolled",TODAY()-E489,"0")</f>
        <v>908</v>
      </c>
      <c r="L489" s="3" t="str">
        <f>IF(I489&gt;=3.5,"Excellent",IF(I489&gt;=3,"Good",IF(I489&gt;=2,"Average","Poor")))</f>
        <v>Excellent</v>
      </c>
      <c r="M489" s="3" t="str">
        <v>Dr.Sinha</v>
      </c>
      <c r="N489" s="3" t="str">
        <f>IF(H489 &gt; (G489*50%), "Yes", "No")</f>
        <v>No</v>
      </c>
      <c r="O489" s="16">
        <f>G489-H489</f>
        <v>3724</v>
      </c>
      <c r="P489" s="16">
        <f>SUMIFS(O489:O489,E489:E489,"Science",F489:F489,"Completed")</f>
        <v>0</v>
      </c>
      <c r="Q489" s="3" t="str">
        <f>IF(MONTH(E489)&gt;=7, YEAR(E489)&amp;"-"&amp;YEAR(E489)+1, YEAR(E489)-1&amp;"-"&amp;YEAR(E489))</f>
        <v>2023-2024</v>
      </c>
      <c r="R489" s="3"/>
      <c r="S489" s="3"/>
      <c r="T489" s="15" t="str">
        <f t="shared" ca="1" si="7"/>
        <v>0</v>
      </c>
      <c r="U489" s="3"/>
    </row>
    <row r="490" spans="1:21" x14ac:dyDescent="0.35">
      <c r="A490" s="3" t="s">
        <v>1001</v>
      </c>
      <c r="B490" s="3" t="s">
        <v>1002</v>
      </c>
      <c r="C490" s="3" t="s">
        <v>25</v>
      </c>
      <c r="D490" s="3" t="s">
        <v>18</v>
      </c>
      <c r="E490" s="6">
        <v>44592</v>
      </c>
      <c r="F490" s="3" t="s">
        <v>14</v>
      </c>
      <c r="G490" s="3">
        <v>10757</v>
      </c>
      <c r="H490" s="3">
        <v>1430</v>
      </c>
      <c r="I490" s="3">
        <v>3.29</v>
      </c>
      <c r="J490" s="3">
        <v>93</v>
      </c>
      <c r="K490" s="15">
        <f ca="1">IF(F490="Enrolled",TODAY()-E490,"0")</f>
        <v>1462</v>
      </c>
      <c r="L490" s="3" t="str">
        <f>IF(I490&gt;=3.5,"Excellent",IF(I490&gt;=3,"Good",IF(I490&gt;=2,"Average","Poor")))</f>
        <v>Good</v>
      </c>
      <c r="M490" s="3" t="str">
        <v>Dr.Roy</v>
      </c>
      <c r="N490" s="3" t="str">
        <f>IF(H490 &gt; (G490*50%), "Yes", "No")</f>
        <v>No</v>
      </c>
      <c r="O490" s="16">
        <f>G490-H490</f>
        <v>9327</v>
      </c>
      <c r="P490" s="16">
        <f>SUMIFS(O490:O490,E490:E490,"Science",F490:F490,"Completed")</f>
        <v>0</v>
      </c>
      <c r="Q490" s="3" t="str">
        <f>IF(MONTH(E490)&gt;=7, YEAR(E490)&amp;"-"&amp;YEAR(E490)+1, YEAR(E490)-1&amp;"-"&amp;YEAR(E490))</f>
        <v>2021-2022</v>
      </c>
      <c r="R490" s="3"/>
      <c r="S490" s="3"/>
      <c r="T490" s="15" t="str">
        <f t="shared" ca="1" si="7"/>
        <v>0</v>
      </c>
      <c r="U490" s="3"/>
    </row>
    <row r="491" spans="1:21" x14ac:dyDescent="0.35">
      <c r="A491" s="3" t="s">
        <v>1003</v>
      </c>
      <c r="B491" s="3" t="s">
        <v>1004</v>
      </c>
      <c r="C491" s="3" t="s">
        <v>36</v>
      </c>
      <c r="D491" s="3" t="s">
        <v>18</v>
      </c>
      <c r="E491" s="6">
        <v>45220</v>
      </c>
      <c r="F491" s="3" t="s">
        <v>14</v>
      </c>
      <c r="G491" s="3">
        <v>5023</v>
      </c>
      <c r="H491" s="3">
        <v>6205</v>
      </c>
      <c r="I491" s="3">
        <v>3.59</v>
      </c>
      <c r="J491" s="3">
        <v>11</v>
      </c>
      <c r="K491" s="15">
        <f ca="1">IF(F491="Enrolled",TODAY()-E491,"0")</f>
        <v>834</v>
      </c>
      <c r="L491" s="3" t="str">
        <f>IF(I491&gt;=3.5,"Excellent",IF(I491&gt;=3,"Good",IF(I491&gt;=2,"Average","Poor")))</f>
        <v>Excellent</v>
      </c>
      <c r="M491" s="3" t="str">
        <v>Dr.Roy</v>
      </c>
      <c r="N491" s="3" t="str">
        <f>IF(H491 &gt; (G491*50%), "Yes", "No")</f>
        <v>Yes</v>
      </c>
      <c r="O491" s="16">
        <f>G491-H491</f>
        <v>-1182</v>
      </c>
      <c r="P491" s="16">
        <f>SUMIFS(O491:O491,E491:E491,"Science",F491:F491,"Completed")</f>
        <v>0</v>
      </c>
      <c r="Q491" s="3" t="str">
        <f>IF(MONTH(E491)&gt;=7, YEAR(E491)&amp;"-"&amp;YEAR(E491)+1, YEAR(E491)-1&amp;"-"&amp;YEAR(E491))</f>
        <v>2023-2024</v>
      </c>
      <c r="R491" s="3"/>
      <c r="S491" s="3"/>
      <c r="T491" s="15" t="str">
        <f t="shared" ca="1" si="7"/>
        <v>0</v>
      </c>
      <c r="U491" s="3"/>
    </row>
    <row r="492" spans="1:21" x14ac:dyDescent="0.35">
      <c r="A492" s="3" t="s">
        <v>1005</v>
      </c>
      <c r="B492" s="3" t="s">
        <v>1006</v>
      </c>
      <c r="C492" s="3" t="s">
        <v>36</v>
      </c>
      <c r="D492" s="3" t="s">
        <v>31</v>
      </c>
      <c r="E492" s="6">
        <v>45333</v>
      </c>
      <c r="F492" s="3" t="s">
        <v>19</v>
      </c>
      <c r="G492" s="3">
        <v>6821</v>
      </c>
      <c r="H492" s="3">
        <v>5563</v>
      </c>
      <c r="I492" s="3">
        <v>2.02</v>
      </c>
      <c r="J492" s="3">
        <v>70</v>
      </c>
      <c r="K492" s="15" t="str">
        <f ca="1">IF(F492="Enrolled",TODAY()-E492,"0")</f>
        <v>0</v>
      </c>
      <c r="L492" s="3" t="str">
        <f>IF(I492&gt;=3.5,"Excellent",IF(I492&gt;=3,"Good",IF(I492&gt;=2,"Average","Poor")))</f>
        <v>Average</v>
      </c>
      <c r="M492" s="3" t="str">
        <v>Dr.Sharma</v>
      </c>
      <c r="N492" s="3" t="str">
        <f>IF(H492 &gt; (G492*50%), "Yes", "No")</f>
        <v>Yes</v>
      </c>
      <c r="O492" s="16">
        <f>G492-H492</f>
        <v>1258</v>
      </c>
      <c r="P492" s="16">
        <f>SUMIFS(O492:O492,E492:E492,"Science",F492:F492,"Completed")</f>
        <v>0</v>
      </c>
      <c r="Q492" s="3" t="str">
        <f>IF(MONTH(E492)&gt;=7, YEAR(E492)&amp;"-"&amp;YEAR(E492)+1, YEAR(E492)-1&amp;"-"&amp;YEAR(E492))</f>
        <v>2023-2024</v>
      </c>
      <c r="R492" s="3"/>
      <c r="S492" s="3"/>
      <c r="T492" s="15">
        <f t="shared" ca="1" si="7"/>
        <v>721</v>
      </c>
      <c r="U492" s="3"/>
    </row>
    <row r="493" spans="1:21" x14ac:dyDescent="0.35">
      <c r="A493" s="3" t="s">
        <v>1007</v>
      </c>
      <c r="B493" s="3" t="s">
        <v>1008</v>
      </c>
      <c r="C493" s="3" t="s">
        <v>54</v>
      </c>
      <c r="D493" s="3" t="s">
        <v>62</v>
      </c>
      <c r="E493" s="6">
        <v>45425</v>
      </c>
      <c r="F493" s="3" t="s">
        <v>14</v>
      </c>
      <c r="G493" s="3">
        <v>3545</v>
      </c>
      <c r="H493" s="3">
        <v>7302</v>
      </c>
      <c r="I493" s="3">
        <v>2.87</v>
      </c>
      <c r="J493" s="3">
        <v>12</v>
      </c>
      <c r="K493" s="15">
        <f ca="1">IF(F493="Enrolled",TODAY()-E493,"0")</f>
        <v>629</v>
      </c>
      <c r="L493" s="3" t="str">
        <f>IF(I493&gt;=3.5,"Excellent",IF(I493&gt;=3,"Good",IF(I493&gt;=2,"Average","Poor")))</f>
        <v>Average</v>
      </c>
      <c r="M493" s="3" t="str">
        <v>Dr.Sinha</v>
      </c>
      <c r="N493" s="3" t="str">
        <f>IF(H493 &gt; (G493*50%), "Yes", "No")</f>
        <v>Yes</v>
      </c>
      <c r="O493" s="16">
        <f>G493-H493</f>
        <v>-3757</v>
      </c>
      <c r="P493" s="16">
        <f>SUMIFS(O493:O493,E493:E493,"Science",F493:F493,"Completed")</f>
        <v>0</v>
      </c>
      <c r="Q493" s="3" t="str">
        <f>IF(MONTH(E493)&gt;=7, YEAR(E493)&amp;"-"&amp;YEAR(E493)+1, YEAR(E493)-1&amp;"-"&amp;YEAR(E493))</f>
        <v>2023-2024</v>
      </c>
      <c r="R493" s="3"/>
      <c r="S493" s="3"/>
      <c r="T493" s="15" t="str">
        <f t="shared" ca="1" si="7"/>
        <v>0</v>
      </c>
      <c r="U493" s="3"/>
    </row>
    <row r="494" spans="1:21" x14ac:dyDescent="0.35">
      <c r="A494" s="3" t="s">
        <v>1009</v>
      </c>
      <c r="B494" s="3" t="s">
        <v>1010</v>
      </c>
      <c r="C494" s="3" t="s">
        <v>17</v>
      </c>
      <c r="D494" s="3" t="s">
        <v>31</v>
      </c>
      <c r="E494" s="6">
        <v>44884</v>
      </c>
      <c r="F494" s="3" t="s">
        <v>14</v>
      </c>
      <c r="G494" s="3">
        <v>14219</v>
      </c>
      <c r="H494" s="3">
        <v>7883</v>
      </c>
      <c r="I494" s="3">
        <v>2.7</v>
      </c>
      <c r="J494" s="3">
        <v>98</v>
      </c>
      <c r="K494" s="15">
        <f ca="1">IF(F494="Enrolled",TODAY()-E494,"0")</f>
        <v>1170</v>
      </c>
      <c r="L494" s="3" t="str">
        <f>IF(I494&gt;=3.5,"Excellent",IF(I494&gt;=3,"Good",IF(I494&gt;=2,"Average","Poor")))</f>
        <v>Average</v>
      </c>
      <c r="M494" s="3" t="str">
        <v>Dr.Sharma</v>
      </c>
      <c r="N494" s="3" t="str">
        <f>IF(H494 &gt; (G494*50%), "Yes", "No")</f>
        <v>Yes</v>
      </c>
      <c r="O494" s="16">
        <f>G494-H494</f>
        <v>6336</v>
      </c>
      <c r="P494" s="16">
        <f>SUMIFS(O494:O494,E494:E494,"Science",F494:F494,"Completed")</f>
        <v>0</v>
      </c>
      <c r="Q494" s="3" t="str">
        <f>IF(MONTH(E494)&gt;=7, YEAR(E494)&amp;"-"&amp;YEAR(E494)+1, YEAR(E494)-1&amp;"-"&amp;YEAR(E494))</f>
        <v>2022-2023</v>
      </c>
      <c r="R494" s="3"/>
      <c r="S494" s="3"/>
      <c r="T494" s="15" t="str">
        <f t="shared" ca="1" si="7"/>
        <v>0</v>
      </c>
      <c r="U494" s="3"/>
    </row>
    <row r="495" spans="1:21" x14ac:dyDescent="0.35">
      <c r="A495" s="3" t="s">
        <v>1011</v>
      </c>
      <c r="B495" s="3" t="s">
        <v>1012</v>
      </c>
      <c r="C495" s="3" t="s">
        <v>28</v>
      </c>
      <c r="D495" s="3" t="s">
        <v>62</v>
      </c>
      <c r="E495" s="6">
        <v>44863</v>
      </c>
      <c r="F495" s="3" t="s">
        <v>39</v>
      </c>
      <c r="G495" s="3">
        <v>3235</v>
      </c>
      <c r="H495" s="3">
        <v>1111</v>
      </c>
      <c r="I495" s="3">
        <v>2.4300000000000002</v>
      </c>
      <c r="J495" s="3">
        <v>119</v>
      </c>
      <c r="K495" s="15" t="str">
        <f ca="1">IF(F495="Enrolled",TODAY()-E495,"0")</f>
        <v>0</v>
      </c>
      <c r="L495" s="3" t="str">
        <f>IF(I495&gt;=3.5,"Excellent",IF(I495&gt;=3,"Good",IF(I495&gt;=2,"Average","Poor")))</f>
        <v>Average</v>
      </c>
      <c r="M495" s="3" t="str">
        <v>Dr.Sinha</v>
      </c>
      <c r="N495" s="3" t="str">
        <f>IF(H495 &gt; (G495*50%), "Yes", "No")</f>
        <v>No</v>
      </c>
      <c r="O495" s="16">
        <f>G495-H495</f>
        <v>2124</v>
      </c>
      <c r="P495" s="16">
        <f>SUMIFS(O495:O495,E495:E495,"Science",F495:F495,"Completed")</f>
        <v>0</v>
      </c>
      <c r="Q495" s="3" t="str">
        <f>IF(MONTH(E495)&gt;=7, YEAR(E495)&amp;"-"&amp;YEAR(E495)+1, YEAR(E495)-1&amp;"-"&amp;YEAR(E495))</f>
        <v>2022-2023</v>
      </c>
      <c r="R495" s="3"/>
      <c r="S495" s="3"/>
      <c r="T495" s="15" t="str">
        <f t="shared" ca="1" si="7"/>
        <v>0</v>
      </c>
      <c r="U495" s="3"/>
    </row>
    <row r="496" spans="1:21" x14ac:dyDescent="0.35">
      <c r="A496" s="3" t="s">
        <v>1013</v>
      </c>
      <c r="B496" s="3" t="s">
        <v>1014</v>
      </c>
      <c r="C496" s="3" t="s">
        <v>36</v>
      </c>
      <c r="D496" s="3" t="s">
        <v>31</v>
      </c>
      <c r="E496" s="6">
        <v>44817</v>
      </c>
      <c r="F496" s="3" t="s">
        <v>14</v>
      </c>
      <c r="G496" s="3">
        <v>12764</v>
      </c>
      <c r="H496" s="3">
        <v>1814</v>
      </c>
      <c r="I496" s="3">
        <v>2.37</v>
      </c>
      <c r="J496" s="3">
        <v>108</v>
      </c>
      <c r="K496" s="15">
        <f ca="1">IF(F496="Enrolled",TODAY()-E496,"0")</f>
        <v>1237</v>
      </c>
      <c r="L496" s="3" t="str">
        <f>IF(I496&gt;=3.5,"Excellent",IF(I496&gt;=3,"Good",IF(I496&gt;=2,"Average","Poor")))</f>
        <v>Average</v>
      </c>
      <c r="M496" s="3" t="str">
        <v>Dr.Sharma</v>
      </c>
      <c r="N496" s="3" t="str">
        <f>IF(H496 &gt; (G496*50%), "Yes", "No")</f>
        <v>No</v>
      </c>
      <c r="O496" s="16">
        <f>G496-H496</f>
        <v>10950</v>
      </c>
      <c r="P496" s="16">
        <f>SUMIFS(O496:O496,E496:E496,"Science",F496:F496,"Completed")</f>
        <v>0</v>
      </c>
      <c r="Q496" s="3" t="str">
        <f>IF(MONTH(E496)&gt;=7, YEAR(E496)&amp;"-"&amp;YEAR(E496)+1, YEAR(E496)-1&amp;"-"&amp;YEAR(E496))</f>
        <v>2022-2023</v>
      </c>
      <c r="R496" s="3"/>
      <c r="S496" s="3"/>
      <c r="T496" s="15" t="str">
        <f t="shared" ca="1" si="7"/>
        <v>0</v>
      </c>
      <c r="U496" s="3"/>
    </row>
    <row r="497" spans="1:21" x14ac:dyDescent="0.35">
      <c r="A497" s="3" t="s">
        <v>1015</v>
      </c>
      <c r="B497" s="3" t="s">
        <v>1016</v>
      </c>
      <c r="C497" s="3" t="s">
        <v>28</v>
      </c>
      <c r="D497" s="3" t="s">
        <v>13</v>
      </c>
      <c r="E497" s="6">
        <v>45256</v>
      </c>
      <c r="F497" s="3" t="s">
        <v>19</v>
      </c>
      <c r="G497" s="3">
        <v>7033</v>
      </c>
      <c r="H497" s="3">
        <v>3416</v>
      </c>
      <c r="I497" s="3">
        <v>3.51</v>
      </c>
      <c r="J497" s="3">
        <v>7</v>
      </c>
      <c r="K497" s="15" t="str">
        <f ca="1">IF(F497="Enrolled",TODAY()-E497,"0")</f>
        <v>0</v>
      </c>
      <c r="L497" s="3" t="str">
        <f>IF(I497&gt;=3.5,"Excellent",IF(I497&gt;=3,"Good",IF(I497&gt;=2,"Average","Poor")))</f>
        <v>Excellent</v>
      </c>
      <c r="M497" s="3" t="str">
        <v>Dr.Mehta</v>
      </c>
      <c r="N497" s="3" t="str">
        <f>IF(H497 &gt; (G497*50%), "Yes", "No")</f>
        <v>No</v>
      </c>
      <c r="O497" s="16">
        <f>G497-H497</f>
        <v>3617</v>
      </c>
      <c r="P497" s="16">
        <f>SUMIFS(O497:O497,E497:E497,"Science",F497:F497,"Completed")</f>
        <v>0</v>
      </c>
      <c r="Q497" s="3" t="str">
        <f>IF(MONTH(E497)&gt;=7, YEAR(E497)&amp;"-"&amp;YEAR(E497)+1, YEAR(E497)-1&amp;"-"&amp;YEAR(E497))</f>
        <v>2023-2024</v>
      </c>
      <c r="R497" s="3"/>
      <c r="S497" s="3"/>
      <c r="T497" s="15">
        <f t="shared" ca="1" si="7"/>
        <v>798</v>
      </c>
      <c r="U497" s="3"/>
    </row>
    <row r="498" spans="1:21" x14ac:dyDescent="0.35">
      <c r="A498" s="3" t="s">
        <v>1017</v>
      </c>
      <c r="B498" s="3" t="s">
        <v>1018</v>
      </c>
      <c r="C498" s="3" t="s">
        <v>25</v>
      </c>
      <c r="D498" s="3" t="s">
        <v>31</v>
      </c>
      <c r="E498" s="6">
        <v>44649</v>
      </c>
      <c r="F498" s="3" t="s">
        <v>39</v>
      </c>
      <c r="G498" s="3">
        <v>13290</v>
      </c>
      <c r="H498" s="3">
        <v>1862</v>
      </c>
      <c r="I498" s="3">
        <v>2.39</v>
      </c>
      <c r="J498" s="3">
        <v>75</v>
      </c>
      <c r="K498" s="15" t="str">
        <f ca="1">IF(F498="Enrolled",TODAY()-E498,"0")</f>
        <v>0</v>
      </c>
      <c r="L498" s="3" t="str">
        <f>IF(I498&gt;=3.5,"Excellent",IF(I498&gt;=3,"Good",IF(I498&gt;=2,"Average","Poor")))</f>
        <v>Average</v>
      </c>
      <c r="M498" s="3" t="str">
        <v>Dr.Sharma</v>
      </c>
      <c r="N498" s="3" t="str">
        <f>IF(H498 &gt; (G498*50%), "Yes", "No")</f>
        <v>No</v>
      </c>
      <c r="O498" s="16">
        <f>G498-H498</f>
        <v>11428</v>
      </c>
      <c r="P498" s="16">
        <f>SUMIFS(O498:O498,E498:E498,"Science",F498:F498,"Completed")</f>
        <v>0</v>
      </c>
      <c r="Q498" s="3" t="str">
        <f>IF(MONTH(E498)&gt;=7, YEAR(E498)&amp;"-"&amp;YEAR(E498)+1, YEAR(E498)-1&amp;"-"&amp;YEAR(E498))</f>
        <v>2021-2022</v>
      </c>
      <c r="R498" s="3"/>
      <c r="S498" s="3"/>
      <c r="T498" s="15" t="str">
        <f t="shared" ca="1" si="7"/>
        <v>0</v>
      </c>
      <c r="U498" s="3"/>
    </row>
    <row r="499" spans="1:21" x14ac:dyDescent="0.35">
      <c r="A499" s="3" t="s">
        <v>1019</v>
      </c>
      <c r="B499" s="3" t="s">
        <v>1020</v>
      </c>
      <c r="C499" s="3" t="s">
        <v>12</v>
      </c>
      <c r="D499" s="3" t="s">
        <v>13</v>
      </c>
      <c r="E499" s="6">
        <v>44757</v>
      </c>
      <c r="F499" s="3" t="s">
        <v>14</v>
      </c>
      <c r="G499" s="3">
        <v>12663</v>
      </c>
      <c r="H499" s="3">
        <v>4913</v>
      </c>
      <c r="I499" s="3">
        <v>3.59</v>
      </c>
      <c r="J499" s="3">
        <v>110</v>
      </c>
      <c r="K499" s="15">
        <f ca="1">IF(F499="Enrolled",TODAY()-E499,"0")</f>
        <v>1297</v>
      </c>
      <c r="L499" s="3" t="str">
        <f>IF(I499&gt;=3.5,"Excellent",IF(I499&gt;=3,"Good",IF(I499&gt;=2,"Average","Poor")))</f>
        <v>Excellent</v>
      </c>
      <c r="M499" s="3" t="str">
        <v>Dr.Mehta</v>
      </c>
      <c r="N499" s="3" t="str">
        <f>IF(H499 &gt; (G499*50%), "Yes", "No")</f>
        <v>No</v>
      </c>
      <c r="O499" s="16">
        <f>G499-H499</f>
        <v>7750</v>
      </c>
      <c r="P499" s="16">
        <f>SUMIFS(O499:O499,E499:E499,"Science",F499:F499,"Completed")</f>
        <v>0</v>
      </c>
      <c r="Q499" s="3" t="str">
        <f>IF(MONTH(E499)&gt;=7, YEAR(E499)&amp;"-"&amp;YEAR(E499)+1, YEAR(E499)-1&amp;"-"&amp;YEAR(E499))</f>
        <v>2022-2023</v>
      </c>
      <c r="R499" s="3"/>
      <c r="S499" s="3"/>
      <c r="T499" s="15" t="str">
        <f t="shared" ca="1" si="7"/>
        <v>0</v>
      </c>
      <c r="U499" s="3"/>
    </row>
    <row r="500" spans="1:21" x14ac:dyDescent="0.35">
      <c r="A500" s="3" t="s">
        <v>1021</v>
      </c>
      <c r="B500" s="3" t="s">
        <v>1022</v>
      </c>
      <c r="C500" s="3" t="s">
        <v>57</v>
      </c>
      <c r="D500" s="3" t="s">
        <v>62</v>
      </c>
      <c r="E500" s="6">
        <v>45149</v>
      </c>
      <c r="F500" s="3" t="s">
        <v>19</v>
      </c>
      <c r="G500" s="3">
        <v>3630</v>
      </c>
      <c r="H500" s="3">
        <v>8783</v>
      </c>
      <c r="I500" s="3">
        <v>2.73</v>
      </c>
      <c r="J500" s="3">
        <v>67</v>
      </c>
      <c r="K500" s="15" t="str">
        <f ca="1">IF(F500="Enrolled",TODAY()-E500,"0")</f>
        <v>0</v>
      </c>
      <c r="L500" s="3" t="str">
        <f>IF(I500&gt;=3.5,"Excellent",IF(I500&gt;=3,"Good",IF(I500&gt;=2,"Average","Poor")))</f>
        <v>Average</v>
      </c>
      <c r="M500" s="3" t="str">
        <v>Dr.Sinha</v>
      </c>
      <c r="N500" s="3" t="str">
        <f>IF(H500 &gt; (G500*50%), "Yes", "No")</f>
        <v>Yes</v>
      </c>
      <c r="O500" s="16">
        <f>G500-H500</f>
        <v>-5153</v>
      </c>
      <c r="P500" s="16">
        <f>SUMIFS(O500:O500,E500:E500,"Science",F500:F500,"Completed")</f>
        <v>0</v>
      </c>
      <c r="Q500" s="3" t="str">
        <f>IF(MONTH(E500)&gt;=7, YEAR(E500)&amp;"-"&amp;YEAR(E500)+1, YEAR(E500)-1&amp;"-"&amp;YEAR(E500))</f>
        <v>2023-2024</v>
      </c>
      <c r="R500" s="3"/>
      <c r="S500" s="3"/>
      <c r="T500" s="15">
        <f t="shared" ca="1" si="7"/>
        <v>905</v>
      </c>
      <c r="U500" s="3"/>
    </row>
    <row r="501" spans="1:21" x14ac:dyDescent="0.35">
      <c r="A501" s="3" t="s">
        <v>1023</v>
      </c>
      <c r="B501" s="3" t="s">
        <v>1024</v>
      </c>
      <c r="C501" s="3" t="s">
        <v>57</v>
      </c>
      <c r="D501" s="3" t="s">
        <v>62</v>
      </c>
      <c r="E501" s="6">
        <v>44991</v>
      </c>
      <c r="F501" s="3" t="s">
        <v>14</v>
      </c>
      <c r="G501" s="3">
        <v>14263</v>
      </c>
      <c r="H501" s="3">
        <v>2162</v>
      </c>
      <c r="I501" s="3">
        <v>3.8</v>
      </c>
      <c r="J501" s="3">
        <v>53</v>
      </c>
      <c r="K501" s="15">
        <f ca="1">IF(F501="Enrolled",TODAY()-E501,"0")</f>
        <v>1063</v>
      </c>
      <c r="L501" s="3" t="str">
        <f>IF(I501&gt;=3.5,"Excellent",IF(I501&gt;=3,"Good",IF(I501&gt;=2,"Average","Poor")))</f>
        <v>Excellent</v>
      </c>
      <c r="M501" s="3" t="str">
        <v>Dr.Sinha</v>
      </c>
      <c r="N501" s="3" t="str">
        <f>IF(H501 &gt; (G501*50%), "Yes", "No")</f>
        <v>No</v>
      </c>
      <c r="O501" s="16">
        <f>G501-H501</f>
        <v>12101</v>
      </c>
      <c r="P501" s="16">
        <f>SUMIFS(O501:O501,E501:E501,"Science",F501:F501,"Completed")</f>
        <v>0</v>
      </c>
      <c r="Q501" s="3" t="str">
        <f>IF(MONTH(E501)&gt;=7, YEAR(E501)&amp;"-"&amp;YEAR(E501)+1, YEAR(E501)-1&amp;"-"&amp;YEAR(E501))</f>
        <v>2022-2023</v>
      </c>
      <c r="R501" s="3"/>
      <c r="S501" s="3"/>
      <c r="T501" s="15" t="str">
        <f t="shared" ca="1" si="7"/>
        <v>0</v>
      </c>
      <c r="U501" s="3"/>
    </row>
    <row r="502" spans="1:21" x14ac:dyDescent="0.35">
      <c r="A502" s="3" t="s">
        <v>1025</v>
      </c>
      <c r="B502" s="3" t="s">
        <v>1026</v>
      </c>
      <c r="C502" s="3" t="s">
        <v>22</v>
      </c>
      <c r="D502" s="3" t="s">
        <v>31</v>
      </c>
      <c r="E502" s="6">
        <v>45097</v>
      </c>
      <c r="F502" s="3" t="s">
        <v>19</v>
      </c>
      <c r="G502" s="3">
        <v>12155</v>
      </c>
      <c r="H502" s="3">
        <v>8128</v>
      </c>
      <c r="I502" s="3">
        <v>3.28</v>
      </c>
      <c r="J502" s="3">
        <v>21</v>
      </c>
      <c r="K502" s="15" t="str">
        <f ca="1">IF(F502="Enrolled",TODAY()-E502,"0")</f>
        <v>0</v>
      </c>
      <c r="L502" s="3" t="str">
        <f>IF(I502&gt;=3.5,"Excellent",IF(I502&gt;=3,"Good",IF(I502&gt;=2,"Average","Poor")))</f>
        <v>Good</v>
      </c>
      <c r="M502" s="3" t="str">
        <v>Dr.Sharma</v>
      </c>
      <c r="N502" s="3" t="str">
        <f>IF(H502 &gt; (G502*50%), "Yes", "No")</f>
        <v>Yes</v>
      </c>
      <c r="O502" s="16">
        <f>G502-H502</f>
        <v>4027</v>
      </c>
      <c r="P502" s="16">
        <f>SUMIFS(O502:O502,E502:E502,"Science",F502:F502,"Completed")</f>
        <v>0</v>
      </c>
      <c r="Q502" s="3" t="str">
        <f>IF(MONTH(E502)&gt;=7, YEAR(E502)&amp;"-"&amp;YEAR(E502)+1, YEAR(E502)-1&amp;"-"&amp;YEAR(E502))</f>
        <v>2022-2023</v>
      </c>
      <c r="R502" s="3"/>
      <c r="S502" s="3"/>
      <c r="T502" s="15">
        <f t="shared" ca="1" si="7"/>
        <v>957</v>
      </c>
      <c r="U502" s="3"/>
    </row>
    <row r="503" spans="1:21" x14ac:dyDescent="0.35">
      <c r="A503" s="3" t="s">
        <v>1027</v>
      </c>
      <c r="B503" s="3" t="s">
        <v>1028</v>
      </c>
      <c r="C503" s="3" t="s">
        <v>28</v>
      </c>
      <c r="D503" s="3" t="s">
        <v>18</v>
      </c>
      <c r="E503" s="6">
        <v>45328</v>
      </c>
      <c r="F503" s="3" t="s">
        <v>19</v>
      </c>
      <c r="G503" s="3">
        <v>4867</v>
      </c>
      <c r="H503" s="3">
        <v>7702</v>
      </c>
      <c r="I503" s="3">
        <v>3.52</v>
      </c>
      <c r="J503" s="3">
        <v>1</v>
      </c>
      <c r="K503" s="15" t="str">
        <f ca="1">IF(F503="Enrolled",TODAY()-E503,"0")</f>
        <v>0</v>
      </c>
      <c r="L503" s="3" t="str">
        <f>IF(I503&gt;=3.5,"Excellent",IF(I503&gt;=3,"Good",IF(I503&gt;=2,"Average","Poor")))</f>
        <v>Excellent</v>
      </c>
      <c r="M503" s="3" t="str">
        <v>Dr.Roy</v>
      </c>
      <c r="N503" s="3" t="str">
        <f>IF(H503 &gt; (G503*50%), "Yes", "No")</f>
        <v>Yes</v>
      </c>
      <c r="O503" s="16">
        <f>G503-H503</f>
        <v>-2835</v>
      </c>
      <c r="P503" s="16">
        <f>SUMIFS(O503:O503,E503:E503,"Science",F503:F503,"Completed")</f>
        <v>0</v>
      </c>
      <c r="Q503" s="3" t="str">
        <f>IF(MONTH(E503)&gt;=7, YEAR(E503)&amp;"-"&amp;YEAR(E503)+1, YEAR(E503)-1&amp;"-"&amp;YEAR(E503))</f>
        <v>2023-2024</v>
      </c>
      <c r="R503" s="3"/>
      <c r="S503" s="3"/>
      <c r="T503" s="15">
        <f t="shared" ca="1" si="7"/>
        <v>726</v>
      </c>
      <c r="U503" s="3"/>
    </row>
    <row r="504" spans="1:21" x14ac:dyDescent="0.35">
      <c r="A504" s="3" t="s">
        <v>1029</v>
      </c>
      <c r="B504" s="3" t="s">
        <v>1030</v>
      </c>
      <c r="C504" s="3" t="s">
        <v>36</v>
      </c>
      <c r="D504" s="3" t="s">
        <v>18</v>
      </c>
      <c r="E504" s="6">
        <v>44578</v>
      </c>
      <c r="F504" s="3" t="s">
        <v>19</v>
      </c>
      <c r="G504" s="3">
        <v>13284</v>
      </c>
      <c r="H504" s="3">
        <v>5926</v>
      </c>
      <c r="I504" s="3">
        <v>2.25</v>
      </c>
      <c r="J504" s="3">
        <v>48</v>
      </c>
      <c r="K504" s="15" t="str">
        <f ca="1">IF(F504="Enrolled",TODAY()-E504,"0")</f>
        <v>0</v>
      </c>
      <c r="L504" s="3" t="str">
        <f>IF(I504&gt;=3.5,"Excellent",IF(I504&gt;=3,"Good",IF(I504&gt;=2,"Average","Poor")))</f>
        <v>Average</v>
      </c>
      <c r="M504" s="3" t="str">
        <v>Dr.Roy</v>
      </c>
      <c r="N504" s="3" t="str">
        <f>IF(H504 &gt; (G504*50%), "Yes", "No")</f>
        <v>No</v>
      </c>
      <c r="O504" s="16">
        <f>G504-H504</f>
        <v>7358</v>
      </c>
      <c r="P504" s="16">
        <f>SUMIFS(O504:O504,E504:E504,"Science",F504:F504,"Completed")</f>
        <v>0</v>
      </c>
      <c r="Q504" s="3" t="str">
        <f>IF(MONTH(E504)&gt;=7, YEAR(E504)&amp;"-"&amp;YEAR(E504)+1, YEAR(E504)-1&amp;"-"&amp;YEAR(E504))</f>
        <v>2021-2022</v>
      </c>
      <c r="R504" s="3"/>
      <c r="S504" s="3"/>
      <c r="T504" s="15">
        <f t="shared" ca="1" si="7"/>
        <v>1476</v>
      </c>
      <c r="U504" s="3"/>
    </row>
    <row r="505" spans="1:21" x14ac:dyDescent="0.35">
      <c r="A505" s="3" t="s">
        <v>1031</v>
      </c>
      <c r="B505" s="3" t="s">
        <v>1032</v>
      </c>
      <c r="C505" s="3" t="s">
        <v>17</v>
      </c>
      <c r="D505" s="3" t="s">
        <v>62</v>
      </c>
      <c r="E505" s="6">
        <v>44691</v>
      </c>
      <c r="F505" s="3" t="s">
        <v>14</v>
      </c>
      <c r="G505" s="3">
        <v>10971</v>
      </c>
      <c r="H505" s="3">
        <v>3693</v>
      </c>
      <c r="I505" s="3">
        <v>3.43</v>
      </c>
      <c r="J505" s="3">
        <v>67</v>
      </c>
      <c r="K505" s="15">
        <f ca="1">IF(F505="Enrolled",TODAY()-E505,"0")</f>
        <v>1363</v>
      </c>
      <c r="L505" s="3" t="str">
        <f>IF(I505&gt;=3.5,"Excellent",IF(I505&gt;=3,"Good",IF(I505&gt;=2,"Average","Poor")))</f>
        <v>Good</v>
      </c>
      <c r="M505" s="3" t="str">
        <v>Dr.Sinha</v>
      </c>
      <c r="N505" s="3" t="str">
        <f>IF(H505 &gt; (G505*50%), "Yes", "No")</f>
        <v>No</v>
      </c>
      <c r="O505" s="16">
        <f>G505-H505</f>
        <v>7278</v>
      </c>
      <c r="P505" s="16">
        <f>SUMIFS(O505:O505,E505:E505,"Science",F505:F505,"Completed")</f>
        <v>0</v>
      </c>
      <c r="Q505" s="3" t="str">
        <f>IF(MONTH(E505)&gt;=7, YEAR(E505)&amp;"-"&amp;YEAR(E505)+1, YEAR(E505)-1&amp;"-"&amp;YEAR(E505))</f>
        <v>2021-2022</v>
      </c>
      <c r="R505" s="3"/>
      <c r="S505" s="3"/>
      <c r="T505" s="15" t="str">
        <f t="shared" ca="1" si="7"/>
        <v>0</v>
      </c>
      <c r="U505" s="3"/>
    </row>
    <row r="506" spans="1:21" x14ac:dyDescent="0.35">
      <c r="A506" s="3" t="s">
        <v>1033</v>
      </c>
      <c r="B506" s="3" t="s">
        <v>1034</v>
      </c>
      <c r="C506" s="3" t="s">
        <v>36</v>
      </c>
      <c r="D506" s="3" t="s">
        <v>31</v>
      </c>
      <c r="E506" s="6">
        <v>45091</v>
      </c>
      <c r="F506" s="3" t="s">
        <v>14</v>
      </c>
      <c r="G506" s="3">
        <v>10845</v>
      </c>
      <c r="H506" s="3">
        <v>3885</v>
      </c>
      <c r="I506" s="3">
        <v>3.24</v>
      </c>
      <c r="J506" s="3">
        <v>73</v>
      </c>
      <c r="K506" s="15">
        <f ca="1">IF(F506="Enrolled",TODAY()-E506,"0")</f>
        <v>963</v>
      </c>
      <c r="L506" s="3" t="str">
        <f>IF(I506&gt;=3.5,"Excellent",IF(I506&gt;=3,"Good",IF(I506&gt;=2,"Average","Poor")))</f>
        <v>Good</v>
      </c>
      <c r="M506" s="3" t="str">
        <v>Dr.Sharma</v>
      </c>
      <c r="N506" s="3" t="str">
        <f>IF(H506 &gt; (G506*50%), "Yes", "No")</f>
        <v>No</v>
      </c>
      <c r="O506" s="16">
        <f>G506-H506</f>
        <v>6960</v>
      </c>
      <c r="P506" s="16">
        <f>SUMIFS(O506:O506,E506:E506,"Science",F506:F506,"Completed")</f>
        <v>0</v>
      </c>
      <c r="Q506" s="3" t="str">
        <f>IF(MONTH(E506)&gt;=7, YEAR(E506)&amp;"-"&amp;YEAR(E506)+1, YEAR(E506)-1&amp;"-"&amp;YEAR(E506))</f>
        <v>2022-2023</v>
      </c>
      <c r="R506" s="3"/>
      <c r="S506" s="3"/>
      <c r="T506" s="15" t="str">
        <f t="shared" ca="1" si="7"/>
        <v>0</v>
      </c>
      <c r="U506" s="3"/>
    </row>
    <row r="507" spans="1:21" x14ac:dyDescent="0.35">
      <c r="A507" s="3" t="s">
        <v>1035</v>
      </c>
      <c r="B507" s="3" t="s">
        <v>1036</v>
      </c>
      <c r="C507" s="3" t="s">
        <v>28</v>
      </c>
      <c r="D507" s="3" t="s">
        <v>31</v>
      </c>
      <c r="E507" s="6">
        <v>44699</v>
      </c>
      <c r="F507" s="3" t="s">
        <v>39</v>
      </c>
      <c r="G507" s="3">
        <v>3925</v>
      </c>
      <c r="H507" s="3">
        <v>9799</v>
      </c>
      <c r="I507" s="3">
        <v>2.62</v>
      </c>
      <c r="J507" s="3">
        <v>73</v>
      </c>
      <c r="K507" s="15" t="str">
        <f ca="1">IF(F507="Enrolled",TODAY()-E507,"0")</f>
        <v>0</v>
      </c>
      <c r="L507" s="3" t="str">
        <f>IF(I507&gt;=3.5,"Excellent",IF(I507&gt;=3,"Good",IF(I507&gt;=2,"Average","Poor")))</f>
        <v>Average</v>
      </c>
      <c r="M507" s="3" t="str">
        <v>Dr.Sharma</v>
      </c>
      <c r="N507" s="3" t="str">
        <f>IF(H507 &gt; (G507*50%), "Yes", "No")</f>
        <v>Yes</v>
      </c>
      <c r="O507" s="16">
        <f>G507-H507</f>
        <v>-5874</v>
      </c>
      <c r="P507" s="16">
        <f>SUMIFS(O507:O507,E507:E507,"Science",F507:F507,"Completed")</f>
        <v>0</v>
      </c>
      <c r="Q507" s="3" t="str">
        <f>IF(MONTH(E507)&gt;=7, YEAR(E507)&amp;"-"&amp;YEAR(E507)+1, YEAR(E507)-1&amp;"-"&amp;YEAR(E507))</f>
        <v>2021-2022</v>
      </c>
      <c r="R507" s="3"/>
      <c r="S507" s="3"/>
      <c r="T507" s="15" t="str">
        <f t="shared" ca="1" si="7"/>
        <v>0</v>
      </c>
      <c r="U507" s="3"/>
    </row>
    <row r="508" spans="1:21" x14ac:dyDescent="0.35">
      <c r="A508" s="3" t="s">
        <v>1037</v>
      </c>
      <c r="B508" s="3" t="s">
        <v>1038</v>
      </c>
      <c r="C508" s="3" t="s">
        <v>22</v>
      </c>
      <c r="D508" s="3" t="s">
        <v>18</v>
      </c>
      <c r="E508" s="6">
        <v>45274</v>
      </c>
      <c r="F508" s="3" t="s">
        <v>19</v>
      </c>
      <c r="G508" s="3">
        <v>9717</v>
      </c>
      <c r="H508" s="3">
        <v>1531</v>
      </c>
      <c r="I508" s="3">
        <v>3.9</v>
      </c>
      <c r="J508" s="3">
        <v>15</v>
      </c>
      <c r="K508" s="15" t="str">
        <f ca="1">IF(F508="Enrolled",TODAY()-E508,"0")</f>
        <v>0</v>
      </c>
      <c r="L508" s="3" t="str">
        <f>IF(I508&gt;=3.5,"Excellent",IF(I508&gt;=3,"Good",IF(I508&gt;=2,"Average","Poor")))</f>
        <v>Excellent</v>
      </c>
      <c r="M508" s="3" t="str">
        <v>Dr.Roy</v>
      </c>
      <c r="N508" s="3" t="str">
        <f>IF(H508 &gt; (G508*50%), "Yes", "No")</f>
        <v>No</v>
      </c>
      <c r="O508" s="16">
        <f>G508-H508</f>
        <v>8186</v>
      </c>
      <c r="P508" s="16">
        <f>SUMIFS(O508:O508,E508:E508,"Science",F508:F508,"Completed")</f>
        <v>0</v>
      </c>
      <c r="Q508" s="3" t="str">
        <f>IF(MONTH(E508)&gt;=7, YEAR(E508)&amp;"-"&amp;YEAR(E508)+1, YEAR(E508)-1&amp;"-"&amp;YEAR(E508))</f>
        <v>2023-2024</v>
      </c>
      <c r="R508" s="3"/>
      <c r="S508" s="3"/>
      <c r="T508" s="15">
        <f t="shared" ca="1" si="7"/>
        <v>780</v>
      </c>
      <c r="U508" s="3"/>
    </row>
    <row r="509" spans="1:21" x14ac:dyDescent="0.35">
      <c r="A509" s="3" t="s">
        <v>1039</v>
      </c>
      <c r="B509" s="3" t="s">
        <v>1040</v>
      </c>
      <c r="C509" s="3" t="s">
        <v>17</v>
      </c>
      <c r="D509" s="3" t="s">
        <v>18</v>
      </c>
      <c r="E509" s="6">
        <v>45211</v>
      </c>
      <c r="F509" s="3" t="s">
        <v>19</v>
      </c>
      <c r="G509" s="3">
        <v>9611</v>
      </c>
      <c r="H509" s="3">
        <v>6838</v>
      </c>
      <c r="I509" s="3">
        <v>3.3</v>
      </c>
      <c r="J509" s="3">
        <v>94</v>
      </c>
      <c r="K509" s="15" t="str">
        <f ca="1">IF(F509="Enrolled",TODAY()-E509,"0")</f>
        <v>0</v>
      </c>
      <c r="L509" s="3" t="str">
        <f>IF(I509&gt;=3.5,"Excellent",IF(I509&gt;=3,"Good",IF(I509&gt;=2,"Average","Poor")))</f>
        <v>Good</v>
      </c>
      <c r="M509" s="3" t="str">
        <v>Dr.Roy</v>
      </c>
      <c r="N509" s="3" t="str">
        <f>IF(H509 &gt; (G509*50%), "Yes", "No")</f>
        <v>Yes</v>
      </c>
      <c r="O509" s="16">
        <f>G509-H509</f>
        <v>2773</v>
      </c>
      <c r="P509" s="16">
        <f>SUMIFS(O509:O509,E509:E509,"Science",F509:F509,"Completed")</f>
        <v>0</v>
      </c>
      <c r="Q509" s="3" t="str">
        <f>IF(MONTH(E509)&gt;=7, YEAR(E509)&amp;"-"&amp;YEAR(E509)+1, YEAR(E509)-1&amp;"-"&amp;YEAR(E509))</f>
        <v>2023-2024</v>
      </c>
      <c r="R509" s="3"/>
      <c r="S509" s="3"/>
      <c r="T509" s="15">
        <f t="shared" ca="1" si="7"/>
        <v>843</v>
      </c>
      <c r="U509" s="3"/>
    </row>
    <row r="510" spans="1:21" x14ac:dyDescent="0.35">
      <c r="A510" s="3" t="s">
        <v>1041</v>
      </c>
      <c r="B510" s="3" t="s">
        <v>1042</v>
      </c>
      <c r="C510" s="3" t="s">
        <v>54</v>
      </c>
      <c r="D510" s="3" t="s">
        <v>18</v>
      </c>
      <c r="E510" s="6">
        <v>45289</v>
      </c>
      <c r="F510" s="3" t="s">
        <v>19</v>
      </c>
      <c r="G510" s="3">
        <v>7850</v>
      </c>
      <c r="H510" s="3">
        <v>5788</v>
      </c>
      <c r="I510" s="3">
        <v>2.58</v>
      </c>
      <c r="J510" s="3">
        <v>14</v>
      </c>
      <c r="K510" s="15" t="str">
        <f ca="1">IF(F510="Enrolled",TODAY()-E510,"0")</f>
        <v>0</v>
      </c>
      <c r="L510" s="3" t="str">
        <f>IF(I510&gt;=3.5,"Excellent",IF(I510&gt;=3,"Good",IF(I510&gt;=2,"Average","Poor")))</f>
        <v>Average</v>
      </c>
      <c r="M510" s="3" t="str">
        <v>Dr.Roy</v>
      </c>
      <c r="N510" s="3" t="str">
        <f>IF(H510 &gt; (G510*50%), "Yes", "No")</f>
        <v>Yes</v>
      </c>
      <c r="O510" s="16">
        <f>G510-H510</f>
        <v>2062</v>
      </c>
      <c r="P510" s="16">
        <f>SUMIFS(O510:O510,E510:E510,"Science",F510:F510,"Completed")</f>
        <v>0</v>
      </c>
      <c r="Q510" s="3" t="str">
        <f>IF(MONTH(E510)&gt;=7, YEAR(E510)&amp;"-"&amp;YEAR(E510)+1, YEAR(E510)-1&amp;"-"&amp;YEAR(E510))</f>
        <v>2023-2024</v>
      </c>
      <c r="R510" s="3"/>
      <c r="S510" s="3"/>
      <c r="T510" s="15">
        <f t="shared" ca="1" si="7"/>
        <v>765</v>
      </c>
      <c r="U510" s="3"/>
    </row>
    <row r="511" spans="1:21" x14ac:dyDescent="0.35">
      <c r="A511" s="3" t="s">
        <v>1043</v>
      </c>
      <c r="B511" s="3" t="s">
        <v>1044</v>
      </c>
      <c r="C511" s="3" t="s">
        <v>12</v>
      </c>
      <c r="D511" s="3" t="s">
        <v>13</v>
      </c>
      <c r="E511" s="6">
        <v>44981</v>
      </c>
      <c r="F511" s="3" t="s">
        <v>14</v>
      </c>
      <c r="G511" s="3">
        <v>13973</v>
      </c>
      <c r="H511" s="3">
        <v>1742</v>
      </c>
      <c r="I511" s="3">
        <v>2.1</v>
      </c>
      <c r="J511" s="3">
        <v>10</v>
      </c>
      <c r="K511" s="15">
        <f ca="1">IF(F511="Enrolled",TODAY()-E511,"0")</f>
        <v>1073</v>
      </c>
      <c r="L511" s="3" t="str">
        <f>IF(I511&gt;=3.5,"Excellent",IF(I511&gt;=3,"Good",IF(I511&gt;=2,"Average","Poor")))</f>
        <v>Average</v>
      </c>
      <c r="M511" s="3" t="str">
        <v>Dr.Mehta</v>
      </c>
      <c r="N511" s="3" t="str">
        <f>IF(H511 &gt; (G511*50%), "Yes", "No")</f>
        <v>No</v>
      </c>
      <c r="O511" s="16">
        <f>G511-H511</f>
        <v>12231</v>
      </c>
      <c r="P511" s="16">
        <f>SUMIFS(O511:O511,E511:E511,"Science",F511:F511,"Completed")</f>
        <v>0</v>
      </c>
      <c r="Q511" s="3" t="str">
        <f>IF(MONTH(E511)&gt;=7, YEAR(E511)&amp;"-"&amp;YEAR(E511)+1, YEAR(E511)-1&amp;"-"&amp;YEAR(E511))</f>
        <v>2022-2023</v>
      </c>
      <c r="R511" s="3"/>
      <c r="S511" s="3"/>
      <c r="T511" s="15" t="str">
        <f t="shared" ca="1" si="7"/>
        <v>0</v>
      </c>
      <c r="U511" s="3"/>
    </row>
    <row r="512" spans="1:21" x14ac:dyDescent="0.35">
      <c r="A512" s="3" t="s">
        <v>1045</v>
      </c>
      <c r="B512" s="3" t="s">
        <v>1046</v>
      </c>
      <c r="C512" s="3" t="s">
        <v>54</v>
      </c>
      <c r="D512" s="3" t="s">
        <v>31</v>
      </c>
      <c r="E512" s="6">
        <v>45318</v>
      </c>
      <c r="F512" s="3" t="s">
        <v>14</v>
      </c>
      <c r="G512" s="3">
        <v>9294</v>
      </c>
      <c r="H512" s="3">
        <v>6415</v>
      </c>
      <c r="I512" s="3">
        <v>3.38</v>
      </c>
      <c r="J512" s="3">
        <v>57</v>
      </c>
      <c r="K512" s="15">
        <f ca="1">IF(F512="Enrolled",TODAY()-E512,"0")</f>
        <v>736</v>
      </c>
      <c r="L512" s="3" t="str">
        <f>IF(I512&gt;=3.5,"Excellent",IF(I512&gt;=3,"Good",IF(I512&gt;=2,"Average","Poor")))</f>
        <v>Good</v>
      </c>
      <c r="M512" s="3" t="str">
        <v>Dr.Sharma</v>
      </c>
      <c r="N512" s="3" t="str">
        <f>IF(H512 &gt; (G512*50%), "Yes", "No")</f>
        <v>Yes</v>
      </c>
      <c r="O512" s="16">
        <f>G512-H512</f>
        <v>2879</v>
      </c>
      <c r="P512" s="16">
        <f>SUMIFS(O512:O512,E512:E512,"Science",F512:F512,"Completed")</f>
        <v>0</v>
      </c>
      <c r="Q512" s="3" t="str">
        <f>IF(MONTH(E512)&gt;=7, YEAR(E512)&amp;"-"&amp;YEAR(E512)+1, YEAR(E512)-1&amp;"-"&amp;YEAR(E512))</f>
        <v>2023-2024</v>
      </c>
      <c r="R512" s="3"/>
      <c r="S512" s="3"/>
      <c r="T512" s="15" t="str">
        <f t="shared" ca="1" si="7"/>
        <v>0</v>
      </c>
      <c r="U512" s="3"/>
    </row>
    <row r="513" spans="1:21" x14ac:dyDescent="0.35">
      <c r="A513" s="3" t="s">
        <v>1047</v>
      </c>
      <c r="B513" s="3" t="s">
        <v>1048</v>
      </c>
      <c r="C513" s="3" t="s">
        <v>28</v>
      </c>
      <c r="D513" s="3" t="s">
        <v>13</v>
      </c>
      <c r="E513" s="6">
        <v>44771</v>
      </c>
      <c r="F513" s="3" t="s">
        <v>19</v>
      </c>
      <c r="G513" s="3">
        <v>9133</v>
      </c>
      <c r="H513" s="3">
        <v>2906</v>
      </c>
      <c r="I513" s="3">
        <v>2.85</v>
      </c>
      <c r="J513" s="3">
        <v>42</v>
      </c>
      <c r="K513" s="15" t="str">
        <f ca="1">IF(F513="Enrolled",TODAY()-E513,"0")</f>
        <v>0</v>
      </c>
      <c r="L513" s="3" t="str">
        <f>IF(I513&gt;=3.5,"Excellent",IF(I513&gt;=3,"Good",IF(I513&gt;=2,"Average","Poor")))</f>
        <v>Average</v>
      </c>
      <c r="M513" s="3" t="str">
        <v>Dr.Mehta</v>
      </c>
      <c r="N513" s="3" t="str">
        <f>IF(H513 &gt; (G513*50%), "Yes", "No")</f>
        <v>No</v>
      </c>
      <c r="O513" s="16">
        <f>G513-H513</f>
        <v>6227</v>
      </c>
      <c r="P513" s="16">
        <f>SUMIFS(O513:O513,E513:E513,"Science",F513:F513,"Completed")</f>
        <v>0</v>
      </c>
      <c r="Q513" s="3" t="str">
        <f>IF(MONTH(E513)&gt;=7, YEAR(E513)&amp;"-"&amp;YEAR(E513)+1, YEAR(E513)-1&amp;"-"&amp;YEAR(E513))</f>
        <v>2022-2023</v>
      </c>
      <c r="R513" s="3"/>
      <c r="S513" s="3"/>
      <c r="T513" s="15">
        <f t="shared" ca="1" si="7"/>
        <v>1283</v>
      </c>
      <c r="U513" s="3"/>
    </row>
    <row r="514" spans="1:21" x14ac:dyDescent="0.35">
      <c r="A514" s="3" t="s">
        <v>1049</v>
      </c>
      <c r="B514" s="3" t="s">
        <v>1050</v>
      </c>
      <c r="C514" s="3" t="s">
        <v>28</v>
      </c>
      <c r="D514" s="3" t="s">
        <v>13</v>
      </c>
      <c r="E514" s="6">
        <v>45400</v>
      </c>
      <c r="F514" s="3" t="s">
        <v>39</v>
      </c>
      <c r="G514" s="3">
        <v>9782</v>
      </c>
      <c r="H514" s="3">
        <v>2085</v>
      </c>
      <c r="I514" s="3">
        <v>2.36</v>
      </c>
      <c r="J514" s="3">
        <v>66</v>
      </c>
      <c r="K514" s="15" t="str">
        <f ca="1">IF(F514="Enrolled",TODAY()-E514,"0")</f>
        <v>0</v>
      </c>
      <c r="L514" s="3" t="str">
        <f>IF(I514&gt;=3.5,"Excellent",IF(I514&gt;=3,"Good",IF(I514&gt;=2,"Average","Poor")))</f>
        <v>Average</v>
      </c>
      <c r="M514" s="3" t="str">
        <v>Dr.Mehta</v>
      </c>
      <c r="N514" s="3" t="str">
        <f>IF(H514 &gt; (G514*50%), "Yes", "No")</f>
        <v>No</v>
      </c>
      <c r="O514" s="16">
        <f>G514-H514</f>
        <v>7697</v>
      </c>
      <c r="P514" s="16">
        <f>SUMIFS(O514:O514,E514:E514,"Science",F514:F514,"Completed")</f>
        <v>0</v>
      </c>
      <c r="Q514" s="3" t="str">
        <f>IF(MONTH(E514)&gt;=7, YEAR(E514)&amp;"-"&amp;YEAR(E514)+1, YEAR(E514)-1&amp;"-"&amp;YEAR(E514))</f>
        <v>2023-2024</v>
      </c>
      <c r="R514" s="3"/>
      <c r="S514" s="3"/>
      <c r="T514" s="15" t="str">
        <f t="shared" ca="1" si="7"/>
        <v>0</v>
      </c>
      <c r="U514" s="3"/>
    </row>
    <row r="515" spans="1:21" x14ac:dyDescent="0.35">
      <c r="A515" s="3" t="s">
        <v>1051</v>
      </c>
      <c r="B515" s="3" t="s">
        <v>1052</v>
      </c>
      <c r="C515" s="3" t="s">
        <v>12</v>
      </c>
      <c r="D515" s="3" t="s">
        <v>13</v>
      </c>
      <c r="E515" s="6">
        <v>45456</v>
      </c>
      <c r="F515" s="3" t="s">
        <v>19</v>
      </c>
      <c r="G515" s="3">
        <v>5574</v>
      </c>
      <c r="H515" s="3">
        <v>6633</v>
      </c>
      <c r="I515" s="3">
        <v>2.82</v>
      </c>
      <c r="J515" s="3">
        <v>1</v>
      </c>
      <c r="K515" s="15" t="str">
        <f ca="1">IF(F515="Enrolled",TODAY()-E515,"0")</f>
        <v>0</v>
      </c>
      <c r="L515" s="3" t="str">
        <f>IF(I515&gt;=3.5,"Excellent",IF(I515&gt;=3,"Good",IF(I515&gt;=2,"Average","Poor")))</f>
        <v>Average</v>
      </c>
      <c r="M515" s="3" t="str">
        <v>Dr.Mehta</v>
      </c>
      <c r="N515" s="3" t="str">
        <f>IF(H515 &gt; (G515*50%), "Yes", "No")</f>
        <v>Yes</v>
      </c>
      <c r="O515" s="16">
        <f>G515-H515</f>
        <v>-1059</v>
      </c>
      <c r="P515" s="16">
        <f>SUMIFS(O515:O515,E515:E515,"Science",F515:F515,"Completed")</f>
        <v>0</v>
      </c>
      <c r="Q515" s="3" t="str">
        <f>IF(MONTH(E515)&gt;=7, YEAR(E515)&amp;"-"&amp;YEAR(E515)+1, YEAR(E515)-1&amp;"-"&amp;YEAR(E515))</f>
        <v>2023-2024</v>
      </c>
      <c r="R515" s="3"/>
      <c r="S515" s="3"/>
      <c r="T515" s="15">
        <f t="shared" ref="T515:T578" ca="1" si="8">IF(F515="Completed",TODAY()-E515,"0")</f>
        <v>598</v>
      </c>
      <c r="U515" s="3"/>
    </row>
    <row r="516" spans="1:21" x14ac:dyDescent="0.35">
      <c r="A516" s="3" t="s">
        <v>1053</v>
      </c>
      <c r="B516" s="3" t="s">
        <v>1054</v>
      </c>
      <c r="C516" s="3" t="s">
        <v>17</v>
      </c>
      <c r="D516" s="3" t="s">
        <v>62</v>
      </c>
      <c r="E516" s="6">
        <v>44578</v>
      </c>
      <c r="F516" s="3" t="s">
        <v>14</v>
      </c>
      <c r="G516" s="3">
        <v>6629</v>
      </c>
      <c r="H516" s="3">
        <v>3439</v>
      </c>
      <c r="I516" s="3">
        <v>3.83</v>
      </c>
      <c r="J516" s="3">
        <v>31</v>
      </c>
      <c r="K516" s="15">
        <f ca="1">IF(F516="Enrolled",TODAY()-E516,"0")</f>
        <v>1476</v>
      </c>
      <c r="L516" s="3" t="str">
        <f>IF(I516&gt;=3.5,"Excellent",IF(I516&gt;=3,"Good",IF(I516&gt;=2,"Average","Poor")))</f>
        <v>Excellent</v>
      </c>
      <c r="M516" s="3" t="str">
        <v>Dr.Sinha</v>
      </c>
      <c r="N516" s="3" t="str">
        <f>IF(H516 &gt; (G516*50%), "Yes", "No")</f>
        <v>Yes</v>
      </c>
      <c r="O516" s="16">
        <f>G516-H516</f>
        <v>3190</v>
      </c>
      <c r="P516" s="16">
        <f>SUMIFS(O516:O516,E516:E516,"Science",F516:F516,"Completed")</f>
        <v>0</v>
      </c>
      <c r="Q516" s="3" t="str">
        <f>IF(MONTH(E516)&gt;=7, YEAR(E516)&amp;"-"&amp;YEAR(E516)+1, YEAR(E516)-1&amp;"-"&amp;YEAR(E516))</f>
        <v>2021-2022</v>
      </c>
      <c r="R516" s="3"/>
      <c r="S516" s="3"/>
      <c r="T516" s="15" t="str">
        <f t="shared" ca="1" si="8"/>
        <v>0</v>
      </c>
      <c r="U516" s="3"/>
    </row>
    <row r="517" spans="1:21" x14ac:dyDescent="0.35">
      <c r="A517" s="3" t="s">
        <v>1055</v>
      </c>
      <c r="B517" s="3" t="s">
        <v>1056</v>
      </c>
      <c r="C517" s="3" t="s">
        <v>28</v>
      </c>
      <c r="D517" s="3" t="s">
        <v>18</v>
      </c>
      <c r="E517" s="6">
        <v>44889</v>
      </c>
      <c r="F517" s="3" t="s">
        <v>14</v>
      </c>
      <c r="G517" s="3">
        <v>10972</v>
      </c>
      <c r="H517" s="3">
        <v>8709</v>
      </c>
      <c r="I517" s="3">
        <v>2.56</v>
      </c>
      <c r="J517" s="3">
        <v>15</v>
      </c>
      <c r="K517" s="15">
        <f ca="1">IF(F517="Enrolled",TODAY()-E517,"0")</f>
        <v>1165</v>
      </c>
      <c r="L517" s="3" t="str">
        <f>IF(I517&gt;=3.5,"Excellent",IF(I517&gt;=3,"Good",IF(I517&gt;=2,"Average","Poor")))</f>
        <v>Average</v>
      </c>
      <c r="M517" s="3" t="str">
        <v>Dr.Roy</v>
      </c>
      <c r="N517" s="3" t="str">
        <f>IF(H517 &gt; (G517*50%), "Yes", "No")</f>
        <v>Yes</v>
      </c>
      <c r="O517" s="16">
        <f>G517-H517</f>
        <v>2263</v>
      </c>
      <c r="P517" s="16">
        <f>SUMIFS(O517:O517,E517:E517,"Science",F517:F517,"Completed")</f>
        <v>0</v>
      </c>
      <c r="Q517" s="3" t="str">
        <f>IF(MONTH(E517)&gt;=7, YEAR(E517)&amp;"-"&amp;YEAR(E517)+1, YEAR(E517)-1&amp;"-"&amp;YEAR(E517))</f>
        <v>2022-2023</v>
      </c>
      <c r="R517" s="3"/>
      <c r="S517" s="3"/>
      <c r="T517" s="15" t="str">
        <f t="shared" ca="1" si="8"/>
        <v>0</v>
      </c>
      <c r="U517" s="3"/>
    </row>
    <row r="518" spans="1:21" x14ac:dyDescent="0.35">
      <c r="A518" s="3" t="s">
        <v>1057</v>
      </c>
      <c r="B518" s="3" t="s">
        <v>1058</v>
      </c>
      <c r="C518" s="3" t="s">
        <v>22</v>
      </c>
      <c r="D518" s="3" t="s">
        <v>18</v>
      </c>
      <c r="E518" s="6">
        <v>44592</v>
      </c>
      <c r="F518" s="3" t="s">
        <v>19</v>
      </c>
      <c r="G518" s="3">
        <v>14926</v>
      </c>
      <c r="H518" s="3">
        <v>7700</v>
      </c>
      <c r="I518" s="3">
        <v>4</v>
      </c>
      <c r="J518" s="3">
        <v>97</v>
      </c>
      <c r="K518" s="15" t="str">
        <f ca="1">IF(F518="Enrolled",TODAY()-E518,"0")</f>
        <v>0</v>
      </c>
      <c r="L518" s="3" t="str">
        <f>IF(I518&gt;=3.5,"Excellent",IF(I518&gt;=3,"Good",IF(I518&gt;=2,"Average","Poor")))</f>
        <v>Excellent</v>
      </c>
      <c r="M518" s="3" t="str">
        <v>Dr.Roy</v>
      </c>
      <c r="N518" s="3" t="str">
        <f>IF(H518 &gt; (G518*50%), "Yes", "No")</f>
        <v>Yes</v>
      </c>
      <c r="O518" s="16">
        <f>G518-H518</f>
        <v>7226</v>
      </c>
      <c r="P518" s="16">
        <f>SUMIFS(O518:O518,E518:E518,"Science",F518:F518,"Completed")</f>
        <v>0</v>
      </c>
      <c r="Q518" s="3" t="str">
        <f>IF(MONTH(E518)&gt;=7, YEAR(E518)&amp;"-"&amp;YEAR(E518)+1, YEAR(E518)-1&amp;"-"&amp;YEAR(E518))</f>
        <v>2021-2022</v>
      </c>
      <c r="R518" s="3"/>
      <c r="S518" s="3"/>
      <c r="T518" s="15">
        <f t="shared" ca="1" si="8"/>
        <v>1462</v>
      </c>
      <c r="U518" s="3"/>
    </row>
    <row r="519" spans="1:21" x14ac:dyDescent="0.35">
      <c r="A519" s="3" t="s">
        <v>1059</v>
      </c>
      <c r="B519" s="3" t="s">
        <v>1060</v>
      </c>
      <c r="C519" s="3" t="s">
        <v>36</v>
      </c>
      <c r="D519" s="3" t="s">
        <v>31</v>
      </c>
      <c r="E519" s="6">
        <v>45376</v>
      </c>
      <c r="F519" s="3" t="s">
        <v>14</v>
      </c>
      <c r="G519" s="3">
        <v>4128</v>
      </c>
      <c r="H519" s="3">
        <v>3535</v>
      </c>
      <c r="I519" s="3">
        <v>3.48</v>
      </c>
      <c r="J519" s="3">
        <v>32</v>
      </c>
      <c r="K519" s="15">
        <f ca="1">IF(F519="Enrolled",TODAY()-E519,"0")</f>
        <v>678</v>
      </c>
      <c r="L519" s="3" t="str">
        <f>IF(I519&gt;=3.5,"Excellent",IF(I519&gt;=3,"Good",IF(I519&gt;=2,"Average","Poor")))</f>
        <v>Good</v>
      </c>
      <c r="M519" s="3" t="str">
        <v>Dr.Sharma</v>
      </c>
      <c r="N519" s="3" t="str">
        <f>IF(H519 &gt; (G519*50%), "Yes", "No")</f>
        <v>Yes</v>
      </c>
      <c r="O519" s="16">
        <f>G519-H519</f>
        <v>593</v>
      </c>
      <c r="P519" s="16">
        <f>SUMIFS(O519:O519,E519:E519,"Science",F519:F519,"Completed")</f>
        <v>0</v>
      </c>
      <c r="Q519" s="3" t="str">
        <f>IF(MONTH(E519)&gt;=7, YEAR(E519)&amp;"-"&amp;YEAR(E519)+1, YEAR(E519)-1&amp;"-"&amp;YEAR(E519))</f>
        <v>2023-2024</v>
      </c>
      <c r="R519" s="3"/>
      <c r="S519" s="3"/>
      <c r="T519" s="15" t="str">
        <f t="shared" ca="1" si="8"/>
        <v>0</v>
      </c>
      <c r="U519" s="3"/>
    </row>
    <row r="520" spans="1:21" x14ac:dyDescent="0.35">
      <c r="A520" s="3" t="s">
        <v>1061</v>
      </c>
      <c r="B520" s="3" t="s">
        <v>1062</v>
      </c>
      <c r="C520" s="3" t="s">
        <v>54</v>
      </c>
      <c r="D520" s="3" t="s">
        <v>62</v>
      </c>
      <c r="E520" s="6">
        <v>45374</v>
      </c>
      <c r="F520" s="3" t="s">
        <v>14</v>
      </c>
      <c r="G520" s="3">
        <v>3774</v>
      </c>
      <c r="H520" s="3">
        <v>3406</v>
      </c>
      <c r="I520" s="3">
        <v>3.35</v>
      </c>
      <c r="J520" s="3">
        <v>63</v>
      </c>
      <c r="K520" s="15">
        <f ca="1">IF(F520="Enrolled",TODAY()-E520,"0")</f>
        <v>680</v>
      </c>
      <c r="L520" s="3" t="str">
        <f>IF(I520&gt;=3.5,"Excellent",IF(I520&gt;=3,"Good",IF(I520&gt;=2,"Average","Poor")))</f>
        <v>Good</v>
      </c>
      <c r="M520" s="3" t="str">
        <v>Dr.Sinha</v>
      </c>
      <c r="N520" s="3" t="str">
        <f>IF(H520 &gt; (G520*50%), "Yes", "No")</f>
        <v>Yes</v>
      </c>
      <c r="O520" s="16">
        <f>G520-H520</f>
        <v>368</v>
      </c>
      <c r="P520" s="16">
        <f>SUMIFS(O520:O520,E520:E520,"Science",F520:F520,"Completed")</f>
        <v>0</v>
      </c>
      <c r="Q520" s="3" t="str">
        <f>IF(MONTH(E520)&gt;=7, YEAR(E520)&amp;"-"&amp;YEAR(E520)+1, YEAR(E520)-1&amp;"-"&amp;YEAR(E520))</f>
        <v>2023-2024</v>
      </c>
      <c r="R520" s="3"/>
      <c r="S520" s="3"/>
      <c r="T520" s="15" t="str">
        <f t="shared" ca="1" si="8"/>
        <v>0</v>
      </c>
      <c r="U520" s="3"/>
    </row>
    <row r="521" spans="1:21" x14ac:dyDescent="0.35">
      <c r="A521" s="3" t="s">
        <v>1063</v>
      </c>
      <c r="B521" s="3" t="s">
        <v>1064</v>
      </c>
      <c r="C521" s="3" t="s">
        <v>54</v>
      </c>
      <c r="D521" s="3" t="s">
        <v>62</v>
      </c>
      <c r="E521" s="6">
        <v>44858</v>
      </c>
      <c r="F521" s="3" t="s">
        <v>14</v>
      </c>
      <c r="G521" s="3">
        <v>9643</v>
      </c>
      <c r="H521" s="3">
        <v>431</v>
      </c>
      <c r="I521" s="3">
        <v>3.6</v>
      </c>
      <c r="J521" s="3">
        <v>26</v>
      </c>
      <c r="K521" s="15">
        <f ca="1">IF(F521="Enrolled",TODAY()-E521,"0")</f>
        <v>1196</v>
      </c>
      <c r="L521" s="3" t="str">
        <f>IF(I521&gt;=3.5,"Excellent",IF(I521&gt;=3,"Good",IF(I521&gt;=2,"Average","Poor")))</f>
        <v>Excellent</v>
      </c>
      <c r="M521" s="3" t="str">
        <v>Dr.Sinha</v>
      </c>
      <c r="N521" s="3" t="str">
        <f>IF(H521 &gt; (G521*50%), "Yes", "No")</f>
        <v>No</v>
      </c>
      <c r="O521" s="16">
        <f>G521-H521</f>
        <v>9212</v>
      </c>
      <c r="P521" s="16">
        <f>SUMIFS(O521:O521,E521:E521,"Science",F521:F521,"Completed")</f>
        <v>0</v>
      </c>
      <c r="Q521" s="3" t="str">
        <f>IF(MONTH(E521)&gt;=7, YEAR(E521)&amp;"-"&amp;YEAR(E521)+1, YEAR(E521)-1&amp;"-"&amp;YEAR(E521))</f>
        <v>2022-2023</v>
      </c>
      <c r="R521" s="3"/>
      <c r="S521" s="3"/>
      <c r="T521" s="15" t="str">
        <f t="shared" ca="1" si="8"/>
        <v>0</v>
      </c>
      <c r="U521" s="3"/>
    </row>
    <row r="522" spans="1:21" x14ac:dyDescent="0.35">
      <c r="A522" s="3" t="s">
        <v>1065</v>
      </c>
      <c r="B522" s="3" t="s">
        <v>1066</v>
      </c>
      <c r="C522" s="3" t="s">
        <v>25</v>
      </c>
      <c r="D522" s="3" t="s">
        <v>62</v>
      </c>
      <c r="E522" s="6">
        <v>44732</v>
      </c>
      <c r="F522" s="3" t="s">
        <v>19</v>
      </c>
      <c r="G522" s="3">
        <v>9016</v>
      </c>
      <c r="H522" s="3">
        <v>3228</v>
      </c>
      <c r="I522" s="3">
        <v>3.24</v>
      </c>
      <c r="J522" s="3">
        <v>62</v>
      </c>
      <c r="K522" s="15" t="str">
        <f ca="1">IF(F522="Enrolled",TODAY()-E522,"0")</f>
        <v>0</v>
      </c>
      <c r="L522" s="3" t="str">
        <f>IF(I522&gt;=3.5,"Excellent",IF(I522&gt;=3,"Good",IF(I522&gt;=2,"Average","Poor")))</f>
        <v>Good</v>
      </c>
      <c r="M522" s="3" t="str">
        <v>Dr.Sinha</v>
      </c>
      <c r="N522" s="3" t="str">
        <f>IF(H522 &gt; (G522*50%), "Yes", "No")</f>
        <v>No</v>
      </c>
      <c r="O522" s="16">
        <f>G522-H522</f>
        <v>5788</v>
      </c>
      <c r="P522" s="16">
        <f>SUMIFS(O522:O522,E522:E522,"Science",F522:F522,"Completed")</f>
        <v>0</v>
      </c>
      <c r="Q522" s="3" t="str">
        <f>IF(MONTH(E522)&gt;=7, YEAR(E522)&amp;"-"&amp;YEAR(E522)+1, YEAR(E522)-1&amp;"-"&amp;YEAR(E522))</f>
        <v>2021-2022</v>
      </c>
      <c r="R522" s="3"/>
      <c r="S522" s="3"/>
      <c r="T522" s="15">
        <f t="shared" ca="1" si="8"/>
        <v>1322</v>
      </c>
      <c r="U522" s="3"/>
    </row>
    <row r="523" spans="1:21" x14ac:dyDescent="0.35">
      <c r="A523" s="3" t="s">
        <v>1067</v>
      </c>
      <c r="B523" s="3" t="s">
        <v>1068</v>
      </c>
      <c r="C523" s="3" t="s">
        <v>57</v>
      </c>
      <c r="D523" s="3" t="s">
        <v>18</v>
      </c>
      <c r="E523" s="6">
        <v>45458</v>
      </c>
      <c r="F523" s="3" t="s">
        <v>14</v>
      </c>
      <c r="G523" s="3">
        <v>6221</v>
      </c>
      <c r="H523" s="3">
        <v>5210</v>
      </c>
      <c r="I523" s="3">
        <v>3.38</v>
      </c>
      <c r="J523" s="3">
        <v>103</v>
      </c>
      <c r="K523" s="15">
        <f ca="1">IF(F523="Enrolled",TODAY()-E523,"0")</f>
        <v>596</v>
      </c>
      <c r="L523" s="3" t="str">
        <f>IF(I523&gt;=3.5,"Excellent",IF(I523&gt;=3,"Good",IF(I523&gt;=2,"Average","Poor")))</f>
        <v>Good</v>
      </c>
      <c r="M523" s="3" t="str">
        <v>Dr.Roy</v>
      </c>
      <c r="N523" s="3" t="str">
        <f>IF(H523 &gt; (G523*50%), "Yes", "No")</f>
        <v>Yes</v>
      </c>
      <c r="O523" s="16">
        <f>G523-H523</f>
        <v>1011</v>
      </c>
      <c r="P523" s="16">
        <f>SUMIFS(O523:O523,E523:E523,"Science",F523:F523,"Completed")</f>
        <v>0</v>
      </c>
      <c r="Q523" s="3" t="str">
        <f>IF(MONTH(E523)&gt;=7, YEAR(E523)&amp;"-"&amp;YEAR(E523)+1, YEAR(E523)-1&amp;"-"&amp;YEAR(E523))</f>
        <v>2023-2024</v>
      </c>
      <c r="R523" s="3"/>
      <c r="S523" s="3"/>
      <c r="T523" s="15" t="str">
        <f t="shared" ca="1" si="8"/>
        <v>0</v>
      </c>
      <c r="U523" s="3"/>
    </row>
    <row r="524" spans="1:21" x14ac:dyDescent="0.35">
      <c r="A524" s="3" t="s">
        <v>1069</v>
      </c>
      <c r="B524" s="3" t="s">
        <v>1070</v>
      </c>
      <c r="C524" s="3" t="s">
        <v>25</v>
      </c>
      <c r="D524" s="3" t="s">
        <v>62</v>
      </c>
      <c r="E524" s="6">
        <v>44661</v>
      </c>
      <c r="F524" s="3" t="s">
        <v>14</v>
      </c>
      <c r="G524" s="3">
        <v>3532</v>
      </c>
      <c r="H524" s="3">
        <v>5236</v>
      </c>
      <c r="I524" s="3">
        <v>3.48</v>
      </c>
      <c r="J524" s="3">
        <v>115</v>
      </c>
      <c r="K524" s="15">
        <f ca="1">IF(F524="Enrolled",TODAY()-E524,"0")</f>
        <v>1393</v>
      </c>
      <c r="L524" s="3" t="str">
        <f>IF(I524&gt;=3.5,"Excellent",IF(I524&gt;=3,"Good",IF(I524&gt;=2,"Average","Poor")))</f>
        <v>Good</v>
      </c>
      <c r="M524" s="3" t="str">
        <v>Dr.Sinha</v>
      </c>
      <c r="N524" s="3" t="str">
        <f>IF(H524 &gt; (G524*50%), "Yes", "No")</f>
        <v>Yes</v>
      </c>
      <c r="O524" s="16">
        <f>G524-H524</f>
        <v>-1704</v>
      </c>
      <c r="P524" s="16">
        <f>SUMIFS(O524:O524,E524:E524,"Science",F524:F524,"Completed")</f>
        <v>0</v>
      </c>
      <c r="Q524" s="3" t="str">
        <f>IF(MONTH(E524)&gt;=7, YEAR(E524)&amp;"-"&amp;YEAR(E524)+1, YEAR(E524)-1&amp;"-"&amp;YEAR(E524))</f>
        <v>2021-2022</v>
      </c>
      <c r="R524" s="3"/>
      <c r="S524" s="3"/>
      <c r="T524" s="15" t="str">
        <f t="shared" ca="1" si="8"/>
        <v>0</v>
      </c>
      <c r="U524" s="3"/>
    </row>
    <row r="525" spans="1:21" x14ac:dyDescent="0.35">
      <c r="A525" s="3" t="s">
        <v>1071</v>
      </c>
      <c r="B525" s="3" t="s">
        <v>1072</v>
      </c>
      <c r="C525" s="3" t="s">
        <v>36</v>
      </c>
      <c r="D525" s="3" t="s">
        <v>31</v>
      </c>
      <c r="E525" s="6">
        <v>45448</v>
      </c>
      <c r="F525" s="3" t="s">
        <v>14</v>
      </c>
      <c r="G525" s="3">
        <v>9455</v>
      </c>
      <c r="H525" s="3">
        <v>1102</v>
      </c>
      <c r="I525" s="3">
        <v>2.98</v>
      </c>
      <c r="J525" s="3">
        <v>15</v>
      </c>
      <c r="K525" s="15">
        <f ca="1">IF(F525="Enrolled",TODAY()-E525,"0")</f>
        <v>606</v>
      </c>
      <c r="L525" s="3" t="str">
        <f>IF(I525&gt;=3.5,"Excellent",IF(I525&gt;=3,"Good",IF(I525&gt;=2,"Average","Poor")))</f>
        <v>Average</v>
      </c>
      <c r="M525" s="3" t="str">
        <v>Dr.Sharma</v>
      </c>
      <c r="N525" s="3" t="str">
        <f>IF(H525 &gt; (G525*50%), "Yes", "No")</f>
        <v>No</v>
      </c>
      <c r="O525" s="16">
        <f>G525-H525</f>
        <v>8353</v>
      </c>
      <c r="P525" s="16">
        <f>SUMIFS(O525:O525,E525:E525,"Science",F525:F525,"Completed")</f>
        <v>0</v>
      </c>
      <c r="Q525" s="3" t="str">
        <f>IF(MONTH(E525)&gt;=7, YEAR(E525)&amp;"-"&amp;YEAR(E525)+1, YEAR(E525)-1&amp;"-"&amp;YEAR(E525))</f>
        <v>2023-2024</v>
      </c>
      <c r="R525" s="3"/>
      <c r="S525" s="3"/>
      <c r="T525" s="15" t="str">
        <f t="shared" ca="1" si="8"/>
        <v>0</v>
      </c>
      <c r="U525" s="3"/>
    </row>
    <row r="526" spans="1:21" x14ac:dyDescent="0.35">
      <c r="A526" s="3" t="s">
        <v>1073</v>
      </c>
      <c r="B526" s="3" t="s">
        <v>1074</v>
      </c>
      <c r="C526" s="3" t="s">
        <v>12</v>
      </c>
      <c r="D526" s="3" t="s">
        <v>31</v>
      </c>
      <c r="E526" s="6">
        <v>45452</v>
      </c>
      <c r="F526" s="3" t="s">
        <v>19</v>
      </c>
      <c r="G526" s="3">
        <v>4219</v>
      </c>
      <c r="H526" s="3">
        <v>6695</v>
      </c>
      <c r="I526" s="3">
        <v>2.4300000000000002</v>
      </c>
      <c r="J526" s="3">
        <v>79</v>
      </c>
      <c r="K526" s="15" t="str">
        <f ca="1">IF(F526="Enrolled",TODAY()-E526,"0")</f>
        <v>0</v>
      </c>
      <c r="L526" s="3" t="str">
        <f>IF(I526&gt;=3.5,"Excellent",IF(I526&gt;=3,"Good",IF(I526&gt;=2,"Average","Poor")))</f>
        <v>Average</v>
      </c>
      <c r="M526" s="3" t="str">
        <v>Dr.Sharma</v>
      </c>
      <c r="N526" s="3" t="str">
        <f>IF(H526 &gt; (G526*50%), "Yes", "No")</f>
        <v>Yes</v>
      </c>
      <c r="O526" s="16">
        <f>G526-H526</f>
        <v>-2476</v>
      </c>
      <c r="P526" s="16">
        <f>SUMIFS(O526:O526,E526:E526,"Science",F526:F526,"Completed")</f>
        <v>0</v>
      </c>
      <c r="Q526" s="3" t="str">
        <f>IF(MONTH(E526)&gt;=7, YEAR(E526)&amp;"-"&amp;YEAR(E526)+1, YEAR(E526)-1&amp;"-"&amp;YEAR(E526))</f>
        <v>2023-2024</v>
      </c>
      <c r="R526" s="3"/>
      <c r="S526" s="3"/>
      <c r="T526" s="15">
        <f t="shared" ca="1" si="8"/>
        <v>602</v>
      </c>
      <c r="U526" s="3"/>
    </row>
    <row r="527" spans="1:21" x14ac:dyDescent="0.35">
      <c r="A527" s="3" t="s">
        <v>1075</v>
      </c>
      <c r="B527" s="3" t="s">
        <v>1076</v>
      </c>
      <c r="C527" s="3" t="s">
        <v>36</v>
      </c>
      <c r="D527" s="3" t="s">
        <v>18</v>
      </c>
      <c r="E527" s="6">
        <v>44713</v>
      </c>
      <c r="F527" s="3" t="s">
        <v>14</v>
      </c>
      <c r="G527" s="3">
        <v>2395</v>
      </c>
      <c r="H527" s="3">
        <v>5019</v>
      </c>
      <c r="I527" s="3">
        <v>2.34</v>
      </c>
      <c r="J527" s="3">
        <v>53</v>
      </c>
      <c r="K527" s="15">
        <f ca="1">IF(F527="Enrolled",TODAY()-E527,"0")</f>
        <v>1341</v>
      </c>
      <c r="L527" s="3" t="str">
        <f>IF(I527&gt;=3.5,"Excellent",IF(I527&gt;=3,"Good",IF(I527&gt;=2,"Average","Poor")))</f>
        <v>Average</v>
      </c>
      <c r="M527" s="3" t="str">
        <v>Dr.Roy</v>
      </c>
      <c r="N527" s="3" t="str">
        <f>IF(H527 &gt; (G527*50%), "Yes", "No")</f>
        <v>Yes</v>
      </c>
      <c r="O527" s="16">
        <f>G527-H527</f>
        <v>-2624</v>
      </c>
      <c r="P527" s="16">
        <f>SUMIFS(O527:O527,E527:E527,"Science",F527:F527,"Completed")</f>
        <v>0</v>
      </c>
      <c r="Q527" s="3" t="str">
        <f>IF(MONTH(E527)&gt;=7, YEAR(E527)&amp;"-"&amp;YEAR(E527)+1, YEAR(E527)-1&amp;"-"&amp;YEAR(E527))</f>
        <v>2021-2022</v>
      </c>
      <c r="R527" s="3"/>
      <c r="S527" s="3"/>
      <c r="T527" s="15" t="str">
        <f t="shared" ca="1" si="8"/>
        <v>0</v>
      </c>
      <c r="U527" s="3"/>
    </row>
    <row r="528" spans="1:21" x14ac:dyDescent="0.35">
      <c r="A528" s="3" t="s">
        <v>1077</v>
      </c>
      <c r="B528" s="3" t="s">
        <v>1078</v>
      </c>
      <c r="C528" s="3" t="s">
        <v>28</v>
      </c>
      <c r="D528" s="3" t="s">
        <v>31</v>
      </c>
      <c r="E528" s="6">
        <v>45249</v>
      </c>
      <c r="F528" s="3" t="s">
        <v>39</v>
      </c>
      <c r="G528" s="3">
        <v>9775</v>
      </c>
      <c r="H528" s="3">
        <v>3000</v>
      </c>
      <c r="I528" s="3">
        <v>3.2</v>
      </c>
      <c r="J528" s="3">
        <v>32</v>
      </c>
      <c r="K528" s="15" t="str">
        <f ca="1">IF(F528="Enrolled",TODAY()-E528,"0")</f>
        <v>0</v>
      </c>
      <c r="L528" s="3" t="str">
        <f>IF(I528&gt;=3.5,"Excellent",IF(I528&gt;=3,"Good",IF(I528&gt;=2,"Average","Poor")))</f>
        <v>Good</v>
      </c>
      <c r="M528" s="3" t="str">
        <v>Dr.Sharma</v>
      </c>
      <c r="N528" s="3" t="str">
        <f>IF(H528 &gt; (G528*50%), "Yes", "No")</f>
        <v>No</v>
      </c>
      <c r="O528" s="16">
        <f>G528-H528</f>
        <v>6775</v>
      </c>
      <c r="P528" s="16">
        <f>SUMIFS(O528:O528,E528:E528,"Science",F528:F528,"Completed")</f>
        <v>0</v>
      </c>
      <c r="Q528" s="3" t="str">
        <f>IF(MONTH(E528)&gt;=7, YEAR(E528)&amp;"-"&amp;YEAR(E528)+1, YEAR(E528)-1&amp;"-"&amp;YEAR(E528))</f>
        <v>2023-2024</v>
      </c>
      <c r="R528" s="3"/>
      <c r="S528" s="3"/>
      <c r="T528" s="15" t="str">
        <f t="shared" ca="1" si="8"/>
        <v>0</v>
      </c>
      <c r="U528" s="3"/>
    </row>
    <row r="529" spans="1:21" x14ac:dyDescent="0.35">
      <c r="A529" s="3" t="s">
        <v>1079</v>
      </c>
      <c r="B529" s="3" t="s">
        <v>1080</v>
      </c>
      <c r="C529" s="3" t="s">
        <v>17</v>
      </c>
      <c r="D529" s="3" t="s">
        <v>62</v>
      </c>
      <c r="E529" s="6">
        <v>44582</v>
      </c>
      <c r="F529" s="3" t="s">
        <v>14</v>
      </c>
      <c r="G529" s="3">
        <v>4629</v>
      </c>
      <c r="H529" s="3">
        <v>3746</v>
      </c>
      <c r="I529" s="3">
        <v>3.38</v>
      </c>
      <c r="J529" s="3">
        <v>34</v>
      </c>
      <c r="K529" s="15">
        <f ca="1">IF(F529="Enrolled",TODAY()-E529,"0")</f>
        <v>1472</v>
      </c>
      <c r="L529" s="3" t="str">
        <f>IF(I529&gt;=3.5,"Excellent",IF(I529&gt;=3,"Good",IF(I529&gt;=2,"Average","Poor")))</f>
        <v>Good</v>
      </c>
      <c r="M529" s="3" t="str">
        <v>Dr.Sinha</v>
      </c>
      <c r="N529" s="3" t="str">
        <f>IF(H529 &gt; (G529*50%), "Yes", "No")</f>
        <v>Yes</v>
      </c>
      <c r="O529" s="16">
        <f>G529-H529</f>
        <v>883</v>
      </c>
      <c r="P529" s="16">
        <f>SUMIFS(O529:O529,E529:E529,"Science",F529:F529,"Completed")</f>
        <v>0</v>
      </c>
      <c r="Q529" s="3" t="str">
        <f>IF(MONTH(E529)&gt;=7, YEAR(E529)&amp;"-"&amp;YEAR(E529)+1, YEAR(E529)-1&amp;"-"&amp;YEAR(E529))</f>
        <v>2021-2022</v>
      </c>
      <c r="R529" s="3"/>
      <c r="S529" s="3"/>
      <c r="T529" s="15" t="str">
        <f t="shared" ca="1" si="8"/>
        <v>0</v>
      </c>
      <c r="U529" s="3"/>
    </row>
    <row r="530" spans="1:21" x14ac:dyDescent="0.35">
      <c r="A530" s="3" t="s">
        <v>1081</v>
      </c>
      <c r="B530" s="3" t="s">
        <v>1082</v>
      </c>
      <c r="C530" s="3" t="s">
        <v>22</v>
      </c>
      <c r="D530" s="3" t="s">
        <v>31</v>
      </c>
      <c r="E530" s="6">
        <v>44570</v>
      </c>
      <c r="F530" s="3" t="s">
        <v>14</v>
      </c>
      <c r="G530" s="3">
        <v>7248</v>
      </c>
      <c r="H530" s="3">
        <v>9409</v>
      </c>
      <c r="I530" s="3">
        <v>2.7</v>
      </c>
      <c r="J530" s="3">
        <v>49</v>
      </c>
      <c r="K530" s="15">
        <f ca="1">IF(F530="Enrolled",TODAY()-E530,"0")</f>
        <v>1484</v>
      </c>
      <c r="L530" s="3" t="str">
        <f>IF(I530&gt;=3.5,"Excellent",IF(I530&gt;=3,"Good",IF(I530&gt;=2,"Average","Poor")))</f>
        <v>Average</v>
      </c>
      <c r="M530" s="3" t="str">
        <v>Dr.Sharma</v>
      </c>
      <c r="N530" s="3" t="str">
        <f>IF(H530 &gt; (G530*50%), "Yes", "No")</f>
        <v>Yes</v>
      </c>
      <c r="O530" s="16">
        <f>G530-H530</f>
        <v>-2161</v>
      </c>
      <c r="P530" s="16">
        <f>SUMIFS(O530:O530,E530:E530,"Science",F530:F530,"Completed")</f>
        <v>0</v>
      </c>
      <c r="Q530" s="3" t="str">
        <f>IF(MONTH(E530)&gt;=7, YEAR(E530)&amp;"-"&amp;YEAR(E530)+1, YEAR(E530)-1&amp;"-"&amp;YEAR(E530))</f>
        <v>2021-2022</v>
      </c>
      <c r="R530" s="3"/>
      <c r="S530" s="3"/>
      <c r="T530" s="15" t="str">
        <f t="shared" ca="1" si="8"/>
        <v>0</v>
      </c>
      <c r="U530" s="3"/>
    </row>
    <row r="531" spans="1:21" x14ac:dyDescent="0.35">
      <c r="A531" s="3" t="s">
        <v>1083</v>
      </c>
      <c r="B531" s="3" t="s">
        <v>1084</v>
      </c>
      <c r="C531" s="3" t="s">
        <v>12</v>
      </c>
      <c r="D531" s="3" t="s">
        <v>62</v>
      </c>
      <c r="E531" s="6">
        <v>45194</v>
      </c>
      <c r="F531" s="3" t="s">
        <v>19</v>
      </c>
      <c r="G531" s="3">
        <v>4602</v>
      </c>
      <c r="H531" s="3">
        <v>4429</v>
      </c>
      <c r="I531" s="3">
        <v>3.6</v>
      </c>
      <c r="J531" s="3">
        <v>67</v>
      </c>
      <c r="K531" s="15" t="str">
        <f ca="1">IF(F531="Enrolled",TODAY()-E531,"0")</f>
        <v>0</v>
      </c>
      <c r="L531" s="3" t="str">
        <f>IF(I531&gt;=3.5,"Excellent",IF(I531&gt;=3,"Good",IF(I531&gt;=2,"Average","Poor")))</f>
        <v>Excellent</v>
      </c>
      <c r="M531" s="3" t="str">
        <v>Dr.Sinha</v>
      </c>
      <c r="N531" s="3" t="str">
        <f>IF(H531 &gt; (G531*50%), "Yes", "No")</f>
        <v>Yes</v>
      </c>
      <c r="O531" s="16">
        <f>G531-H531</f>
        <v>173</v>
      </c>
      <c r="P531" s="16">
        <f>SUMIFS(O531:O531,E531:E531,"Science",F531:F531,"Completed")</f>
        <v>0</v>
      </c>
      <c r="Q531" s="3" t="str">
        <f>IF(MONTH(E531)&gt;=7, YEAR(E531)&amp;"-"&amp;YEAR(E531)+1, YEAR(E531)-1&amp;"-"&amp;YEAR(E531))</f>
        <v>2023-2024</v>
      </c>
      <c r="R531" s="3"/>
      <c r="S531" s="3"/>
      <c r="T531" s="15">
        <f t="shared" ca="1" si="8"/>
        <v>860</v>
      </c>
      <c r="U531" s="3"/>
    </row>
    <row r="532" spans="1:21" x14ac:dyDescent="0.35">
      <c r="A532" s="3" t="s">
        <v>1085</v>
      </c>
      <c r="B532" s="3" t="s">
        <v>1086</v>
      </c>
      <c r="C532" s="3" t="s">
        <v>54</v>
      </c>
      <c r="D532" s="3" t="s">
        <v>31</v>
      </c>
      <c r="E532" s="6">
        <v>45354</v>
      </c>
      <c r="F532" s="3" t="s">
        <v>14</v>
      </c>
      <c r="G532" s="3">
        <v>10379</v>
      </c>
      <c r="H532" s="3">
        <v>4077</v>
      </c>
      <c r="I532" s="3">
        <v>3.5</v>
      </c>
      <c r="J532" s="3">
        <v>76</v>
      </c>
      <c r="K532" s="15">
        <f ca="1">IF(F532="Enrolled",TODAY()-E532,"0")</f>
        <v>700</v>
      </c>
      <c r="L532" s="3" t="str">
        <f>IF(I532&gt;=3.5,"Excellent",IF(I532&gt;=3,"Good",IF(I532&gt;=2,"Average","Poor")))</f>
        <v>Excellent</v>
      </c>
      <c r="M532" s="3" t="str">
        <v>Dr.Sharma</v>
      </c>
      <c r="N532" s="3" t="str">
        <f>IF(H532 &gt; (G532*50%), "Yes", "No")</f>
        <v>No</v>
      </c>
      <c r="O532" s="16">
        <f>G532-H532</f>
        <v>6302</v>
      </c>
      <c r="P532" s="16">
        <f>SUMIFS(O532:O532,E532:E532,"Science",F532:F532,"Completed")</f>
        <v>0</v>
      </c>
      <c r="Q532" s="3" t="str">
        <f>IF(MONTH(E532)&gt;=7, YEAR(E532)&amp;"-"&amp;YEAR(E532)+1, YEAR(E532)-1&amp;"-"&amp;YEAR(E532))</f>
        <v>2023-2024</v>
      </c>
      <c r="R532" s="3"/>
      <c r="S532" s="3"/>
      <c r="T532" s="15" t="str">
        <f t="shared" ca="1" si="8"/>
        <v>0</v>
      </c>
      <c r="U532" s="3"/>
    </row>
    <row r="533" spans="1:21" x14ac:dyDescent="0.35">
      <c r="A533" s="3" t="s">
        <v>1087</v>
      </c>
      <c r="B533" s="3" t="s">
        <v>1088</v>
      </c>
      <c r="C533" s="3" t="s">
        <v>36</v>
      </c>
      <c r="D533" s="3" t="s">
        <v>13</v>
      </c>
      <c r="E533" s="6">
        <v>44824</v>
      </c>
      <c r="F533" s="3" t="s">
        <v>19</v>
      </c>
      <c r="G533" s="3">
        <v>11404</v>
      </c>
      <c r="H533" s="3">
        <v>8999</v>
      </c>
      <c r="I533" s="3">
        <v>2.9</v>
      </c>
      <c r="J533" s="3">
        <v>81</v>
      </c>
      <c r="K533" s="15" t="str">
        <f ca="1">IF(F533="Enrolled",TODAY()-E533,"0")</f>
        <v>0</v>
      </c>
      <c r="L533" s="3" t="str">
        <f>IF(I533&gt;=3.5,"Excellent",IF(I533&gt;=3,"Good",IF(I533&gt;=2,"Average","Poor")))</f>
        <v>Average</v>
      </c>
      <c r="M533" s="3" t="str">
        <v>Dr.Mehta</v>
      </c>
      <c r="N533" s="3" t="str">
        <f>IF(H533 &gt; (G533*50%), "Yes", "No")</f>
        <v>Yes</v>
      </c>
      <c r="O533" s="16">
        <f>G533-H533</f>
        <v>2405</v>
      </c>
      <c r="P533" s="16">
        <f>SUMIFS(O533:O533,E533:E533,"Science",F533:F533,"Completed")</f>
        <v>0</v>
      </c>
      <c r="Q533" s="3" t="str">
        <f>IF(MONTH(E533)&gt;=7, YEAR(E533)&amp;"-"&amp;YEAR(E533)+1, YEAR(E533)-1&amp;"-"&amp;YEAR(E533))</f>
        <v>2022-2023</v>
      </c>
      <c r="R533" s="3"/>
      <c r="S533" s="3"/>
      <c r="T533" s="15">
        <f t="shared" ca="1" si="8"/>
        <v>1230</v>
      </c>
      <c r="U533" s="3"/>
    </row>
    <row r="534" spans="1:21" x14ac:dyDescent="0.35">
      <c r="A534" s="3" t="s">
        <v>1089</v>
      </c>
      <c r="B534" s="3" t="s">
        <v>1090</v>
      </c>
      <c r="C534" s="3" t="s">
        <v>22</v>
      </c>
      <c r="D534" s="3" t="s">
        <v>62</v>
      </c>
      <c r="E534" s="6">
        <v>44821</v>
      </c>
      <c r="F534" s="3" t="s">
        <v>14</v>
      </c>
      <c r="G534" s="3">
        <v>2748</v>
      </c>
      <c r="H534" s="3">
        <v>9068</v>
      </c>
      <c r="I534" s="3">
        <v>3.73</v>
      </c>
      <c r="J534" s="3">
        <v>89</v>
      </c>
      <c r="K534" s="15">
        <f ca="1">IF(F534="Enrolled",TODAY()-E534,"0")</f>
        <v>1233</v>
      </c>
      <c r="L534" s="3" t="str">
        <f>IF(I534&gt;=3.5,"Excellent",IF(I534&gt;=3,"Good",IF(I534&gt;=2,"Average","Poor")))</f>
        <v>Excellent</v>
      </c>
      <c r="M534" s="3" t="str">
        <v>Dr.Sinha</v>
      </c>
      <c r="N534" s="3" t="str">
        <f>IF(H534 &gt; (G534*50%), "Yes", "No")</f>
        <v>Yes</v>
      </c>
      <c r="O534" s="16">
        <f>G534-H534</f>
        <v>-6320</v>
      </c>
      <c r="P534" s="16">
        <f>SUMIFS(O534:O534,E534:E534,"Science",F534:F534,"Completed")</f>
        <v>0</v>
      </c>
      <c r="Q534" s="3" t="str">
        <f>IF(MONTH(E534)&gt;=7, YEAR(E534)&amp;"-"&amp;YEAR(E534)+1, YEAR(E534)-1&amp;"-"&amp;YEAR(E534))</f>
        <v>2022-2023</v>
      </c>
      <c r="R534" s="3"/>
      <c r="S534" s="3"/>
      <c r="T534" s="15" t="str">
        <f t="shared" ca="1" si="8"/>
        <v>0</v>
      </c>
      <c r="U534" s="3"/>
    </row>
    <row r="535" spans="1:21" x14ac:dyDescent="0.35">
      <c r="A535" s="3" t="s">
        <v>1091</v>
      </c>
      <c r="B535" s="3" t="s">
        <v>1092</v>
      </c>
      <c r="C535" s="3" t="s">
        <v>36</v>
      </c>
      <c r="D535" s="3" t="s">
        <v>31</v>
      </c>
      <c r="E535" s="6">
        <v>45158</v>
      </c>
      <c r="F535" s="3" t="s">
        <v>14</v>
      </c>
      <c r="G535" s="3">
        <v>14781</v>
      </c>
      <c r="H535" s="3">
        <v>7325</v>
      </c>
      <c r="I535" s="3">
        <v>3.22</v>
      </c>
      <c r="J535" s="3">
        <v>79</v>
      </c>
      <c r="K535" s="15">
        <f ca="1">IF(F535="Enrolled",TODAY()-E535,"0")</f>
        <v>896</v>
      </c>
      <c r="L535" s="3" t="str">
        <f>IF(I535&gt;=3.5,"Excellent",IF(I535&gt;=3,"Good",IF(I535&gt;=2,"Average","Poor")))</f>
        <v>Good</v>
      </c>
      <c r="M535" s="3" t="str">
        <v>Dr.Sharma</v>
      </c>
      <c r="N535" s="3" t="str">
        <f>IF(H535 &gt; (G535*50%), "Yes", "No")</f>
        <v>No</v>
      </c>
      <c r="O535" s="16">
        <f>G535-H535</f>
        <v>7456</v>
      </c>
      <c r="P535" s="16">
        <f>SUMIFS(O535:O535,E535:E535,"Science",F535:F535,"Completed")</f>
        <v>0</v>
      </c>
      <c r="Q535" s="3" t="str">
        <f>IF(MONTH(E535)&gt;=7, YEAR(E535)&amp;"-"&amp;YEAR(E535)+1, YEAR(E535)-1&amp;"-"&amp;YEAR(E535))</f>
        <v>2023-2024</v>
      </c>
      <c r="R535" s="3"/>
      <c r="S535" s="3"/>
      <c r="T535" s="15" t="str">
        <f t="shared" ca="1" si="8"/>
        <v>0</v>
      </c>
      <c r="U535" s="3"/>
    </row>
    <row r="536" spans="1:21" x14ac:dyDescent="0.35">
      <c r="A536" s="3" t="s">
        <v>1093</v>
      </c>
      <c r="B536" s="3" t="s">
        <v>1094</v>
      </c>
      <c r="C536" s="3" t="s">
        <v>54</v>
      </c>
      <c r="D536" s="3" t="s">
        <v>62</v>
      </c>
      <c r="E536" s="6">
        <v>45215</v>
      </c>
      <c r="F536" s="3" t="s">
        <v>14</v>
      </c>
      <c r="G536" s="3">
        <v>8468</v>
      </c>
      <c r="H536" s="3">
        <v>802</v>
      </c>
      <c r="I536" s="3">
        <v>2.74</v>
      </c>
      <c r="J536" s="3">
        <v>117</v>
      </c>
      <c r="K536" s="15">
        <f ca="1">IF(F536="Enrolled",TODAY()-E536,"0")</f>
        <v>839</v>
      </c>
      <c r="L536" s="3" t="str">
        <f>IF(I536&gt;=3.5,"Excellent",IF(I536&gt;=3,"Good",IF(I536&gt;=2,"Average","Poor")))</f>
        <v>Average</v>
      </c>
      <c r="M536" s="3" t="str">
        <v>Dr.Sinha</v>
      </c>
      <c r="N536" s="3" t="str">
        <f>IF(H536 &gt; (G536*50%), "Yes", "No")</f>
        <v>No</v>
      </c>
      <c r="O536" s="16">
        <f>G536-H536</f>
        <v>7666</v>
      </c>
      <c r="P536" s="16">
        <f>SUMIFS(O536:O536,E536:E536,"Science",F536:F536,"Completed")</f>
        <v>0</v>
      </c>
      <c r="Q536" s="3" t="str">
        <f>IF(MONTH(E536)&gt;=7, YEAR(E536)&amp;"-"&amp;YEAR(E536)+1, YEAR(E536)-1&amp;"-"&amp;YEAR(E536))</f>
        <v>2023-2024</v>
      </c>
      <c r="R536" s="3"/>
      <c r="S536" s="3"/>
      <c r="T536" s="15" t="str">
        <f t="shared" ca="1" si="8"/>
        <v>0</v>
      </c>
      <c r="U536" s="3"/>
    </row>
    <row r="537" spans="1:21" x14ac:dyDescent="0.35">
      <c r="A537" s="3" t="s">
        <v>1095</v>
      </c>
      <c r="B537" s="3" t="s">
        <v>1096</v>
      </c>
      <c r="C537" s="3" t="s">
        <v>22</v>
      </c>
      <c r="D537" s="3" t="s">
        <v>62</v>
      </c>
      <c r="E537" s="6">
        <v>44864</v>
      </c>
      <c r="F537" s="3" t="s">
        <v>39</v>
      </c>
      <c r="G537" s="3">
        <v>3482</v>
      </c>
      <c r="H537" s="3">
        <v>2557</v>
      </c>
      <c r="I537" s="3">
        <v>3.67</v>
      </c>
      <c r="J537" s="3">
        <v>62</v>
      </c>
      <c r="K537" s="15" t="str">
        <f ca="1">IF(F537="Enrolled",TODAY()-E537,"0")</f>
        <v>0</v>
      </c>
      <c r="L537" s="3" t="str">
        <f>IF(I537&gt;=3.5,"Excellent",IF(I537&gt;=3,"Good",IF(I537&gt;=2,"Average","Poor")))</f>
        <v>Excellent</v>
      </c>
      <c r="M537" s="3" t="str">
        <v>Dr.Sinha</v>
      </c>
      <c r="N537" s="3" t="str">
        <f>IF(H537 &gt; (G537*50%), "Yes", "No")</f>
        <v>Yes</v>
      </c>
      <c r="O537" s="16">
        <f>G537-H537</f>
        <v>925</v>
      </c>
      <c r="P537" s="16">
        <f>SUMIFS(O537:O537,E537:E537,"Science",F537:F537,"Completed")</f>
        <v>0</v>
      </c>
      <c r="Q537" s="3" t="str">
        <f>IF(MONTH(E537)&gt;=7, YEAR(E537)&amp;"-"&amp;YEAR(E537)+1, YEAR(E537)-1&amp;"-"&amp;YEAR(E537))</f>
        <v>2022-2023</v>
      </c>
      <c r="R537" s="3"/>
      <c r="S537" s="3"/>
      <c r="T537" s="15" t="str">
        <f t="shared" ca="1" si="8"/>
        <v>0</v>
      </c>
      <c r="U537" s="3"/>
    </row>
    <row r="538" spans="1:21" x14ac:dyDescent="0.35">
      <c r="A538" s="3" t="s">
        <v>1097</v>
      </c>
      <c r="B538" s="3" t="s">
        <v>1098</v>
      </c>
      <c r="C538" s="3" t="s">
        <v>12</v>
      </c>
      <c r="D538" s="3" t="s">
        <v>18</v>
      </c>
      <c r="E538" s="6">
        <v>44816</v>
      </c>
      <c r="F538" s="3" t="s">
        <v>19</v>
      </c>
      <c r="G538" s="3">
        <v>10273</v>
      </c>
      <c r="H538" s="3">
        <v>782</v>
      </c>
      <c r="I538" s="3">
        <v>2.9</v>
      </c>
      <c r="J538" s="3">
        <v>59</v>
      </c>
      <c r="K538" s="15" t="str">
        <f ca="1">IF(F538="Enrolled",TODAY()-E538,"0")</f>
        <v>0</v>
      </c>
      <c r="L538" s="3" t="str">
        <f>IF(I538&gt;=3.5,"Excellent",IF(I538&gt;=3,"Good",IF(I538&gt;=2,"Average","Poor")))</f>
        <v>Average</v>
      </c>
      <c r="M538" s="3" t="str">
        <v>Dr.Roy</v>
      </c>
      <c r="N538" s="3" t="str">
        <f>IF(H538 &gt; (G538*50%), "Yes", "No")</f>
        <v>No</v>
      </c>
      <c r="O538" s="16">
        <f>G538-H538</f>
        <v>9491</v>
      </c>
      <c r="P538" s="16">
        <f>SUMIFS(O538:O538,E538:E538,"Science",F538:F538,"Completed")</f>
        <v>0</v>
      </c>
      <c r="Q538" s="3" t="str">
        <f>IF(MONTH(E538)&gt;=7, YEAR(E538)&amp;"-"&amp;YEAR(E538)+1, YEAR(E538)-1&amp;"-"&amp;YEAR(E538))</f>
        <v>2022-2023</v>
      </c>
      <c r="R538" s="3"/>
      <c r="S538" s="3"/>
      <c r="T538" s="15">
        <f t="shared" ca="1" si="8"/>
        <v>1238</v>
      </c>
      <c r="U538" s="3"/>
    </row>
    <row r="539" spans="1:21" x14ac:dyDescent="0.35">
      <c r="A539" s="3" t="s">
        <v>1099</v>
      </c>
      <c r="B539" s="3" t="s">
        <v>1100</v>
      </c>
      <c r="C539" s="3" t="s">
        <v>54</v>
      </c>
      <c r="D539" s="3" t="s">
        <v>13</v>
      </c>
      <c r="E539" s="6">
        <v>44878</v>
      </c>
      <c r="F539" s="3" t="s">
        <v>14</v>
      </c>
      <c r="G539" s="3">
        <v>3359</v>
      </c>
      <c r="H539" s="3">
        <v>7027</v>
      </c>
      <c r="I539" s="3">
        <v>2.0499999999999998</v>
      </c>
      <c r="J539" s="3">
        <v>73</v>
      </c>
      <c r="K539" s="15">
        <f ca="1">IF(F539="Enrolled",TODAY()-E539,"0")</f>
        <v>1176</v>
      </c>
      <c r="L539" s="3" t="str">
        <f>IF(I539&gt;=3.5,"Excellent",IF(I539&gt;=3,"Good",IF(I539&gt;=2,"Average","Poor")))</f>
        <v>Average</v>
      </c>
      <c r="M539" s="3" t="str">
        <v>Dr.Mehta</v>
      </c>
      <c r="N539" s="3" t="str">
        <f>IF(H539 &gt; (G539*50%), "Yes", "No")</f>
        <v>Yes</v>
      </c>
      <c r="O539" s="16">
        <f>G539-H539</f>
        <v>-3668</v>
      </c>
      <c r="P539" s="16">
        <f>SUMIFS(O539:O539,E539:E539,"Science",F539:F539,"Completed")</f>
        <v>0</v>
      </c>
      <c r="Q539" s="3" t="str">
        <f>IF(MONTH(E539)&gt;=7, YEAR(E539)&amp;"-"&amp;YEAR(E539)+1, YEAR(E539)-1&amp;"-"&amp;YEAR(E539))</f>
        <v>2022-2023</v>
      </c>
      <c r="R539" s="3"/>
      <c r="S539" s="3"/>
      <c r="T539" s="15" t="str">
        <f t="shared" ca="1" si="8"/>
        <v>0</v>
      </c>
      <c r="U539" s="3"/>
    </row>
    <row r="540" spans="1:21" x14ac:dyDescent="0.35">
      <c r="A540" s="3" t="s">
        <v>1101</v>
      </c>
      <c r="B540" s="3" t="s">
        <v>1102</v>
      </c>
      <c r="C540" s="3" t="s">
        <v>22</v>
      </c>
      <c r="D540" s="3" t="s">
        <v>31</v>
      </c>
      <c r="E540" s="6">
        <v>45372</v>
      </c>
      <c r="F540" s="3" t="s">
        <v>14</v>
      </c>
      <c r="G540" s="3">
        <v>12403</v>
      </c>
      <c r="H540" s="3">
        <v>6720</v>
      </c>
      <c r="I540" s="3">
        <v>2.15</v>
      </c>
      <c r="J540" s="3">
        <v>48</v>
      </c>
      <c r="K540" s="15">
        <f ca="1">IF(F540="Enrolled",TODAY()-E540,"0")</f>
        <v>682</v>
      </c>
      <c r="L540" s="3" t="str">
        <f>IF(I540&gt;=3.5,"Excellent",IF(I540&gt;=3,"Good",IF(I540&gt;=2,"Average","Poor")))</f>
        <v>Average</v>
      </c>
      <c r="M540" s="3" t="str">
        <v>Dr.Sharma</v>
      </c>
      <c r="N540" s="3" t="str">
        <f>IF(H540 &gt; (G540*50%), "Yes", "No")</f>
        <v>Yes</v>
      </c>
      <c r="O540" s="16">
        <f>G540-H540</f>
        <v>5683</v>
      </c>
      <c r="P540" s="16">
        <f>SUMIFS(O540:O540,E540:E540,"Science",F540:F540,"Completed")</f>
        <v>0</v>
      </c>
      <c r="Q540" s="3" t="str">
        <f>IF(MONTH(E540)&gt;=7, YEAR(E540)&amp;"-"&amp;YEAR(E540)+1, YEAR(E540)-1&amp;"-"&amp;YEAR(E540))</f>
        <v>2023-2024</v>
      </c>
      <c r="R540" s="3"/>
      <c r="S540" s="3"/>
      <c r="T540" s="15" t="str">
        <f t="shared" ca="1" si="8"/>
        <v>0</v>
      </c>
      <c r="U540" s="3"/>
    </row>
    <row r="541" spans="1:21" x14ac:dyDescent="0.35">
      <c r="A541" s="3" t="s">
        <v>1103</v>
      </c>
      <c r="B541" s="3" t="s">
        <v>1104</v>
      </c>
      <c r="C541" s="3" t="s">
        <v>54</v>
      </c>
      <c r="D541" s="3" t="s">
        <v>18</v>
      </c>
      <c r="E541" s="6">
        <v>45156</v>
      </c>
      <c r="F541" s="3" t="s">
        <v>39</v>
      </c>
      <c r="G541" s="3">
        <v>14781</v>
      </c>
      <c r="H541" s="3">
        <v>8496</v>
      </c>
      <c r="I541" s="3">
        <v>2.42</v>
      </c>
      <c r="J541" s="3">
        <v>16</v>
      </c>
      <c r="K541" s="15" t="str">
        <f ca="1">IF(F541="Enrolled",TODAY()-E541,"0")</f>
        <v>0</v>
      </c>
      <c r="L541" s="3" t="str">
        <f>IF(I541&gt;=3.5,"Excellent",IF(I541&gt;=3,"Good",IF(I541&gt;=2,"Average","Poor")))</f>
        <v>Average</v>
      </c>
      <c r="M541" s="3" t="str">
        <v>Dr.Roy</v>
      </c>
      <c r="N541" s="3" t="str">
        <f>IF(H541 &gt; (G541*50%), "Yes", "No")</f>
        <v>Yes</v>
      </c>
      <c r="O541" s="16">
        <f>G541-H541</f>
        <v>6285</v>
      </c>
      <c r="P541" s="16">
        <f>SUMIFS(O541:O541,E541:E541,"Science",F541:F541,"Completed")</f>
        <v>0</v>
      </c>
      <c r="Q541" s="3" t="str">
        <f>IF(MONTH(E541)&gt;=7, YEAR(E541)&amp;"-"&amp;YEAR(E541)+1, YEAR(E541)-1&amp;"-"&amp;YEAR(E541))</f>
        <v>2023-2024</v>
      </c>
      <c r="R541" s="3"/>
      <c r="S541" s="3"/>
      <c r="T541" s="15" t="str">
        <f t="shared" ca="1" si="8"/>
        <v>0</v>
      </c>
      <c r="U541" s="3"/>
    </row>
    <row r="542" spans="1:21" x14ac:dyDescent="0.35">
      <c r="A542" s="3" t="s">
        <v>1105</v>
      </c>
      <c r="B542" s="3" t="s">
        <v>1106</v>
      </c>
      <c r="C542" s="3" t="s">
        <v>25</v>
      </c>
      <c r="D542" s="3" t="s">
        <v>18</v>
      </c>
      <c r="E542" s="6">
        <v>44576</v>
      </c>
      <c r="F542" s="3" t="s">
        <v>39</v>
      </c>
      <c r="G542" s="3">
        <v>11844</v>
      </c>
      <c r="H542" s="3">
        <v>3086</v>
      </c>
      <c r="I542" s="3">
        <v>2.65</v>
      </c>
      <c r="J542" s="3">
        <v>115</v>
      </c>
      <c r="K542" s="15" t="str">
        <f ca="1">IF(F542="Enrolled",TODAY()-E542,"0")</f>
        <v>0</v>
      </c>
      <c r="L542" s="3" t="str">
        <f>IF(I542&gt;=3.5,"Excellent",IF(I542&gt;=3,"Good",IF(I542&gt;=2,"Average","Poor")))</f>
        <v>Average</v>
      </c>
      <c r="M542" s="3" t="str">
        <v>Dr.Roy</v>
      </c>
      <c r="N542" s="3" t="str">
        <f>IF(H542 &gt; (G542*50%), "Yes", "No")</f>
        <v>No</v>
      </c>
      <c r="O542" s="16">
        <f>G542-H542</f>
        <v>8758</v>
      </c>
      <c r="P542" s="16">
        <f>SUMIFS(O542:O542,E542:E542,"Science",F542:F542,"Completed")</f>
        <v>0</v>
      </c>
      <c r="Q542" s="3" t="str">
        <f>IF(MONTH(E542)&gt;=7, YEAR(E542)&amp;"-"&amp;YEAR(E542)+1, YEAR(E542)-1&amp;"-"&amp;YEAR(E542))</f>
        <v>2021-2022</v>
      </c>
      <c r="R542" s="3"/>
      <c r="S542" s="3"/>
      <c r="T542" s="15" t="str">
        <f t="shared" ca="1" si="8"/>
        <v>0</v>
      </c>
      <c r="U542" s="3"/>
    </row>
    <row r="543" spans="1:21" x14ac:dyDescent="0.35">
      <c r="A543" s="3" t="s">
        <v>1107</v>
      </c>
      <c r="B543" s="3" t="s">
        <v>1108</v>
      </c>
      <c r="C543" s="3" t="s">
        <v>25</v>
      </c>
      <c r="D543" s="3" t="s">
        <v>62</v>
      </c>
      <c r="E543" s="6">
        <v>44753</v>
      </c>
      <c r="F543" s="3" t="s">
        <v>14</v>
      </c>
      <c r="G543" s="3">
        <v>13562</v>
      </c>
      <c r="H543" s="3">
        <v>378</v>
      </c>
      <c r="I543" s="3">
        <v>2.88</v>
      </c>
      <c r="J543" s="3">
        <v>83</v>
      </c>
      <c r="K543" s="15">
        <f ca="1">IF(F543="Enrolled",TODAY()-E543,"0")</f>
        <v>1301</v>
      </c>
      <c r="L543" s="3" t="str">
        <f>IF(I543&gt;=3.5,"Excellent",IF(I543&gt;=3,"Good",IF(I543&gt;=2,"Average","Poor")))</f>
        <v>Average</v>
      </c>
      <c r="M543" s="3" t="str">
        <v>Dr.Sinha</v>
      </c>
      <c r="N543" s="3" t="str">
        <f>IF(H543 &gt; (G543*50%), "Yes", "No")</f>
        <v>No</v>
      </c>
      <c r="O543" s="16">
        <f>G543-H543</f>
        <v>13184</v>
      </c>
      <c r="P543" s="16">
        <f>SUMIFS(O543:O543,E543:E543,"Science",F543:F543,"Completed")</f>
        <v>0</v>
      </c>
      <c r="Q543" s="3" t="str">
        <f>IF(MONTH(E543)&gt;=7, YEAR(E543)&amp;"-"&amp;YEAR(E543)+1, YEAR(E543)-1&amp;"-"&amp;YEAR(E543))</f>
        <v>2022-2023</v>
      </c>
      <c r="R543" s="3"/>
      <c r="S543" s="3"/>
      <c r="T543" s="15" t="str">
        <f t="shared" ca="1" si="8"/>
        <v>0</v>
      </c>
      <c r="U543" s="3"/>
    </row>
    <row r="544" spans="1:21" x14ac:dyDescent="0.35">
      <c r="A544" s="3" t="s">
        <v>1109</v>
      </c>
      <c r="B544" s="3" t="s">
        <v>1110</v>
      </c>
      <c r="C544" s="3" t="s">
        <v>28</v>
      </c>
      <c r="D544" s="3" t="s">
        <v>18</v>
      </c>
      <c r="E544" s="6">
        <v>44585</v>
      </c>
      <c r="F544" s="3" t="s">
        <v>14</v>
      </c>
      <c r="G544" s="3">
        <v>6188</v>
      </c>
      <c r="H544" s="3">
        <v>3078</v>
      </c>
      <c r="I544" s="3">
        <v>3.67</v>
      </c>
      <c r="J544" s="3">
        <v>45</v>
      </c>
      <c r="K544" s="15">
        <f ca="1">IF(F544="Enrolled",TODAY()-E544,"0")</f>
        <v>1469</v>
      </c>
      <c r="L544" s="3" t="str">
        <f>IF(I544&gt;=3.5,"Excellent",IF(I544&gt;=3,"Good",IF(I544&gt;=2,"Average","Poor")))</f>
        <v>Excellent</v>
      </c>
      <c r="M544" s="3" t="str">
        <v>Dr.Roy</v>
      </c>
      <c r="N544" s="3" t="str">
        <f>IF(H544 &gt; (G544*50%), "Yes", "No")</f>
        <v>No</v>
      </c>
      <c r="O544" s="16">
        <f>G544-H544</f>
        <v>3110</v>
      </c>
      <c r="P544" s="16">
        <f>SUMIFS(O544:O544,E544:E544,"Science",F544:F544,"Completed")</f>
        <v>0</v>
      </c>
      <c r="Q544" s="3" t="str">
        <f>IF(MONTH(E544)&gt;=7, YEAR(E544)&amp;"-"&amp;YEAR(E544)+1, YEAR(E544)-1&amp;"-"&amp;YEAR(E544))</f>
        <v>2021-2022</v>
      </c>
      <c r="R544" s="3"/>
      <c r="S544" s="3"/>
      <c r="T544" s="15" t="str">
        <f t="shared" ca="1" si="8"/>
        <v>0</v>
      </c>
      <c r="U544" s="3"/>
    </row>
    <row r="545" spans="1:21" x14ac:dyDescent="0.35">
      <c r="A545" s="3" t="s">
        <v>1111</v>
      </c>
      <c r="B545" s="3" t="s">
        <v>1112</v>
      </c>
      <c r="C545" s="3" t="s">
        <v>54</v>
      </c>
      <c r="D545" s="3" t="s">
        <v>62</v>
      </c>
      <c r="E545" s="6">
        <v>45276</v>
      </c>
      <c r="F545" s="3" t="s">
        <v>14</v>
      </c>
      <c r="G545" s="3">
        <v>9594</v>
      </c>
      <c r="H545" s="3">
        <v>2423</v>
      </c>
      <c r="I545" s="3">
        <v>2.1</v>
      </c>
      <c r="J545" s="3">
        <v>96</v>
      </c>
      <c r="K545" s="15">
        <f ca="1">IF(F545="Enrolled",TODAY()-E545,"0")</f>
        <v>778</v>
      </c>
      <c r="L545" s="3" t="str">
        <f>IF(I545&gt;=3.5,"Excellent",IF(I545&gt;=3,"Good",IF(I545&gt;=2,"Average","Poor")))</f>
        <v>Average</v>
      </c>
      <c r="M545" s="3" t="str">
        <v>Dr.Sinha</v>
      </c>
      <c r="N545" s="3" t="str">
        <f>IF(H545 &gt; (G545*50%), "Yes", "No")</f>
        <v>No</v>
      </c>
      <c r="O545" s="16">
        <f>G545-H545</f>
        <v>7171</v>
      </c>
      <c r="P545" s="16">
        <f>SUMIFS(O545:O545,E545:E545,"Science",F545:F545,"Completed")</f>
        <v>0</v>
      </c>
      <c r="Q545" s="3" t="str">
        <f>IF(MONTH(E545)&gt;=7, YEAR(E545)&amp;"-"&amp;YEAR(E545)+1, YEAR(E545)-1&amp;"-"&amp;YEAR(E545))</f>
        <v>2023-2024</v>
      </c>
      <c r="R545" s="3"/>
      <c r="S545" s="3"/>
      <c r="T545" s="15" t="str">
        <f t="shared" ca="1" si="8"/>
        <v>0</v>
      </c>
      <c r="U545" s="3"/>
    </row>
    <row r="546" spans="1:21" x14ac:dyDescent="0.35">
      <c r="A546" s="3" t="s">
        <v>1113</v>
      </c>
      <c r="B546" s="3" t="s">
        <v>1114</v>
      </c>
      <c r="C546" s="3" t="s">
        <v>54</v>
      </c>
      <c r="D546" s="3" t="s">
        <v>13</v>
      </c>
      <c r="E546" s="6">
        <v>45082</v>
      </c>
      <c r="F546" s="3" t="s">
        <v>39</v>
      </c>
      <c r="G546" s="3">
        <v>11109</v>
      </c>
      <c r="H546" s="3">
        <v>8899</v>
      </c>
      <c r="I546" s="3">
        <v>3.47</v>
      </c>
      <c r="J546" s="3">
        <v>109</v>
      </c>
      <c r="K546" s="15" t="str">
        <f ca="1">IF(F546="Enrolled",TODAY()-E546,"0")</f>
        <v>0</v>
      </c>
      <c r="L546" s="3" t="str">
        <f>IF(I546&gt;=3.5,"Excellent",IF(I546&gt;=3,"Good",IF(I546&gt;=2,"Average","Poor")))</f>
        <v>Good</v>
      </c>
      <c r="M546" s="3" t="str">
        <v>Dr.Mehta</v>
      </c>
      <c r="N546" s="3" t="str">
        <f>IF(H546 &gt; (G546*50%), "Yes", "No")</f>
        <v>Yes</v>
      </c>
      <c r="O546" s="16">
        <f>G546-H546</f>
        <v>2210</v>
      </c>
      <c r="P546" s="16">
        <f>SUMIFS(O546:O546,E546:E546,"Science",F546:F546,"Completed")</f>
        <v>0</v>
      </c>
      <c r="Q546" s="3" t="str">
        <f>IF(MONTH(E546)&gt;=7, YEAR(E546)&amp;"-"&amp;YEAR(E546)+1, YEAR(E546)-1&amp;"-"&amp;YEAR(E546))</f>
        <v>2022-2023</v>
      </c>
      <c r="R546" s="3"/>
      <c r="S546" s="3"/>
      <c r="T546" s="15" t="str">
        <f t="shared" ca="1" si="8"/>
        <v>0</v>
      </c>
      <c r="U546" s="3"/>
    </row>
    <row r="547" spans="1:21" x14ac:dyDescent="0.35">
      <c r="A547" s="3" t="s">
        <v>1115</v>
      </c>
      <c r="B547" s="3" t="s">
        <v>1116</v>
      </c>
      <c r="C547" s="3" t="s">
        <v>28</v>
      </c>
      <c r="D547" s="3" t="s">
        <v>18</v>
      </c>
      <c r="E547" s="6">
        <v>45077</v>
      </c>
      <c r="F547" s="3" t="s">
        <v>14</v>
      </c>
      <c r="G547" s="3">
        <v>13950</v>
      </c>
      <c r="H547" s="3">
        <v>6684</v>
      </c>
      <c r="I547" s="3">
        <v>2.37</v>
      </c>
      <c r="J547" s="3">
        <v>103</v>
      </c>
      <c r="K547" s="15">
        <f ca="1">IF(F547="Enrolled",TODAY()-E547,"0")</f>
        <v>977</v>
      </c>
      <c r="L547" s="3" t="str">
        <f>IF(I547&gt;=3.5,"Excellent",IF(I547&gt;=3,"Good",IF(I547&gt;=2,"Average","Poor")))</f>
        <v>Average</v>
      </c>
      <c r="M547" s="3" t="str">
        <v>Dr.Roy</v>
      </c>
      <c r="N547" s="3" t="str">
        <f>IF(H547 &gt; (G547*50%), "Yes", "No")</f>
        <v>No</v>
      </c>
      <c r="O547" s="16">
        <f>G547-H547</f>
        <v>7266</v>
      </c>
      <c r="P547" s="16">
        <f>SUMIFS(O547:O547,E547:E547,"Science",F547:F547,"Completed")</f>
        <v>0</v>
      </c>
      <c r="Q547" s="3" t="str">
        <f>IF(MONTH(E547)&gt;=7, YEAR(E547)&amp;"-"&amp;YEAR(E547)+1, YEAR(E547)-1&amp;"-"&amp;YEAR(E547))</f>
        <v>2022-2023</v>
      </c>
      <c r="R547" s="3"/>
      <c r="S547" s="3"/>
      <c r="T547" s="15" t="str">
        <f t="shared" ca="1" si="8"/>
        <v>0</v>
      </c>
      <c r="U547" s="3"/>
    </row>
    <row r="548" spans="1:21" x14ac:dyDescent="0.35">
      <c r="A548" s="3" t="s">
        <v>1117</v>
      </c>
      <c r="B548" s="3" t="s">
        <v>1118</v>
      </c>
      <c r="C548" s="3" t="s">
        <v>25</v>
      </c>
      <c r="D548" s="3" t="s">
        <v>18</v>
      </c>
      <c r="E548" s="6">
        <v>44989</v>
      </c>
      <c r="F548" s="3" t="s">
        <v>14</v>
      </c>
      <c r="G548" s="3">
        <v>13070</v>
      </c>
      <c r="H548" s="3">
        <v>5252</v>
      </c>
      <c r="I548" s="3">
        <v>2.19</v>
      </c>
      <c r="J548" s="3">
        <v>94</v>
      </c>
      <c r="K548" s="15">
        <f ca="1">IF(F548="Enrolled",TODAY()-E548,"0")</f>
        <v>1065</v>
      </c>
      <c r="L548" s="3" t="str">
        <f>IF(I548&gt;=3.5,"Excellent",IF(I548&gt;=3,"Good",IF(I548&gt;=2,"Average","Poor")))</f>
        <v>Average</v>
      </c>
      <c r="M548" s="3" t="str">
        <v>Dr.Roy</v>
      </c>
      <c r="N548" s="3" t="str">
        <f>IF(H548 &gt; (G548*50%), "Yes", "No")</f>
        <v>No</v>
      </c>
      <c r="O548" s="16">
        <f>G548-H548</f>
        <v>7818</v>
      </c>
      <c r="P548" s="16">
        <f>SUMIFS(O548:O548,E548:E548,"Science",F548:F548,"Completed")</f>
        <v>0</v>
      </c>
      <c r="Q548" s="3" t="str">
        <f>IF(MONTH(E548)&gt;=7, YEAR(E548)&amp;"-"&amp;YEAR(E548)+1, YEAR(E548)-1&amp;"-"&amp;YEAR(E548))</f>
        <v>2022-2023</v>
      </c>
      <c r="R548" s="3"/>
      <c r="S548" s="3"/>
      <c r="T548" s="15" t="str">
        <f t="shared" ca="1" si="8"/>
        <v>0</v>
      </c>
      <c r="U548" s="3"/>
    </row>
    <row r="549" spans="1:21" x14ac:dyDescent="0.35">
      <c r="A549" s="3" t="s">
        <v>1119</v>
      </c>
      <c r="B549" s="3" t="s">
        <v>1120</v>
      </c>
      <c r="C549" s="3" t="s">
        <v>57</v>
      </c>
      <c r="D549" s="3" t="s">
        <v>31</v>
      </c>
      <c r="E549" s="6">
        <v>44673</v>
      </c>
      <c r="F549" s="3" t="s">
        <v>39</v>
      </c>
      <c r="G549" s="3">
        <v>6161</v>
      </c>
      <c r="H549" s="3">
        <v>9625</v>
      </c>
      <c r="I549" s="3">
        <v>2.84</v>
      </c>
      <c r="J549" s="3">
        <v>50</v>
      </c>
      <c r="K549" s="15" t="str">
        <f ca="1">IF(F549="Enrolled",TODAY()-E549,"0")</f>
        <v>0</v>
      </c>
      <c r="L549" s="3" t="str">
        <f>IF(I549&gt;=3.5,"Excellent",IF(I549&gt;=3,"Good",IF(I549&gt;=2,"Average","Poor")))</f>
        <v>Average</v>
      </c>
      <c r="M549" s="3" t="str">
        <v>Dr.Sharma</v>
      </c>
      <c r="N549" s="3" t="str">
        <f>IF(H549 &gt; (G549*50%), "Yes", "No")</f>
        <v>Yes</v>
      </c>
      <c r="O549" s="16">
        <f>G549-H549</f>
        <v>-3464</v>
      </c>
      <c r="P549" s="16">
        <f>SUMIFS(O549:O549,E549:E549,"Science",F549:F549,"Completed")</f>
        <v>0</v>
      </c>
      <c r="Q549" s="3" t="str">
        <f>IF(MONTH(E549)&gt;=7, YEAR(E549)&amp;"-"&amp;YEAR(E549)+1, YEAR(E549)-1&amp;"-"&amp;YEAR(E549))</f>
        <v>2021-2022</v>
      </c>
      <c r="R549" s="3"/>
      <c r="S549" s="3"/>
      <c r="T549" s="15" t="str">
        <f t="shared" ca="1" si="8"/>
        <v>0</v>
      </c>
      <c r="U549" s="3"/>
    </row>
    <row r="550" spans="1:21" x14ac:dyDescent="0.35">
      <c r="A550" s="3" t="s">
        <v>1121</v>
      </c>
      <c r="B550" s="3" t="s">
        <v>1122</v>
      </c>
      <c r="C550" s="3" t="s">
        <v>28</v>
      </c>
      <c r="D550" s="3" t="s">
        <v>13</v>
      </c>
      <c r="E550" s="6">
        <v>45052</v>
      </c>
      <c r="F550" s="3" t="s">
        <v>19</v>
      </c>
      <c r="G550" s="3">
        <v>14816</v>
      </c>
      <c r="H550" s="3">
        <v>1546</v>
      </c>
      <c r="I550" s="3">
        <v>3.69</v>
      </c>
      <c r="J550" s="3">
        <v>31</v>
      </c>
      <c r="K550" s="15" t="str">
        <f ca="1">IF(F550="Enrolled",TODAY()-E550,"0")</f>
        <v>0</v>
      </c>
      <c r="L550" s="3" t="str">
        <f>IF(I550&gt;=3.5,"Excellent",IF(I550&gt;=3,"Good",IF(I550&gt;=2,"Average","Poor")))</f>
        <v>Excellent</v>
      </c>
      <c r="M550" s="3" t="str">
        <v>Dr.Mehta</v>
      </c>
      <c r="N550" s="3" t="str">
        <f>IF(H550 &gt; (G550*50%), "Yes", "No")</f>
        <v>No</v>
      </c>
      <c r="O550" s="16">
        <f>G550-H550</f>
        <v>13270</v>
      </c>
      <c r="P550" s="16">
        <f>SUMIFS(O550:O550,E550:E550,"Science",F550:F550,"Completed")</f>
        <v>0</v>
      </c>
      <c r="Q550" s="3" t="str">
        <f>IF(MONTH(E550)&gt;=7, YEAR(E550)&amp;"-"&amp;YEAR(E550)+1, YEAR(E550)-1&amp;"-"&amp;YEAR(E550))</f>
        <v>2022-2023</v>
      </c>
      <c r="R550" s="3"/>
      <c r="S550" s="3"/>
      <c r="T550" s="15">
        <f t="shared" ca="1" si="8"/>
        <v>1002</v>
      </c>
      <c r="U550" s="3"/>
    </row>
    <row r="551" spans="1:21" x14ac:dyDescent="0.35">
      <c r="A551" s="3" t="s">
        <v>1123</v>
      </c>
      <c r="B551" s="3" t="s">
        <v>1124</v>
      </c>
      <c r="C551" s="3" t="s">
        <v>17</v>
      </c>
      <c r="D551" s="3" t="s">
        <v>18</v>
      </c>
      <c r="E551" s="6">
        <v>45350</v>
      </c>
      <c r="F551" s="3" t="s">
        <v>19</v>
      </c>
      <c r="G551" s="3">
        <v>4781</v>
      </c>
      <c r="H551" s="3">
        <v>667</v>
      </c>
      <c r="I551" s="3">
        <v>3.11</v>
      </c>
      <c r="J551" s="3">
        <v>32</v>
      </c>
      <c r="K551" s="15" t="str">
        <f ca="1">IF(F551="Enrolled",TODAY()-E551,"0")</f>
        <v>0</v>
      </c>
      <c r="L551" s="3" t="str">
        <f>IF(I551&gt;=3.5,"Excellent",IF(I551&gt;=3,"Good",IF(I551&gt;=2,"Average","Poor")))</f>
        <v>Good</v>
      </c>
      <c r="M551" s="3" t="str">
        <v>Dr.Roy</v>
      </c>
      <c r="N551" s="3" t="str">
        <f>IF(H551 &gt; (G551*50%), "Yes", "No")</f>
        <v>No</v>
      </c>
      <c r="O551" s="16">
        <f>G551-H551</f>
        <v>4114</v>
      </c>
      <c r="P551" s="16">
        <f>SUMIFS(O551:O551,E551:E551,"Science",F551:F551,"Completed")</f>
        <v>0</v>
      </c>
      <c r="Q551" s="3" t="str">
        <f>IF(MONTH(E551)&gt;=7, YEAR(E551)&amp;"-"&amp;YEAR(E551)+1, YEAR(E551)-1&amp;"-"&amp;YEAR(E551))</f>
        <v>2023-2024</v>
      </c>
      <c r="R551" s="3"/>
      <c r="S551" s="3"/>
      <c r="T551" s="15">
        <f t="shared" ca="1" si="8"/>
        <v>704</v>
      </c>
      <c r="U551" s="3"/>
    </row>
    <row r="552" spans="1:21" x14ac:dyDescent="0.35">
      <c r="A552" s="3" t="s">
        <v>1125</v>
      </c>
      <c r="B552" s="3" t="s">
        <v>1126</v>
      </c>
      <c r="C552" s="3" t="s">
        <v>12</v>
      </c>
      <c r="D552" s="3" t="s">
        <v>13</v>
      </c>
      <c r="E552" s="6">
        <v>45428</v>
      </c>
      <c r="F552" s="3" t="s">
        <v>39</v>
      </c>
      <c r="G552" s="3">
        <v>9289</v>
      </c>
      <c r="H552" s="3">
        <v>4906</v>
      </c>
      <c r="I552" s="3">
        <v>2.2599999999999998</v>
      </c>
      <c r="J552" s="3">
        <v>105</v>
      </c>
      <c r="K552" s="15" t="str">
        <f ca="1">IF(F552="Enrolled",TODAY()-E552,"0")</f>
        <v>0</v>
      </c>
      <c r="L552" s="3" t="str">
        <f>IF(I552&gt;=3.5,"Excellent",IF(I552&gt;=3,"Good",IF(I552&gt;=2,"Average","Poor")))</f>
        <v>Average</v>
      </c>
      <c r="M552" s="3" t="str">
        <v>Dr.Mehta</v>
      </c>
      <c r="N552" s="3" t="str">
        <f>IF(H552 &gt; (G552*50%), "Yes", "No")</f>
        <v>Yes</v>
      </c>
      <c r="O552" s="16">
        <f>G552-H552</f>
        <v>4383</v>
      </c>
      <c r="P552" s="16">
        <f>SUMIFS(O552:O552,E552:E552,"Science",F552:F552,"Completed")</f>
        <v>0</v>
      </c>
      <c r="Q552" s="3" t="str">
        <f>IF(MONTH(E552)&gt;=7, YEAR(E552)&amp;"-"&amp;YEAR(E552)+1, YEAR(E552)-1&amp;"-"&amp;YEAR(E552))</f>
        <v>2023-2024</v>
      </c>
      <c r="R552" s="3"/>
      <c r="S552" s="3"/>
      <c r="T552" s="15" t="str">
        <f t="shared" ca="1" si="8"/>
        <v>0</v>
      </c>
      <c r="U552" s="3"/>
    </row>
    <row r="553" spans="1:21" x14ac:dyDescent="0.35">
      <c r="A553" s="3" t="s">
        <v>1127</v>
      </c>
      <c r="B553" s="3" t="s">
        <v>1128</v>
      </c>
      <c r="C553" s="3" t="s">
        <v>17</v>
      </c>
      <c r="D553" s="3" t="s">
        <v>31</v>
      </c>
      <c r="E553" s="6">
        <v>45370</v>
      </c>
      <c r="F553" s="3" t="s">
        <v>14</v>
      </c>
      <c r="G553" s="3">
        <v>4151</v>
      </c>
      <c r="H553" s="3">
        <v>7945</v>
      </c>
      <c r="I553" s="3">
        <v>3.12</v>
      </c>
      <c r="J553" s="3">
        <v>45</v>
      </c>
      <c r="K553" s="15">
        <f ca="1">IF(F553="Enrolled",TODAY()-E553,"0")</f>
        <v>684</v>
      </c>
      <c r="L553" s="3" t="str">
        <f>IF(I553&gt;=3.5,"Excellent",IF(I553&gt;=3,"Good",IF(I553&gt;=2,"Average","Poor")))</f>
        <v>Good</v>
      </c>
      <c r="M553" s="3" t="str">
        <v>Dr.Sharma</v>
      </c>
      <c r="N553" s="3" t="str">
        <f>IF(H553 &gt; (G553*50%), "Yes", "No")</f>
        <v>Yes</v>
      </c>
      <c r="O553" s="16">
        <f>G553-H553</f>
        <v>-3794</v>
      </c>
      <c r="P553" s="16">
        <f>SUMIFS(O553:O553,E553:E553,"Science",F553:F553,"Completed")</f>
        <v>0</v>
      </c>
      <c r="Q553" s="3" t="str">
        <f>IF(MONTH(E553)&gt;=7, YEAR(E553)&amp;"-"&amp;YEAR(E553)+1, YEAR(E553)-1&amp;"-"&amp;YEAR(E553))</f>
        <v>2023-2024</v>
      </c>
      <c r="R553" s="3"/>
      <c r="S553" s="3"/>
      <c r="T553" s="15" t="str">
        <f t="shared" ca="1" si="8"/>
        <v>0</v>
      </c>
      <c r="U553" s="3"/>
    </row>
    <row r="554" spans="1:21" x14ac:dyDescent="0.35">
      <c r="A554" s="3" t="s">
        <v>1129</v>
      </c>
      <c r="B554" s="3" t="s">
        <v>1130</v>
      </c>
      <c r="C554" s="3" t="s">
        <v>25</v>
      </c>
      <c r="D554" s="3" t="s">
        <v>18</v>
      </c>
      <c r="E554" s="6">
        <v>44966</v>
      </c>
      <c r="F554" s="3" t="s">
        <v>19</v>
      </c>
      <c r="G554" s="3">
        <v>13343</v>
      </c>
      <c r="H554" s="3">
        <v>4903</v>
      </c>
      <c r="I554" s="3">
        <v>2.77</v>
      </c>
      <c r="J554" s="3">
        <v>39</v>
      </c>
      <c r="K554" s="15" t="str">
        <f ca="1">IF(F554="Enrolled",TODAY()-E554,"0")</f>
        <v>0</v>
      </c>
      <c r="L554" s="3" t="str">
        <f>IF(I554&gt;=3.5,"Excellent",IF(I554&gt;=3,"Good",IF(I554&gt;=2,"Average","Poor")))</f>
        <v>Average</v>
      </c>
      <c r="M554" s="3" t="str">
        <v>Dr.Roy</v>
      </c>
      <c r="N554" s="3" t="str">
        <f>IF(H554 &gt; (G554*50%), "Yes", "No")</f>
        <v>No</v>
      </c>
      <c r="O554" s="16">
        <f>G554-H554</f>
        <v>8440</v>
      </c>
      <c r="P554" s="16">
        <f>SUMIFS(O554:O554,E554:E554,"Science",F554:F554,"Completed")</f>
        <v>0</v>
      </c>
      <c r="Q554" s="3" t="str">
        <f>IF(MONTH(E554)&gt;=7, YEAR(E554)&amp;"-"&amp;YEAR(E554)+1, YEAR(E554)-1&amp;"-"&amp;YEAR(E554))</f>
        <v>2022-2023</v>
      </c>
      <c r="R554" s="3"/>
      <c r="S554" s="3"/>
      <c r="T554" s="15">
        <f t="shared" ca="1" si="8"/>
        <v>1088</v>
      </c>
      <c r="U554" s="3"/>
    </row>
    <row r="555" spans="1:21" x14ac:dyDescent="0.35">
      <c r="A555" s="3" t="s">
        <v>1131</v>
      </c>
      <c r="B555" s="3" t="s">
        <v>1132</v>
      </c>
      <c r="C555" s="3" t="s">
        <v>25</v>
      </c>
      <c r="D555" s="3" t="s">
        <v>31</v>
      </c>
      <c r="E555" s="6">
        <v>45115</v>
      </c>
      <c r="F555" s="3" t="s">
        <v>14</v>
      </c>
      <c r="G555" s="3">
        <v>2460</v>
      </c>
      <c r="H555" s="3">
        <v>4560</v>
      </c>
      <c r="I555" s="3">
        <v>3.8</v>
      </c>
      <c r="J555" s="3">
        <v>62</v>
      </c>
      <c r="K555" s="15">
        <f ca="1">IF(F555="Enrolled",TODAY()-E555,"0")</f>
        <v>939</v>
      </c>
      <c r="L555" s="3" t="str">
        <f>IF(I555&gt;=3.5,"Excellent",IF(I555&gt;=3,"Good",IF(I555&gt;=2,"Average","Poor")))</f>
        <v>Excellent</v>
      </c>
      <c r="M555" s="3" t="str">
        <v>Dr.Sharma</v>
      </c>
      <c r="N555" s="3" t="str">
        <f>IF(H555 &gt; (G555*50%), "Yes", "No")</f>
        <v>Yes</v>
      </c>
      <c r="O555" s="16">
        <f>G555-H555</f>
        <v>-2100</v>
      </c>
      <c r="P555" s="16">
        <f>SUMIFS(O555:O555,E555:E555,"Science",F555:F555,"Completed")</f>
        <v>0</v>
      </c>
      <c r="Q555" s="3" t="str">
        <f>IF(MONTH(E555)&gt;=7, YEAR(E555)&amp;"-"&amp;YEAR(E555)+1, YEAR(E555)-1&amp;"-"&amp;YEAR(E555))</f>
        <v>2023-2024</v>
      </c>
      <c r="R555" s="3"/>
      <c r="S555" s="3"/>
      <c r="T555" s="15" t="str">
        <f t="shared" ca="1" si="8"/>
        <v>0</v>
      </c>
      <c r="U555" s="3"/>
    </row>
    <row r="556" spans="1:21" x14ac:dyDescent="0.35">
      <c r="A556" s="3" t="s">
        <v>1133</v>
      </c>
      <c r="B556" s="3" t="s">
        <v>1134</v>
      </c>
      <c r="C556" s="3" t="s">
        <v>28</v>
      </c>
      <c r="D556" s="3" t="s">
        <v>13</v>
      </c>
      <c r="E556" s="6">
        <v>45204</v>
      </c>
      <c r="F556" s="3" t="s">
        <v>19</v>
      </c>
      <c r="G556" s="3">
        <v>10553</v>
      </c>
      <c r="H556" s="3">
        <v>3008</v>
      </c>
      <c r="I556" s="3">
        <v>2.37</v>
      </c>
      <c r="J556" s="3">
        <v>3</v>
      </c>
      <c r="K556" s="15" t="str">
        <f ca="1">IF(F556="Enrolled",TODAY()-E556,"0")</f>
        <v>0</v>
      </c>
      <c r="L556" s="3" t="str">
        <f>IF(I556&gt;=3.5,"Excellent",IF(I556&gt;=3,"Good",IF(I556&gt;=2,"Average","Poor")))</f>
        <v>Average</v>
      </c>
      <c r="M556" s="3" t="str">
        <v>Dr.Mehta</v>
      </c>
      <c r="N556" s="3" t="str">
        <f>IF(H556 &gt; (G556*50%), "Yes", "No")</f>
        <v>No</v>
      </c>
      <c r="O556" s="16">
        <f>G556-H556</f>
        <v>7545</v>
      </c>
      <c r="P556" s="16">
        <f>SUMIFS(O556:O556,E556:E556,"Science",F556:F556,"Completed")</f>
        <v>0</v>
      </c>
      <c r="Q556" s="3" t="str">
        <f>IF(MONTH(E556)&gt;=7, YEAR(E556)&amp;"-"&amp;YEAR(E556)+1, YEAR(E556)-1&amp;"-"&amp;YEAR(E556))</f>
        <v>2023-2024</v>
      </c>
      <c r="R556" s="3"/>
      <c r="S556" s="3"/>
      <c r="T556" s="15">
        <f t="shared" ca="1" si="8"/>
        <v>850</v>
      </c>
      <c r="U556" s="3"/>
    </row>
    <row r="557" spans="1:21" x14ac:dyDescent="0.35">
      <c r="A557" s="3" t="s">
        <v>1135</v>
      </c>
      <c r="B557" s="3" t="s">
        <v>1136</v>
      </c>
      <c r="C557" s="3" t="s">
        <v>28</v>
      </c>
      <c r="D557" s="3" t="s">
        <v>31</v>
      </c>
      <c r="E557" s="6">
        <v>45060</v>
      </c>
      <c r="F557" s="3" t="s">
        <v>19</v>
      </c>
      <c r="G557" s="3">
        <v>5975</v>
      </c>
      <c r="H557" s="3">
        <v>3830</v>
      </c>
      <c r="I557" s="3">
        <v>2.06</v>
      </c>
      <c r="J557" s="3">
        <v>96</v>
      </c>
      <c r="K557" s="15" t="str">
        <f ca="1">IF(F557="Enrolled",TODAY()-E557,"0")</f>
        <v>0</v>
      </c>
      <c r="L557" s="3" t="str">
        <f>IF(I557&gt;=3.5,"Excellent",IF(I557&gt;=3,"Good",IF(I557&gt;=2,"Average","Poor")))</f>
        <v>Average</v>
      </c>
      <c r="M557" s="3" t="str">
        <v>Dr.Sharma</v>
      </c>
      <c r="N557" s="3" t="str">
        <f>IF(H557 &gt; (G557*50%), "Yes", "No")</f>
        <v>Yes</v>
      </c>
      <c r="O557" s="16">
        <f>G557-H557</f>
        <v>2145</v>
      </c>
      <c r="P557" s="16">
        <f>SUMIFS(O557:O557,E557:E557,"Science",F557:F557,"Completed")</f>
        <v>0</v>
      </c>
      <c r="Q557" s="3" t="str">
        <f>IF(MONTH(E557)&gt;=7, YEAR(E557)&amp;"-"&amp;YEAR(E557)+1, YEAR(E557)-1&amp;"-"&amp;YEAR(E557))</f>
        <v>2022-2023</v>
      </c>
      <c r="R557" s="3"/>
      <c r="S557" s="3"/>
      <c r="T557" s="15">
        <f t="shared" ca="1" si="8"/>
        <v>994</v>
      </c>
      <c r="U557" s="3"/>
    </row>
    <row r="558" spans="1:21" x14ac:dyDescent="0.35">
      <c r="A558" s="3" t="s">
        <v>1137</v>
      </c>
      <c r="B558" s="3" t="s">
        <v>1138</v>
      </c>
      <c r="C558" s="3" t="s">
        <v>28</v>
      </c>
      <c r="D558" s="3" t="s">
        <v>13</v>
      </c>
      <c r="E558" s="6">
        <v>45422</v>
      </c>
      <c r="F558" s="3" t="s">
        <v>14</v>
      </c>
      <c r="G558" s="3">
        <v>9200</v>
      </c>
      <c r="H558" s="3">
        <v>1956</v>
      </c>
      <c r="I558" s="3">
        <v>2.95</v>
      </c>
      <c r="J558" s="3">
        <v>97</v>
      </c>
      <c r="K558" s="15">
        <f ca="1">IF(F558="Enrolled",TODAY()-E558,"0")</f>
        <v>632</v>
      </c>
      <c r="L558" s="3" t="str">
        <f>IF(I558&gt;=3.5,"Excellent",IF(I558&gt;=3,"Good",IF(I558&gt;=2,"Average","Poor")))</f>
        <v>Average</v>
      </c>
      <c r="M558" s="3" t="str">
        <v>Dr.Mehta</v>
      </c>
      <c r="N558" s="3" t="str">
        <f>IF(H558 &gt; (G558*50%), "Yes", "No")</f>
        <v>No</v>
      </c>
      <c r="O558" s="16">
        <f>G558-H558</f>
        <v>7244</v>
      </c>
      <c r="P558" s="16">
        <f>SUMIFS(O558:O558,E558:E558,"Science",F558:F558,"Completed")</f>
        <v>0</v>
      </c>
      <c r="Q558" s="3" t="str">
        <f>IF(MONTH(E558)&gt;=7, YEAR(E558)&amp;"-"&amp;YEAR(E558)+1, YEAR(E558)-1&amp;"-"&amp;YEAR(E558))</f>
        <v>2023-2024</v>
      </c>
      <c r="R558" s="3"/>
      <c r="S558" s="3"/>
      <c r="T558" s="15" t="str">
        <f t="shared" ca="1" si="8"/>
        <v>0</v>
      </c>
      <c r="U558" s="3"/>
    </row>
    <row r="559" spans="1:21" x14ac:dyDescent="0.35">
      <c r="A559" s="3" t="s">
        <v>1139</v>
      </c>
      <c r="B559" s="3" t="s">
        <v>1140</v>
      </c>
      <c r="C559" s="3" t="s">
        <v>12</v>
      </c>
      <c r="D559" s="3" t="s">
        <v>13</v>
      </c>
      <c r="E559" s="6">
        <v>45065</v>
      </c>
      <c r="F559" s="3" t="s">
        <v>19</v>
      </c>
      <c r="G559" s="3">
        <v>7875</v>
      </c>
      <c r="H559" s="3">
        <v>6378</v>
      </c>
      <c r="I559" s="3">
        <v>2.09</v>
      </c>
      <c r="J559" s="3">
        <v>90</v>
      </c>
      <c r="K559" s="15" t="str">
        <f ca="1">IF(F559="Enrolled",TODAY()-E559,"0")</f>
        <v>0</v>
      </c>
      <c r="L559" s="3" t="str">
        <f>IF(I559&gt;=3.5,"Excellent",IF(I559&gt;=3,"Good",IF(I559&gt;=2,"Average","Poor")))</f>
        <v>Average</v>
      </c>
      <c r="M559" s="3" t="str">
        <v>Dr.Mehta</v>
      </c>
      <c r="N559" s="3" t="str">
        <f>IF(H559 &gt; (G559*50%), "Yes", "No")</f>
        <v>Yes</v>
      </c>
      <c r="O559" s="16">
        <f>G559-H559</f>
        <v>1497</v>
      </c>
      <c r="P559" s="16">
        <f>SUMIFS(O559:O559,E559:E559,"Science",F559:F559,"Completed")</f>
        <v>0</v>
      </c>
      <c r="Q559" s="3" t="str">
        <f>IF(MONTH(E559)&gt;=7, YEAR(E559)&amp;"-"&amp;YEAR(E559)+1, YEAR(E559)-1&amp;"-"&amp;YEAR(E559))</f>
        <v>2022-2023</v>
      </c>
      <c r="R559" s="3"/>
      <c r="S559" s="3"/>
      <c r="T559" s="15">
        <f t="shared" ca="1" si="8"/>
        <v>989</v>
      </c>
      <c r="U559" s="3"/>
    </row>
    <row r="560" spans="1:21" x14ac:dyDescent="0.35">
      <c r="A560" s="3" t="s">
        <v>1141</v>
      </c>
      <c r="B560" s="3" t="s">
        <v>1142</v>
      </c>
      <c r="C560" s="3" t="s">
        <v>54</v>
      </c>
      <c r="D560" s="3" t="s">
        <v>62</v>
      </c>
      <c r="E560" s="6">
        <v>44725</v>
      </c>
      <c r="F560" s="3" t="s">
        <v>14</v>
      </c>
      <c r="G560" s="3">
        <v>9704</v>
      </c>
      <c r="H560" s="3">
        <v>8153</v>
      </c>
      <c r="I560" s="3">
        <v>2.33</v>
      </c>
      <c r="J560" s="3">
        <v>101</v>
      </c>
      <c r="K560" s="15">
        <f ca="1">IF(F560="Enrolled",TODAY()-E560,"0")</f>
        <v>1329</v>
      </c>
      <c r="L560" s="3" t="str">
        <f>IF(I560&gt;=3.5,"Excellent",IF(I560&gt;=3,"Good",IF(I560&gt;=2,"Average","Poor")))</f>
        <v>Average</v>
      </c>
      <c r="M560" s="3" t="str">
        <v>Dr.Sinha</v>
      </c>
      <c r="N560" s="3" t="str">
        <f>IF(H560 &gt; (G560*50%), "Yes", "No")</f>
        <v>Yes</v>
      </c>
      <c r="O560" s="16">
        <f>G560-H560</f>
        <v>1551</v>
      </c>
      <c r="P560" s="16">
        <f>SUMIFS(O560:O560,E560:E560,"Science",F560:F560,"Completed")</f>
        <v>0</v>
      </c>
      <c r="Q560" s="3" t="str">
        <f>IF(MONTH(E560)&gt;=7, YEAR(E560)&amp;"-"&amp;YEAR(E560)+1, YEAR(E560)-1&amp;"-"&amp;YEAR(E560))</f>
        <v>2021-2022</v>
      </c>
      <c r="R560" s="3"/>
      <c r="S560" s="3"/>
      <c r="T560" s="15" t="str">
        <f t="shared" ca="1" si="8"/>
        <v>0</v>
      </c>
      <c r="U560" s="3"/>
    </row>
    <row r="561" spans="1:21" x14ac:dyDescent="0.35">
      <c r="A561" s="3" t="s">
        <v>1143</v>
      </c>
      <c r="B561" s="3" t="s">
        <v>1144</v>
      </c>
      <c r="C561" s="3" t="s">
        <v>57</v>
      </c>
      <c r="D561" s="3" t="s">
        <v>31</v>
      </c>
      <c r="E561" s="6">
        <v>44858</v>
      </c>
      <c r="F561" s="3" t="s">
        <v>14</v>
      </c>
      <c r="G561" s="3">
        <v>13578</v>
      </c>
      <c r="H561" s="3">
        <v>8755</v>
      </c>
      <c r="I561" s="3">
        <v>3.16</v>
      </c>
      <c r="J561" s="3">
        <v>33</v>
      </c>
      <c r="K561" s="15">
        <f ca="1">IF(F561="Enrolled",TODAY()-E561,"0")</f>
        <v>1196</v>
      </c>
      <c r="L561" s="3" t="str">
        <f>IF(I561&gt;=3.5,"Excellent",IF(I561&gt;=3,"Good",IF(I561&gt;=2,"Average","Poor")))</f>
        <v>Good</v>
      </c>
      <c r="M561" s="3" t="str">
        <v>Dr.Sharma</v>
      </c>
      <c r="N561" s="3" t="str">
        <f>IF(H561 &gt; (G561*50%), "Yes", "No")</f>
        <v>Yes</v>
      </c>
      <c r="O561" s="16">
        <f>G561-H561</f>
        <v>4823</v>
      </c>
      <c r="P561" s="16">
        <f>SUMIFS(O561:O561,E561:E561,"Science",F561:F561,"Completed")</f>
        <v>0</v>
      </c>
      <c r="Q561" s="3" t="str">
        <f>IF(MONTH(E561)&gt;=7, YEAR(E561)&amp;"-"&amp;YEAR(E561)+1, YEAR(E561)-1&amp;"-"&amp;YEAR(E561))</f>
        <v>2022-2023</v>
      </c>
      <c r="R561" s="3"/>
      <c r="S561" s="3"/>
      <c r="T561" s="15" t="str">
        <f t="shared" ca="1" si="8"/>
        <v>0</v>
      </c>
      <c r="U561" s="3"/>
    </row>
    <row r="562" spans="1:21" x14ac:dyDescent="0.35">
      <c r="A562" s="3" t="s">
        <v>1145</v>
      </c>
      <c r="B562" s="3" t="s">
        <v>1146</v>
      </c>
      <c r="C562" s="3" t="s">
        <v>54</v>
      </c>
      <c r="D562" s="3" t="s">
        <v>13</v>
      </c>
      <c r="E562" s="6">
        <v>44752</v>
      </c>
      <c r="F562" s="3" t="s">
        <v>39</v>
      </c>
      <c r="G562" s="3">
        <v>3192</v>
      </c>
      <c r="H562" s="3">
        <v>633</v>
      </c>
      <c r="I562" s="3">
        <v>2.71</v>
      </c>
      <c r="J562" s="3">
        <v>86</v>
      </c>
      <c r="K562" s="15" t="str">
        <f ca="1">IF(F562="Enrolled",TODAY()-E562,"0")</f>
        <v>0</v>
      </c>
      <c r="L562" s="3" t="str">
        <f>IF(I562&gt;=3.5,"Excellent",IF(I562&gt;=3,"Good",IF(I562&gt;=2,"Average","Poor")))</f>
        <v>Average</v>
      </c>
      <c r="M562" s="3" t="str">
        <v>Dr.Mehta</v>
      </c>
      <c r="N562" s="3" t="str">
        <f>IF(H562 &gt; (G562*50%), "Yes", "No")</f>
        <v>No</v>
      </c>
      <c r="O562" s="16">
        <f>G562-H562</f>
        <v>2559</v>
      </c>
      <c r="P562" s="16">
        <f>SUMIFS(O562:O562,E562:E562,"Science",F562:F562,"Completed")</f>
        <v>0</v>
      </c>
      <c r="Q562" s="3" t="str">
        <f>IF(MONTH(E562)&gt;=7, YEAR(E562)&amp;"-"&amp;YEAR(E562)+1, YEAR(E562)-1&amp;"-"&amp;YEAR(E562))</f>
        <v>2022-2023</v>
      </c>
      <c r="R562" s="3"/>
      <c r="S562" s="3"/>
      <c r="T562" s="15" t="str">
        <f t="shared" ca="1" si="8"/>
        <v>0</v>
      </c>
      <c r="U562" s="3"/>
    </row>
    <row r="563" spans="1:21" x14ac:dyDescent="0.35">
      <c r="A563" s="3" t="s">
        <v>1147</v>
      </c>
      <c r="B563" s="3" t="s">
        <v>1148</v>
      </c>
      <c r="C563" s="3" t="s">
        <v>17</v>
      </c>
      <c r="D563" s="3" t="s">
        <v>18</v>
      </c>
      <c r="E563" s="6">
        <v>45160</v>
      </c>
      <c r="F563" s="3" t="s">
        <v>14</v>
      </c>
      <c r="G563" s="3">
        <v>7449</v>
      </c>
      <c r="H563" s="3">
        <v>1118</v>
      </c>
      <c r="I563" s="3">
        <v>2.88</v>
      </c>
      <c r="J563" s="3">
        <v>77</v>
      </c>
      <c r="K563" s="15">
        <f ca="1">IF(F563="Enrolled",TODAY()-E563,"0")</f>
        <v>894</v>
      </c>
      <c r="L563" s="3" t="str">
        <f>IF(I563&gt;=3.5,"Excellent",IF(I563&gt;=3,"Good",IF(I563&gt;=2,"Average","Poor")))</f>
        <v>Average</v>
      </c>
      <c r="M563" s="3" t="str">
        <v>Dr.Roy</v>
      </c>
      <c r="N563" s="3" t="str">
        <f>IF(H563 &gt; (G563*50%), "Yes", "No")</f>
        <v>No</v>
      </c>
      <c r="O563" s="16">
        <f>G563-H563</f>
        <v>6331</v>
      </c>
      <c r="P563" s="16">
        <f>SUMIFS(O563:O563,E563:E563,"Science",F563:F563,"Completed")</f>
        <v>0</v>
      </c>
      <c r="Q563" s="3" t="str">
        <f>IF(MONTH(E563)&gt;=7, YEAR(E563)&amp;"-"&amp;YEAR(E563)+1, YEAR(E563)-1&amp;"-"&amp;YEAR(E563))</f>
        <v>2023-2024</v>
      </c>
      <c r="R563" s="3"/>
      <c r="S563" s="3"/>
      <c r="T563" s="15" t="str">
        <f t="shared" ca="1" si="8"/>
        <v>0</v>
      </c>
      <c r="U563" s="3"/>
    </row>
    <row r="564" spans="1:21" x14ac:dyDescent="0.35">
      <c r="A564" s="3" t="s">
        <v>1149</v>
      </c>
      <c r="B564" s="3" t="s">
        <v>1150</v>
      </c>
      <c r="C564" s="3" t="s">
        <v>36</v>
      </c>
      <c r="D564" s="3" t="s">
        <v>31</v>
      </c>
      <c r="E564" s="6">
        <v>45266</v>
      </c>
      <c r="F564" s="3" t="s">
        <v>14</v>
      </c>
      <c r="G564" s="3">
        <v>2638</v>
      </c>
      <c r="H564" s="3">
        <v>4498</v>
      </c>
      <c r="I564" s="3">
        <v>3</v>
      </c>
      <c r="J564" s="3">
        <v>20</v>
      </c>
      <c r="K564" s="15">
        <f ca="1">IF(F564="Enrolled",TODAY()-E564,"0")</f>
        <v>788</v>
      </c>
      <c r="L564" s="3" t="str">
        <f>IF(I564&gt;=3.5,"Excellent",IF(I564&gt;=3,"Good",IF(I564&gt;=2,"Average","Poor")))</f>
        <v>Good</v>
      </c>
      <c r="M564" s="3" t="str">
        <v>Dr.Sharma</v>
      </c>
      <c r="N564" s="3" t="str">
        <f>IF(H564 &gt; (G564*50%), "Yes", "No")</f>
        <v>Yes</v>
      </c>
      <c r="O564" s="16">
        <f>G564-H564</f>
        <v>-1860</v>
      </c>
      <c r="P564" s="16">
        <f>SUMIFS(O564:O564,E564:E564,"Science",F564:F564,"Completed")</f>
        <v>0</v>
      </c>
      <c r="Q564" s="3" t="str">
        <f>IF(MONTH(E564)&gt;=7, YEAR(E564)&amp;"-"&amp;YEAR(E564)+1, YEAR(E564)-1&amp;"-"&amp;YEAR(E564))</f>
        <v>2023-2024</v>
      </c>
      <c r="R564" s="3"/>
      <c r="S564" s="3"/>
      <c r="T564" s="15" t="str">
        <f t="shared" ca="1" si="8"/>
        <v>0</v>
      </c>
      <c r="U564" s="3"/>
    </row>
    <row r="565" spans="1:21" x14ac:dyDescent="0.35">
      <c r="A565" s="3" t="s">
        <v>1151</v>
      </c>
      <c r="B565" s="3" t="s">
        <v>1152</v>
      </c>
      <c r="C565" s="3" t="s">
        <v>25</v>
      </c>
      <c r="D565" s="3" t="s">
        <v>62</v>
      </c>
      <c r="E565" s="6">
        <v>44752</v>
      </c>
      <c r="F565" s="3" t="s">
        <v>19</v>
      </c>
      <c r="G565" s="3">
        <v>4665</v>
      </c>
      <c r="H565" s="3">
        <v>4520</v>
      </c>
      <c r="I565" s="3">
        <v>3.43</v>
      </c>
      <c r="J565" s="3">
        <v>81</v>
      </c>
      <c r="K565" s="15" t="str">
        <f ca="1">IF(F565="Enrolled",TODAY()-E565,"0")</f>
        <v>0</v>
      </c>
      <c r="L565" s="3" t="str">
        <f>IF(I565&gt;=3.5,"Excellent",IF(I565&gt;=3,"Good",IF(I565&gt;=2,"Average","Poor")))</f>
        <v>Good</v>
      </c>
      <c r="M565" s="3" t="str">
        <v>Dr.Sinha</v>
      </c>
      <c r="N565" s="3" t="str">
        <f>IF(H565 &gt; (G565*50%), "Yes", "No")</f>
        <v>Yes</v>
      </c>
      <c r="O565" s="16">
        <f>G565-H565</f>
        <v>145</v>
      </c>
      <c r="P565" s="16">
        <f>SUMIFS(O565:O565,E565:E565,"Science",F565:F565,"Completed")</f>
        <v>0</v>
      </c>
      <c r="Q565" s="3" t="str">
        <f>IF(MONTH(E565)&gt;=7, YEAR(E565)&amp;"-"&amp;YEAR(E565)+1, YEAR(E565)-1&amp;"-"&amp;YEAR(E565))</f>
        <v>2022-2023</v>
      </c>
      <c r="R565" s="3"/>
      <c r="S565" s="3"/>
      <c r="T565" s="15">
        <f t="shared" ca="1" si="8"/>
        <v>1302</v>
      </c>
      <c r="U565" s="3"/>
    </row>
    <row r="566" spans="1:21" x14ac:dyDescent="0.35">
      <c r="A566" s="3" t="s">
        <v>1153</v>
      </c>
      <c r="B566" s="3" t="s">
        <v>1154</v>
      </c>
      <c r="C566" s="3" t="s">
        <v>12</v>
      </c>
      <c r="D566" s="3" t="s">
        <v>31</v>
      </c>
      <c r="E566" s="6">
        <v>45316</v>
      </c>
      <c r="F566" s="3" t="s">
        <v>39</v>
      </c>
      <c r="G566" s="3">
        <v>6305</v>
      </c>
      <c r="H566" s="3">
        <v>7832</v>
      </c>
      <c r="I566" s="3">
        <v>3.16</v>
      </c>
      <c r="J566" s="3">
        <v>104</v>
      </c>
      <c r="K566" s="15" t="str">
        <f ca="1">IF(F566="Enrolled",TODAY()-E566,"0")</f>
        <v>0</v>
      </c>
      <c r="L566" s="3" t="str">
        <f>IF(I566&gt;=3.5,"Excellent",IF(I566&gt;=3,"Good",IF(I566&gt;=2,"Average","Poor")))</f>
        <v>Good</v>
      </c>
      <c r="M566" s="3" t="str">
        <v>Dr.Sharma</v>
      </c>
      <c r="N566" s="3" t="str">
        <f>IF(H566 &gt; (G566*50%), "Yes", "No")</f>
        <v>Yes</v>
      </c>
      <c r="O566" s="16">
        <f>G566-H566</f>
        <v>-1527</v>
      </c>
      <c r="P566" s="16">
        <f>SUMIFS(O566:O566,E566:E566,"Science",F566:F566,"Completed")</f>
        <v>0</v>
      </c>
      <c r="Q566" s="3" t="str">
        <f>IF(MONTH(E566)&gt;=7, YEAR(E566)&amp;"-"&amp;YEAR(E566)+1, YEAR(E566)-1&amp;"-"&amp;YEAR(E566))</f>
        <v>2023-2024</v>
      </c>
      <c r="R566" s="3"/>
      <c r="S566" s="3"/>
      <c r="T566" s="15" t="str">
        <f t="shared" ca="1" si="8"/>
        <v>0</v>
      </c>
      <c r="U566" s="3"/>
    </row>
    <row r="567" spans="1:21" x14ac:dyDescent="0.35">
      <c r="A567" s="3" t="s">
        <v>1155</v>
      </c>
      <c r="B567" s="3" t="s">
        <v>1156</v>
      </c>
      <c r="C567" s="3" t="s">
        <v>12</v>
      </c>
      <c r="D567" s="3" t="s">
        <v>13</v>
      </c>
      <c r="E567" s="6">
        <v>44919</v>
      </c>
      <c r="F567" s="3" t="s">
        <v>14</v>
      </c>
      <c r="G567" s="3">
        <v>5186</v>
      </c>
      <c r="H567" s="3">
        <v>2277</v>
      </c>
      <c r="I567" s="3">
        <v>2.34</v>
      </c>
      <c r="J567" s="3">
        <v>3</v>
      </c>
      <c r="K567" s="15">
        <f ca="1">IF(F567="Enrolled",TODAY()-E567,"0")</f>
        <v>1135</v>
      </c>
      <c r="L567" s="3" t="str">
        <f>IF(I567&gt;=3.5,"Excellent",IF(I567&gt;=3,"Good",IF(I567&gt;=2,"Average","Poor")))</f>
        <v>Average</v>
      </c>
      <c r="M567" s="3" t="str">
        <v>Dr.Mehta</v>
      </c>
      <c r="N567" s="3" t="str">
        <f>IF(H567 &gt; (G567*50%), "Yes", "No")</f>
        <v>No</v>
      </c>
      <c r="O567" s="16">
        <f>G567-H567</f>
        <v>2909</v>
      </c>
      <c r="P567" s="16">
        <f>SUMIFS(O567:O567,E567:E567,"Science",F567:F567,"Completed")</f>
        <v>0</v>
      </c>
      <c r="Q567" s="3" t="str">
        <f>IF(MONTH(E567)&gt;=7, YEAR(E567)&amp;"-"&amp;YEAR(E567)+1, YEAR(E567)-1&amp;"-"&amp;YEAR(E567))</f>
        <v>2022-2023</v>
      </c>
      <c r="R567" s="3"/>
      <c r="S567" s="3"/>
      <c r="T567" s="15" t="str">
        <f t="shared" ca="1" si="8"/>
        <v>0</v>
      </c>
      <c r="U567" s="3"/>
    </row>
    <row r="568" spans="1:21" x14ac:dyDescent="0.35">
      <c r="A568" s="3" t="s">
        <v>1157</v>
      </c>
      <c r="B568" s="3" t="s">
        <v>1158</v>
      </c>
      <c r="C568" s="3" t="s">
        <v>25</v>
      </c>
      <c r="D568" s="3" t="s">
        <v>62</v>
      </c>
      <c r="E568" s="6">
        <v>44772</v>
      </c>
      <c r="F568" s="3" t="s">
        <v>39</v>
      </c>
      <c r="G568" s="3">
        <v>11323</v>
      </c>
      <c r="H568" s="3">
        <v>9086</v>
      </c>
      <c r="I568" s="3">
        <v>3.11</v>
      </c>
      <c r="J568" s="3">
        <v>89</v>
      </c>
      <c r="K568" s="15" t="str">
        <f ca="1">IF(F568="Enrolled",TODAY()-E568,"0")</f>
        <v>0</v>
      </c>
      <c r="L568" s="3" t="str">
        <f>IF(I568&gt;=3.5,"Excellent",IF(I568&gt;=3,"Good",IF(I568&gt;=2,"Average","Poor")))</f>
        <v>Good</v>
      </c>
      <c r="M568" s="3" t="str">
        <v>Dr.Sinha</v>
      </c>
      <c r="N568" s="3" t="str">
        <f>IF(H568 &gt; (G568*50%), "Yes", "No")</f>
        <v>Yes</v>
      </c>
      <c r="O568" s="16">
        <f>G568-H568</f>
        <v>2237</v>
      </c>
      <c r="P568" s="16">
        <f>SUMIFS(O568:O568,E568:E568,"Science",F568:F568,"Completed")</f>
        <v>0</v>
      </c>
      <c r="Q568" s="3" t="str">
        <f>IF(MONTH(E568)&gt;=7, YEAR(E568)&amp;"-"&amp;YEAR(E568)+1, YEAR(E568)-1&amp;"-"&amp;YEAR(E568))</f>
        <v>2022-2023</v>
      </c>
      <c r="R568" s="3"/>
      <c r="S568" s="3"/>
      <c r="T568" s="15" t="str">
        <f t="shared" ca="1" si="8"/>
        <v>0</v>
      </c>
      <c r="U568" s="3"/>
    </row>
    <row r="569" spans="1:21" x14ac:dyDescent="0.35">
      <c r="A569" s="3" t="s">
        <v>1159</v>
      </c>
      <c r="B569" s="3" t="s">
        <v>1160</v>
      </c>
      <c r="C569" s="3" t="s">
        <v>54</v>
      </c>
      <c r="D569" s="3" t="s">
        <v>62</v>
      </c>
      <c r="E569" s="6">
        <v>44755</v>
      </c>
      <c r="F569" s="3" t="s">
        <v>14</v>
      </c>
      <c r="G569" s="3">
        <v>6456</v>
      </c>
      <c r="H569" s="3">
        <v>5205</v>
      </c>
      <c r="I569" s="3">
        <v>3.71</v>
      </c>
      <c r="J569" s="3">
        <v>15</v>
      </c>
      <c r="K569" s="15">
        <f ca="1">IF(F569="Enrolled",TODAY()-E569,"0")</f>
        <v>1299</v>
      </c>
      <c r="L569" s="3" t="str">
        <f>IF(I569&gt;=3.5,"Excellent",IF(I569&gt;=3,"Good",IF(I569&gt;=2,"Average","Poor")))</f>
        <v>Excellent</v>
      </c>
      <c r="M569" s="3" t="str">
        <v>Dr.Sinha</v>
      </c>
      <c r="N569" s="3" t="str">
        <f>IF(H569 &gt; (G569*50%), "Yes", "No")</f>
        <v>Yes</v>
      </c>
      <c r="O569" s="16">
        <f>G569-H569</f>
        <v>1251</v>
      </c>
      <c r="P569" s="16">
        <f>SUMIFS(O569:O569,E569:E569,"Science",F569:F569,"Completed")</f>
        <v>0</v>
      </c>
      <c r="Q569" s="3" t="str">
        <f>IF(MONTH(E569)&gt;=7, YEAR(E569)&amp;"-"&amp;YEAR(E569)+1, YEAR(E569)-1&amp;"-"&amp;YEAR(E569))</f>
        <v>2022-2023</v>
      </c>
      <c r="R569" s="3"/>
      <c r="S569" s="3"/>
      <c r="T569" s="15" t="str">
        <f t="shared" ca="1" si="8"/>
        <v>0</v>
      </c>
      <c r="U569" s="3"/>
    </row>
    <row r="570" spans="1:21" x14ac:dyDescent="0.35">
      <c r="A570" s="3" t="s">
        <v>1161</v>
      </c>
      <c r="B570" s="3" t="s">
        <v>1162</v>
      </c>
      <c r="C570" s="3" t="s">
        <v>25</v>
      </c>
      <c r="D570" s="3" t="s">
        <v>62</v>
      </c>
      <c r="E570" s="6">
        <v>44824</v>
      </c>
      <c r="F570" s="3" t="s">
        <v>19</v>
      </c>
      <c r="G570" s="3">
        <v>3925</v>
      </c>
      <c r="H570" s="3">
        <v>5671</v>
      </c>
      <c r="I570" s="3">
        <v>2.15</v>
      </c>
      <c r="J570" s="3">
        <v>95</v>
      </c>
      <c r="K570" s="15" t="str">
        <f ca="1">IF(F570="Enrolled",TODAY()-E570,"0")</f>
        <v>0</v>
      </c>
      <c r="L570" s="3" t="str">
        <f>IF(I570&gt;=3.5,"Excellent",IF(I570&gt;=3,"Good",IF(I570&gt;=2,"Average","Poor")))</f>
        <v>Average</v>
      </c>
      <c r="M570" s="3" t="str">
        <v>Dr.Sinha</v>
      </c>
      <c r="N570" s="3" t="str">
        <f>IF(H570 &gt; (G570*50%), "Yes", "No")</f>
        <v>Yes</v>
      </c>
      <c r="O570" s="16">
        <f>G570-H570</f>
        <v>-1746</v>
      </c>
      <c r="P570" s="16">
        <f>SUMIFS(O570:O570,E570:E570,"Science",F570:F570,"Completed")</f>
        <v>0</v>
      </c>
      <c r="Q570" s="3" t="str">
        <f>IF(MONTH(E570)&gt;=7, YEAR(E570)&amp;"-"&amp;YEAR(E570)+1, YEAR(E570)-1&amp;"-"&amp;YEAR(E570))</f>
        <v>2022-2023</v>
      </c>
      <c r="R570" s="3"/>
      <c r="S570" s="3"/>
      <c r="T570" s="15">
        <f t="shared" ca="1" si="8"/>
        <v>1230</v>
      </c>
      <c r="U570" s="3"/>
    </row>
    <row r="571" spans="1:21" x14ac:dyDescent="0.35">
      <c r="A571" s="3" t="s">
        <v>1163</v>
      </c>
      <c r="B571" s="3" t="s">
        <v>1164</v>
      </c>
      <c r="C571" s="3" t="s">
        <v>22</v>
      </c>
      <c r="D571" s="3" t="s">
        <v>31</v>
      </c>
      <c r="E571" s="6">
        <v>45203</v>
      </c>
      <c r="F571" s="3" t="s">
        <v>14</v>
      </c>
      <c r="G571" s="3">
        <v>11329</v>
      </c>
      <c r="H571" s="3">
        <v>5904</v>
      </c>
      <c r="I571" s="3">
        <v>2.35</v>
      </c>
      <c r="J571" s="3">
        <v>35</v>
      </c>
      <c r="K571" s="15">
        <f ca="1">IF(F571="Enrolled",TODAY()-E571,"0")</f>
        <v>851</v>
      </c>
      <c r="L571" s="3" t="str">
        <f>IF(I571&gt;=3.5,"Excellent",IF(I571&gt;=3,"Good",IF(I571&gt;=2,"Average","Poor")))</f>
        <v>Average</v>
      </c>
      <c r="M571" s="3" t="str">
        <v>Dr.Sharma</v>
      </c>
      <c r="N571" s="3" t="str">
        <f>IF(H571 &gt; (G571*50%), "Yes", "No")</f>
        <v>Yes</v>
      </c>
      <c r="O571" s="16">
        <f>G571-H571</f>
        <v>5425</v>
      </c>
      <c r="P571" s="16">
        <f>SUMIFS(O571:O571,E571:E571,"Science",F571:F571,"Completed")</f>
        <v>0</v>
      </c>
      <c r="Q571" s="3" t="str">
        <f>IF(MONTH(E571)&gt;=7, YEAR(E571)&amp;"-"&amp;YEAR(E571)+1, YEAR(E571)-1&amp;"-"&amp;YEAR(E571))</f>
        <v>2023-2024</v>
      </c>
      <c r="R571" s="3"/>
      <c r="S571" s="3"/>
      <c r="T571" s="15" t="str">
        <f t="shared" ca="1" si="8"/>
        <v>0</v>
      </c>
      <c r="U571" s="3"/>
    </row>
    <row r="572" spans="1:21" x14ac:dyDescent="0.35">
      <c r="A572" s="3" t="s">
        <v>1165</v>
      </c>
      <c r="B572" s="3" t="s">
        <v>1166</v>
      </c>
      <c r="C572" s="3" t="s">
        <v>54</v>
      </c>
      <c r="D572" s="3" t="s">
        <v>62</v>
      </c>
      <c r="E572" s="6">
        <v>45368</v>
      </c>
      <c r="F572" s="3" t="s">
        <v>14</v>
      </c>
      <c r="G572" s="3">
        <v>5357</v>
      </c>
      <c r="H572" s="3">
        <v>1523</v>
      </c>
      <c r="I572" s="3">
        <v>3.96</v>
      </c>
      <c r="J572" s="3">
        <v>23</v>
      </c>
      <c r="K572" s="15">
        <f ca="1">IF(F572="Enrolled",TODAY()-E572,"0")</f>
        <v>686</v>
      </c>
      <c r="L572" s="3" t="str">
        <f>IF(I572&gt;=3.5,"Excellent",IF(I572&gt;=3,"Good",IF(I572&gt;=2,"Average","Poor")))</f>
        <v>Excellent</v>
      </c>
      <c r="M572" s="3" t="str">
        <v>Dr.Sinha</v>
      </c>
      <c r="N572" s="3" t="str">
        <f>IF(H572 &gt; (G572*50%), "Yes", "No")</f>
        <v>No</v>
      </c>
      <c r="O572" s="16">
        <f>G572-H572</f>
        <v>3834</v>
      </c>
      <c r="P572" s="16">
        <f>SUMIFS(O572:O572,E572:E572,"Science",F572:F572,"Completed")</f>
        <v>0</v>
      </c>
      <c r="Q572" s="3" t="str">
        <f>IF(MONTH(E572)&gt;=7, YEAR(E572)&amp;"-"&amp;YEAR(E572)+1, YEAR(E572)-1&amp;"-"&amp;YEAR(E572))</f>
        <v>2023-2024</v>
      </c>
      <c r="R572" s="3"/>
      <c r="S572" s="3"/>
      <c r="T572" s="15" t="str">
        <f t="shared" ca="1" si="8"/>
        <v>0</v>
      </c>
      <c r="U572" s="3"/>
    </row>
    <row r="573" spans="1:21" x14ac:dyDescent="0.35">
      <c r="A573" s="3" t="s">
        <v>1167</v>
      </c>
      <c r="B573" s="3" t="s">
        <v>1168</v>
      </c>
      <c r="C573" s="3" t="s">
        <v>22</v>
      </c>
      <c r="D573" s="3" t="s">
        <v>13</v>
      </c>
      <c r="E573" s="6">
        <v>45088</v>
      </c>
      <c r="F573" s="3" t="s">
        <v>19</v>
      </c>
      <c r="G573" s="3">
        <v>10853</v>
      </c>
      <c r="H573" s="3">
        <v>5377</v>
      </c>
      <c r="I573" s="3">
        <v>3.52</v>
      </c>
      <c r="J573" s="3">
        <v>12</v>
      </c>
      <c r="K573" s="15" t="str">
        <f ca="1">IF(F573="Enrolled",TODAY()-E573,"0")</f>
        <v>0</v>
      </c>
      <c r="L573" s="3" t="str">
        <f>IF(I573&gt;=3.5,"Excellent",IF(I573&gt;=3,"Good",IF(I573&gt;=2,"Average","Poor")))</f>
        <v>Excellent</v>
      </c>
      <c r="M573" s="3" t="str">
        <v>Dr.Mehta</v>
      </c>
      <c r="N573" s="3" t="str">
        <f>IF(H573 &gt; (G573*50%), "Yes", "No")</f>
        <v>No</v>
      </c>
      <c r="O573" s="16">
        <f>G573-H573</f>
        <v>5476</v>
      </c>
      <c r="P573" s="16">
        <f>SUMIFS(O573:O573,E573:E573,"Science",F573:F573,"Completed")</f>
        <v>0</v>
      </c>
      <c r="Q573" s="3" t="str">
        <f>IF(MONTH(E573)&gt;=7, YEAR(E573)&amp;"-"&amp;YEAR(E573)+1, YEAR(E573)-1&amp;"-"&amp;YEAR(E573))</f>
        <v>2022-2023</v>
      </c>
      <c r="R573" s="3"/>
      <c r="S573" s="3"/>
      <c r="T573" s="15">
        <f t="shared" ca="1" si="8"/>
        <v>966</v>
      </c>
      <c r="U573" s="3"/>
    </row>
    <row r="574" spans="1:21" x14ac:dyDescent="0.35">
      <c r="A574" s="3" t="s">
        <v>1169</v>
      </c>
      <c r="B574" s="3" t="s">
        <v>1170</v>
      </c>
      <c r="C574" s="3" t="s">
        <v>17</v>
      </c>
      <c r="D574" s="3" t="s">
        <v>13</v>
      </c>
      <c r="E574" s="6">
        <v>45362</v>
      </c>
      <c r="F574" s="3" t="s">
        <v>19</v>
      </c>
      <c r="G574" s="3">
        <v>3136</v>
      </c>
      <c r="H574" s="3">
        <v>1799</v>
      </c>
      <c r="I574" s="3">
        <v>3.99</v>
      </c>
      <c r="J574" s="3">
        <v>94</v>
      </c>
      <c r="K574" s="15" t="str">
        <f ca="1">IF(F574="Enrolled",TODAY()-E574,"0")</f>
        <v>0</v>
      </c>
      <c r="L574" s="3" t="str">
        <f>IF(I574&gt;=3.5,"Excellent",IF(I574&gt;=3,"Good",IF(I574&gt;=2,"Average","Poor")))</f>
        <v>Excellent</v>
      </c>
      <c r="M574" s="3" t="str">
        <v>Dr.Mehta</v>
      </c>
      <c r="N574" s="3" t="str">
        <f>IF(H574 &gt; (G574*50%), "Yes", "No")</f>
        <v>Yes</v>
      </c>
      <c r="O574" s="16">
        <f>G574-H574</f>
        <v>1337</v>
      </c>
      <c r="P574" s="16">
        <f>SUMIFS(O574:O574,E574:E574,"Science",F574:F574,"Completed")</f>
        <v>0</v>
      </c>
      <c r="Q574" s="3" t="str">
        <f>IF(MONTH(E574)&gt;=7, YEAR(E574)&amp;"-"&amp;YEAR(E574)+1, YEAR(E574)-1&amp;"-"&amp;YEAR(E574))</f>
        <v>2023-2024</v>
      </c>
      <c r="R574" s="3"/>
      <c r="S574" s="3"/>
      <c r="T574" s="15">
        <f t="shared" ca="1" si="8"/>
        <v>692</v>
      </c>
      <c r="U574" s="3"/>
    </row>
    <row r="575" spans="1:21" x14ac:dyDescent="0.35">
      <c r="A575" s="3" t="s">
        <v>1171</v>
      </c>
      <c r="B575" s="3" t="s">
        <v>1172</v>
      </c>
      <c r="C575" s="3" t="s">
        <v>22</v>
      </c>
      <c r="D575" s="3" t="s">
        <v>13</v>
      </c>
      <c r="E575" s="6">
        <v>45323</v>
      </c>
      <c r="F575" s="3" t="s">
        <v>14</v>
      </c>
      <c r="G575" s="3">
        <v>12521</v>
      </c>
      <c r="H575" s="3">
        <v>6705</v>
      </c>
      <c r="I575" s="3">
        <v>2.34</v>
      </c>
      <c r="J575" s="3">
        <v>105</v>
      </c>
      <c r="K575" s="15">
        <f ca="1">IF(F575="Enrolled",TODAY()-E575,"0")</f>
        <v>731</v>
      </c>
      <c r="L575" s="3" t="str">
        <f>IF(I575&gt;=3.5,"Excellent",IF(I575&gt;=3,"Good",IF(I575&gt;=2,"Average","Poor")))</f>
        <v>Average</v>
      </c>
      <c r="M575" s="3" t="str">
        <v>Dr.Mehta</v>
      </c>
      <c r="N575" s="3" t="str">
        <f>IF(H575 &gt; (G575*50%), "Yes", "No")</f>
        <v>Yes</v>
      </c>
      <c r="O575" s="16">
        <f>G575-H575</f>
        <v>5816</v>
      </c>
      <c r="P575" s="16">
        <f>SUMIFS(O575:O575,E575:E575,"Science",F575:F575,"Completed")</f>
        <v>0</v>
      </c>
      <c r="Q575" s="3" t="str">
        <f>IF(MONTH(E575)&gt;=7, YEAR(E575)&amp;"-"&amp;YEAR(E575)+1, YEAR(E575)-1&amp;"-"&amp;YEAR(E575))</f>
        <v>2023-2024</v>
      </c>
      <c r="R575" s="3"/>
      <c r="S575" s="3"/>
      <c r="T575" s="15" t="str">
        <f t="shared" ca="1" si="8"/>
        <v>0</v>
      </c>
      <c r="U575" s="3"/>
    </row>
    <row r="576" spans="1:21" x14ac:dyDescent="0.35">
      <c r="A576" s="3" t="s">
        <v>1173</v>
      </c>
      <c r="B576" s="3" t="s">
        <v>1174</v>
      </c>
      <c r="C576" s="3" t="s">
        <v>22</v>
      </c>
      <c r="D576" s="3" t="s">
        <v>18</v>
      </c>
      <c r="E576" s="6">
        <v>45078</v>
      </c>
      <c r="F576" s="3" t="s">
        <v>14</v>
      </c>
      <c r="G576" s="3">
        <v>8123</v>
      </c>
      <c r="H576" s="3">
        <v>7824</v>
      </c>
      <c r="I576" s="3">
        <v>2.29</v>
      </c>
      <c r="J576" s="3">
        <v>5</v>
      </c>
      <c r="K576" s="15">
        <f ca="1">IF(F576="Enrolled",TODAY()-E576,"0")</f>
        <v>976</v>
      </c>
      <c r="L576" s="3" t="str">
        <f>IF(I576&gt;=3.5,"Excellent",IF(I576&gt;=3,"Good",IF(I576&gt;=2,"Average","Poor")))</f>
        <v>Average</v>
      </c>
      <c r="M576" s="3" t="str">
        <v>Dr.Roy</v>
      </c>
      <c r="N576" s="3" t="str">
        <f>IF(H576 &gt; (G576*50%), "Yes", "No")</f>
        <v>Yes</v>
      </c>
      <c r="O576" s="16">
        <f>G576-H576</f>
        <v>299</v>
      </c>
      <c r="P576" s="16">
        <f>SUMIFS(O576:O576,E576:E576,"Science",F576:F576,"Completed")</f>
        <v>0</v>
      </c>
      <c r="Q576" s="3" t="str">
        <f>IF(MONTH(E576)&gt;=7, YEAR(E576)&amp;"-"&amp;YEAR(E576)+1, YEAR(E576)-1&amp;"-"&amp;YEAR(E576))</f>
        <v>2022-2023</v>
      </c>
      <c r="R576" s="3"/>
      <c r="S576" s="3"/>
      <c r="T576" s="15" t="str">
        <f t="shared" ca="1" si="8"/>
        <v>0</v>
      </c>
      <c r="U576" s="3"/>
    </row>
    <row r="577" spans="1:21" x14ac:dyDescent="0.35">
      <c r="A577" s="3" t="s">
        <v>1175</v>
      </c>
      <c r="B577" s="3" t="s">
        <v>1176</v>
      </c>
      <c r="C577" s="3" t="s">
        <v>28</v>
      </c>
      <c r="D577" s="3" t="s">
        <v>62</v>
      </c>
      <c r="E577" s="6">
        <v>45007</v>
      </c>
      <c r="F577" s="3" t="s">
        <v>14</v>
      </c>
      <c r="G577" s="3">
        <v>11134</v>
      </c>
      <c r="H577" s="3">
        <v>8004</v>
      </c>
      <c r="I577" s="3">
        <v>2.4500000000000002</v>
      </c>
      <c r="J577" s="3">
        <v>67</v>
      </c>
      <c r="K577" s="15">
        <f ca="1">IF(F577="Enrolled",TODAY()-E577,"0")</f>
        <v>1047</v>
      </c>
      <c r="L577" s="3" t="str">
        <f>IF(I577&gt;=3.5,"Excellent",IF(I577&gt;=3,"Good",IF(I577&gt;=2,"Average","Poor")))</f>
        <v>Average</v>
      </c>
      <c r="M577" s="3" t="str">
        <v>Dr.Sinha</v>
      </c>
      <c r="N577" s="3" t="str">
        <f>IF(H577 &gt; (G577*50%), "Yes", "No")</f>
        <v>Yes</v>
      </c>
      <c r="O577" s="16">
        <f>G577-H577</f>
        <v>3130</v>
      </c>
      <c r="P577" s="16">
        <f>SUMIFS(O577:O577,E577:E577,"Science",F577:F577,"Completed")</f>
        <v>0</v>
      </c>
      <c r="Q577" s="3" t="str">
        <f>IF(MONTH(E577)&gt;=7, YEAR(E577)&amp;"-"&amp;YEAR(E577)+1, YEAR(E577)-1&amp;"-"&amp;YEAR(E577))</f>
        <v>2022-2023</v>
      </c>
      <c r="R577" s="3"/>
      <c r="S577" s="3"/>
      <c r="T577" s="15" t="str">
        <f t="shared" ca="1" si="8"/>
        <v>0</v>
      </c>
      <c r="U577" s="3"/>
    </row>
    <row r="578" spans="1:21" x14ac:dyDescent="0.35">
      <c r="A578" s="3" t="s">
        <v>1177</v>
      </c>
      <c r="B578" s="3" t="s">
        <v>1178</v>
      </c>
      <c r="C578" s="3" t="s">
        <v>36</v>
      </c>
      <c r="D578" s="3" t="s">
        <v>62</v>
      </c>
      <c r="E578" s="6">
        <v>45328</v>
      </c>
      <c r="F578" s="3" t="s">
        <v>19</v>
      </c>
      <c r="G578" s="3">
        <v>5281</v>
      </c>
      <c r="H578" s="3">
        <v>602</v>
      </c>
      <c r="I578" s="3">
        <v>2.7</v>
      </c>
      <c r="J578" s="3">
        <v>20</v>
      </c>
      <c r="K578" s="15" t="str">
        <f ca="1">IF(F578="Enrolled",TODAY()-E578,"0")</f>
        <v>0</v>
      </c>
      <c r="L578" s="3" t="str">
        <f>IF(I578&gt;=3.5,"Excellent",IF(I578&gt;=3,"Good",IF(I578&gt;=2,"Average","Poor")))</f>
        <v>Average</v>
      </c>
      <c r="M578" s="3" t="str">
        <v>Dr.Sinha</v>
      </c>
      <c r="N578" s="3" t="str">
        <f>IF(H578 &gt; (G578*50%), "Yes", "No")</f>
        <v>No</v>
      </c>
      <c r="O578" s="16">
        <f>G578-H578</f>
        <v>4679</v>
      </c>
      <c r="P578" s="16">
        <f>SUMIFS(O578:O578,E578:E578,"Science",F578:F578,"Completed")</f>
        <v>0</v>
      </c>
      <c r="Q578" s="3" t="str">
        <f>IF(MONTH(E578)&gt;=7, YEAR(E578)&amp;"-"&amp;YEAR(E578)+1, YEAR(E578)-1&amp;"-"&amp;YEAR(E578))</f>
        <v>2023-2024</v>
      </c>
      <c r="R578" s="3"/>
      <c r="S578" s="3"/>
      <c r="T578" s="15">
        <f t="shared" ca="1" si="8"/>
        <v>726</v>
      </c>
      <c r="U578" s="3"/>
    </row>
    <row r="579" spans="1:21" x14ac:dyDescent="0.35">
      <c r="A579" s="3" t="s">
        <v>1179</v>
      </c>
      <c r="B579" s="3" t="s">
        <v>1180</v>
      </c>
      <c r="C579" s="3" t="s">
        <v>25</v>
      </c>
      <c r="D579" s="3" t="s">
        <v>18</v>
      </c>
      <c r="E579" s="6">
        <v>45051</v>
      </c>
      <c r="F579" s="3" t="s">
        <v>14</v>
      </c>
      <c r="G579" s="3">
        <v>6006</v>
      </c>
      <c r="H579" s="3">
        <v>3641</v>
      </c>
      <c r="I579" s="3">
        <v>3.61</v>
      </c>
      <c r="J579" s="3">
        <v>28</v>
      </c>
      <c r="K579" s="15">
        <f ca="1">IF(F579="Enrolled",TODAY()-E579,"0")</f>
        <v>1003</v>
      </c>
      <c r="L579" s="3" t="str">
        <f>IF(I579&gt;=3.5,"Excellent",IF(I579&gt;=3,"Good",IF(I579&gt;=2,"Average","Poor")))</f>
        <v>Excellent</v>
      </c>
      <c r="M579" s="3" t="str">
        <v>Dr.Roy</v>
      </c>
      <c r="N579" s="3" t="str">
        <f>IF(H579 &gt; (G579*50%), "Yes", "No")</f>
        <v>Yes</v>
      </c>
      <c r="O579" s="16">
        <f>G579-H579</f>
        <v>2365</v>
      </c>
      <c r="P579" s="16">
        <f>SUMIFS(O579:O579,E579:E579,"Science",F579:F579,"Completed")</f>
        <v>0</v>
      </c>
      <c r="Q579" s="3" t="str">
        <f>IF(MONTH(E579)&gt;=7, YEAR(E579)&amp;"-"&amp;YEAR(E579)+1, YEAR(E579)-1&amp;"-"&amp;YEAR(E579))</f>
        <v>2022-2023</v>
      </c>
      <c r="R579" s="3"/>
      <c r="S579" s="3"/>
      <c r="T579" s="15" t="str">
        <f t="shared" ref="T579:T642" ca="1" si="9">IF(F579="Completed",TODAY()-E579,"0")</f>
        <v>0</v>
      </c>
      <c r="U579" s="3"/>
    </row>
    <row r="580" spans="1:21" x14ac:dyDescent="0.35">
      <c r="A580" s="3" t="s">
        <v>1181</v>
      </c>
      <c r="B580" s="3" t="s">
        <v>1182</v>
      </c>
      <c r="C580" s="3" t="s">
        <v>28</v>
      </c>
      <c r="D580" s="3" t="s">
        <v>62</v>
      </c>
      <c r="E580" s="6">
        <v>45333</v>
      </c>
      <c r="F580" s="3" t="s">
        <v>14</v>
      </c>
      <c r="G580" s="3">
        <v>12212</v>
      </c>
      <c r="H580" s="3">
        <v>8831</v>
      </c>
      <c r="I580" s="3">
        <v>2.0499999999999998</v>
      </c>
      <c r="J580" s="3">
        <v>69</v>
      </c>
      <c r="K580" s="15">
        <f ca="1">IF(F580="Enrolled",TODAY()-E580,"0")</f>
        <v>721</v>
      </c>
      <c r="L580" s="3" t="str">
        <f>IF(I580&gt;=3.5,"Excellent",IF(I580&gt;=3,"Good",IF(I580&gt;=2,"Average","Poor")))</f>
        <v>Average</v>
      </c>
      <c r="M580" s="3" t="str">
        <v>Dr.Sinha</v>
      </c>
      <c r="N580" s="3" t="str">
        <f>IF(H580 &gt; (G580*50%), "Yes", "No")</f>
        <v>Yes</v>
      </c>
      <c r="O580" s="16">
        <f>G580-H580</f>
        <v>3381</v>
      </c>
      <c r="P580" s="16">
        <f>SUMIFS(O580:O580,E580:E580,"Science",F580:F580,"Completed")</f>
        <v>0</v>
      </c>
      <c r="Q580" s="3" t="str">
        <f>IF(MONTH(E580)&gt;=7, YEAR(E580)&amp;"-"&amp;YEAR(E580)+1, YEAR(E580)-1&amp;"-"&amp;YEAR(E580))</f>
        <v>2023-2024</v>
      </c>
      <c r="R580" s="3"/>
      <c r="S580" s="3"/>
      <c r="T580" s="15" t="str">
        <f t="shared" ca="1" si="9"/>
        <v>0</v>
      </c>
      <c r="U580" s="3"/>
    </row>
    <row r="581" spans="1:21" x14ac:dyDescent="0.35">
      <c r="A581" s="3" t="s">
        <v>1183</v>
      </c>
      <c r="B581" s="3" t="s">
        <v>1184</v>
      </c>
      <c r="C581" s="3" t="s">
        <v>28</v>
      </c>
      <c r="D581" s="3" t="s">
        <v>62</v>
      </c>
      <c r="E581" s="6">
        <v>45380</v>
      </c>
      <c r="F581" s="3" t="s">
        <v>14</v>
      </c>
      <c r="G581" s="3">
        <v>6847</v>
      </c>
      <c r="H581" s="3">
        <v>6140</v>
      </c>
      <c r="I581" s="3">
        <v>3.94</v>
      </c>
      <c r="J581" s="3">
        <v>49</v>
      </c>
      <c r="K581" s="15">
        <f ca="1">IF(F581="Enrolled",TODAY()-E581,"0")</f>
        <v>674</v>
      </c>
      <c r="L581" s="3" t="str">
        <f>IF(I581&gt;=3.5,"Excellent",IF(I581&gt;=3,"Good",IF(I581&gt;=2,"Average","Poor")))</f>
        <v>Excellent</v>
      </c>
      <c r="M581" s="3" t="str">
        <v>Dr.Sinha</v>
      </c>
      <c r="N581" s="3" t="str">
        <f>IF(H581 &gt; (G581*50%), "Yes", "No")</f>
        <v>Yes</v>
      </c>
      <c r="O581" s="16">
        <f>G581-H581</f>
        <v>707</v>
      </c>
      <c r="P581" s="16">
        <f>SUMIFS(O581:O581,E581:E581,"Science",F581:F581,"Completed")</f>
        <v>0</v>
      </c>
      <c r="Q581" s="3" t="str">
        <f>IF(MONTH(E581)&gt;=7, YEAR(E581)&amp;"-"&amp;YEAR(E581)+1, YEAR(E581)-1&amp;"-"&amp;YEAR(E581))</f>
        <v>2023-2024</v>
      </c>
      <c r="R581" s="3"/>
      <c r="S581" s="3"/>
      <c r="T581" s="15" t="str">
        <f t="shared" ca="1" si="9"/>
        <v>0</v>
      </c>
      <c r="U581" s="3"/>
    </row>
    <row r="582" spans="1:21" x14ac:dyDescent="0.35">
      <c r="A582" s="3" t="s">
        <v>1185</v>
      </c>
      <c r="B582" s="3" t="s">
        <v>1186</v>
      </c>
      <c r="C582" s="3" t="s">
        <v>12</v>
      </c>
      <c r="D582" s="3" t="s">
        <v>13</v>
      </c>
      <c r="E582" s="6">
        <v>45268</v>
      </c>
      <c r="F582" s="3" t="s">
        <v>14</v>
      </c>
      <c r="G582" s="3">
        <v>6408</v>
      </c>
      <c r="H582" s="3">
        <v>6290</v>
      </c>
      <c r="I582" s="3">
        <v>2.67</v>
      </c>
      <c r="J582" s="3">
        <v>110</v>
      </c>
      <c r="K582" s="15">
        <f ca="1">IF(F582="Enrolled",TODAY()-E582,"0")</f>
        <v>786</v>
      </c>
      <c r="L582" s="3" t="str">
        <f>IF(I582&gt;=3.5,"Excellent",IF(I582&gt;=3,"Good",IF(I582&gt;=2,"Average","Poor")))</f>
        <v>Average</v>
      </c>
      <c r="M582" s="3" t="str">
        <v>Dr.Mehta</v>
      </c>
      <c r="N582" s="3" t="str">
        <f>IF(H582 &gt; (G582*50%), "Yes", "No")</f>
        <v>Yes</v>
      </c>
      <c r="O582" s="16">
        <f>G582-H582</f>
        <v>118</v>
      </c>
      <c r="P582" s="16">
        <f>SUMIFS(O582:O582,E582:E582,"Science",F582:F582,"Completed")</f>
        <v>0</v>
      </c>
      <c r="Q582" s="3" t="str">
        <f>IF(MONTH(E582)&gt;=7, YEAR(E582)&amp;"-"&amp;YEAR(E582)+1, YEAR(E582)-1&amp;"-"&amp;YEAR(E582))</f>
        <v>2023-2024</v>
      </c>
      <c r="R582" s="3"/>
      <c r="S582" s="3"/>
      <c r="T582" s="15" t="str">
        <f t="shared" ca="1" si="9"/>
        <v>0</v>
      </c>
      <c r="U582" s="3"/>
    </row>
    <row r="583" spans="1:21" x14ac:dyDescent="0.35">
      <c r="A583" s="3" t="s">
        <v>1187</v>
      </c>
      <c r="B583" s="3" t="s">
        <v>1188</v>
      </c>
      <c r="C583" s="3" t="s">
        <v>12</v>
      </c>
      <c r="D583" s="3" t="s">
        <v>31</v>
      </c>
      <c r="E583" s="6">
        <v>44846</v>
      </c>
      <c r="F583" s="3" t="s">
        <v>19</v>
      </c>
      <c r="G583" s="3">
        <v>6458</v>
      </c>
      <c r="H583" s="3">
        <v>6091</v>
      </c>
      <c r="I583" s="3">
        <v>3.39</v>
      </c>
      <c r="J583" s="3">
        <v>52</v>
      </c>
      <c r="K583" s="15" t="str">
        <f ca="1">IF(F583="Enrolled",TODAY()-E583,"0")</f>
        <v>0</v>
      </c>
      <c r="L583" s="3" t="str">
        <f>IF(I583&gt;=3.5,"Excellent",IF(I583&gt;=3,"Good",IF(I583&gt;=2,"Average","Poor")))</f>
        <v>Good</v>
      </c>
      <c r="M583" s="3" t="str">
        <v>Dr.Sharma</v>
      </c>
      <c r="N583" s="3" t="str">
        <f>IF(H583 &gt; (G583*50%), "Yes", "No")</f>
        <v>Yes</v>
      </c>
      <c r="O583" s="16">
        <f>G583-H583</f>
        <v>367</v>
      </c>
      <c r="P583" s="16">
        <f>SUMIFS(O583:O583,E583:E583,"Science",F583:F583,"Completed")</f>
        <v>0</v>
      </c>
      <c r="Q583" s="3" t="str">
        <f>IF(MONTH(E583)&gt;=7, YEAR(E583)&amp;"-"&amp;YEAR(E583)+1, YEAR(E583)-1&amp;"-"&amp;YEAR(E583))</f>
        <v>2022-2023</v>
      </c>
      <c r="R583" s="3"/>
      <c r="S583" s="3"/>
      <c r="T583" s="15">
        <f t="shared" ca="1" si="9"/>
        <v>1208</v>
      </c>
      <c r="U583" s="3"/>
    </row>
    <row r="584" spans="1:21" x14ac:dyDescent="0.35">
      <c r="A584" s="3" t="s">
        <v>1189</v>
      </c>
      <c r="B584" s="3" t="s">
        <v>1190</v>
      </c>
      <c r="C584" s="3" t="s">
        <v>28</v>
      </c>
      <c r="D584" s="3" t="s">
        <v>18</v>
      </c>
      <c r="E584" s="6">
        <v>45128</v>
      </c>
      <c r="F584" s="3" t="s">
        <v>14</v>
      </c>
      <c r="G584" s="3">
        <v>4352</v>
      </c>
      <c r="H584" s="3">
        <v>2341</v>
      </c>
      <c r="I584" s="3">
        <v>3.26</v>
      </c>
      <c r="J584" s="3">
        <v>87</v>
      </c>
      <c r="K584" s="15">
        <f ca="1">IF(F584="Enrolled",TODAY()-E584,"0")</f>
        <v>926</v>
      </c>
      <c r="L584" s="3" t="str">
        <f>IF(I584&gt;=3.5,"Excellent",IF(I584&gt;=3,"Good",IF(I584&gt;=2,"Average","Poor")))</f>
        <v>Good</v>
      </c>
      <c r="M584" s="3" t="str">
        <v>Dr.Roy</v>
      </c>
      <c r="N584" s="3" t="str">
        <f>IF(H584 &gt; (G584*50%), "Yes", "No")</f>
        <v>Yes</v>
      </c>
      <c r="O584" s="16">
        <f>G584-H584</f>
        <v>2011</v>
      </c>
      <c r="P584" s="16">
        <f>SUMIFS(O584:O584,E584:E584,"Science",F584:F584,"Completed")</f>
        <v>0</v>
      </c>
      <c r="Q584" s="3" t="str">
        <f>IF(MONTH(E584)&gt;=7, YEAR(E584)&amp;"-"&amp;YEAR(E584)+1, YEAR(E584)-1&amp;"-"&amp;YEAR(E584))</f>
        <v>2023-2024</v>
      </c>
      <c r="R584" s="3"/>
      <c r="S584" s="3"/>
      <c r="T584" s="15" t="str">
        <f t="shared" ca="1" si="9"/>
        <v>0</v>
      </c>
      <c r="U584" s="3"/>
    </row>
    <row r="585" spans="1:21" x14ac:dyDescent="0.35">
      <c r="A585" s="3" t="s">
        <v>1191</v>
      </c>
      <c r="B585" s="3" t="s">
        <v>1192</v>
      </c>
      <c r="C585" s="3" t="s">
        <v>12</v>
      </c>
      <c r="D585" s="3" t="s">
        <v>13</v>
      </c>
      <c r="E585" s="6">
        <v>45361</v>
      </c>
      <c r="F585" s="3" t="s">
        <v>19</v>
      </c>
      <c r="G585" s="3">
        <v>4096</v>
      </c>
      <c r="H585" s="3">
        <v>591</v>
      </c>
      <c r="I585" s="3">
        <v>2.02</v>
      </c>
      <c r="J585" s="3">
        <v>49</v>
      </c>
      <c r="K585" s="15" t="str">
        <f ca="1">IF(F585="Enrolled",TODAY()-E585,"0")</f>
        <v>0</v>
      </c>
      <c r="L585" s="3" t="str">
        <f>IF(I585&gt;=3.5,"Excellent",IF(I585&gt;=3,"Good",IF(I585&gt;=2,"Average","Poor")))</f>
        <v>Average</v>
      </c>
      <c r="M585" s="3" t="str">
        <v>Dr.Mehta</v>
      </c>
      <c r="N585" s="3" t="str">
        <f>IF(H585 &gt; (G585*50%), "Yes", "No")</f>
        <v>No</v>
      </c>
      <c r="O585" s="16">
        <f>G585-H585</f>
        <v>3505</v>
      </c>
      <c r="P585" s="16">
        <f>SUMIFS(O585:O585,E585:E585,"Science",F585:F585,"Completed")</f>
        <v>0</v>
      </c>
      <c r="Q585" s="3" t="str">
        <f>IF(MONTH(E585)&gt;=7, YEAR(E585)&amp;"-"&amp;YEAR(E585)+1, YEAR(E585)-1&amp;"-"&amp;YEAR(E585))</f>
        <v>2023-2024</v>
      </c>
      <c r="R585" s="3"/>
      <c r="S585" s="3"/>
      <c r="T585" s="15">
        <f t="shared" ca="1" si="9"/>
        <v>693</v>
      </c>
      <c r="U585" s="3"/>
    </row>
    <row r="586" spans="1:21" x14ac:dyDescent="0.35">
      <c r="A586" s="3" t="s">
        <v>1193</v>
      </c>
      <c r="B586" s="3" t="s">
        <v>1194</v>
      </c>
      <c r="C586" s="3" t="s">
        <v>25</v>
      </c>
      <c r="D586" s="3" t="s">
        <v>31</v>
      </c>
      <c r="E586" s="6">
        <v>44857</v>
      </c>
      <c r="F586" s="3" t="s">
        <v>14</v>
      </c>
      <c r="G586" s="3">
        <v>3042</v>
      </c>
      <c r="H586" s="3">
        <v>1972</v>
      </c>
      <c r="I586" s="3">
        <v>2.2599999999999998</v>
      </c>
      <c r="J586" s="3">
        <v>31</v>
      </c>
      <c r="K586" s="15">
        <f ca="1">IF(F586="Enrolled",TODAY()-E586,"0")</f>
        <v>1197</v>
      </c>
      <c r="L586" s="3" t="str">
        <f>IF(I586&gt;=3.5,"Excellent",IF(I586&gt;=3,"Good",IF(I586&gt;=2,"Average","Poor")))</f>
        <v>Average</v>
      </c>
      <c r="M586" s="3" t="str">
        <v>Dr.Sharma</v>
      </c>
      <c r="N586" s="3" t="str">
        <f>IF(H586 &gt; (G586*50%), "Yes", "No")</f>
        <v>Yes</v>
      </c>
      <c r="O586" s="16">
        <f>G586-H586</f>
        <v>1070</v>
      </c>
      <c r="P586" s="16">
        <f>SUMIFS(O586:O586,E586:E586,"Science",F586:F586,"Completed")</f>
        <v>0</v>
      </c>
      <c r="Q586" s="3" t="str">
        <f>IF(MONTH(E586)&gt;=7, YEAR(E586)&amp;"-"&amp;YEAR(E586)+1, YEAR(E586)-1&amp;"-"&amp;YEAR(E586))</f>
        <v>2022-2023</v>
      </c>
      <c r="R586" s="3"/>
      <c r="S586" s="3"/>
      <c r="T586" s="15" t="str">
        <f t="shared" ca="1" si="9"/>
        <v>0</v>
      </c>
      <c r="U586" s="3"/>
    </row>
    <row r="587" spans="1:21" x14ac:dyDescent="0.35">
      <c r="A587" s="3" t="s">
        <v>1195</v>
      </c>
      <c r="B587" s="3" t="s">
        <v>1196</v>
      </c>
      <c r="C587" s="3" t="s">
        <v>54</v>
      </c>
      <c r="D587" s="3" t="s">
        <v>31</v>
      </c>
      <c r="E587" s="6">
        <v>45307</v>
      </c>
      <c r="F587" s="3" t="s">
        <v>19</v>
      </c>
      <c r="G587" s="3">
        <v>8295</v>
      </c>
      <c r="H587" s="3">
        <v>7450</v>
      </c>
      <c r="I587" s="3">
        <v>2.56</v>
      </c>
      <c r="J587" s="3">
        <v>1</v>
      </c>
      <c r="K587" s="15" t="str">
        <f ca="1">IF(F587="Enrolled",TODAY()-E587,"0")</f>
        <v>0</v>
      </c>
      <c r="L587" s="3" t="str">
        <f>IF(I587&gt;=3.5,"Excellent",IF(I587&gt;=3,"Good",IF(I587&gt;=2,"Average","Poor")))</f>
        <v>Average</v>
      </c>
      <c r="M587" s="3" t="str">
        <v>Dr.Sharma</v>
      </c>
      <c r="N587" s="3" t="str">
        <f>IF(H587 &gt; (G587*50%), "Yes", "No")</f>
        <v>Yes</v>
      </c>
      <c r="O587" s="16">
        <f>G587-H587</f>
        <v>845</v>
      </c>
      <c r="P587" s="16">
        <f>SUMIFS(O587:O587,E587:E587,"Science",F587:F587,"Completed")</f>
        <v>0</v>
      </c>
      <c r="Q587" s="3" t="str">
        <f>IF(MONTH(E587)&gt;=7, YEAR(E587)&amp;"-"&amp;YEAR(E587)+1, YEAR(E587)-1&amp;"-"&amp;YEAR(E587))</f>
        <v>2023-2024</v>
      </c>
      <c r="R587" s="3"/>
      <c r="S587" s="3"/>
      <c r="T587" s="15">
        <f t="shared" ca="1" si="9"/>
        <v>747</v>
      </c>
      <c r="U587" s="3"/>
    </row>
    <row r="588" spans="1:21" x14ac:dyDescent="0.35">
      <c r="A588" s="3" t="s">
        <v>1197</v>
      </c>
      <c r="B588" s="3" t="s">
        <v>1198</v>
      </c>
      <c r="C588" s="3" t="s">
        <v>25</v>
      </c>
      <c r="D588" s="3" t="s">
        <v>62</v>
      </c>
      <c r="E588" s="6">
        <v>45157</v>
      </c>
      <c r="F588" s="3" t="s">
        <v>19</v>
      </c>
      <c r="G588" s="3">
        <v>2625</v>
      </c>
      <c r="H588" s="3">
        <v>8101</v>
      </c>
      <c r="I588" s="3">
        <v>3.82</v>
      </c>
      <c r="J588" s="3">
        <v>95</v>
      </c>
      <c r="K588" s="15" t="str">
        <f ca="1">IF(F588="Enrolled",TODAY()-E588,"0")</f>
        <v>0</v>
      </c>
      <c r="L588" s="3" t="str">
        <f>IF(I588&gt;=3.5,"Excellent",IF(I588&gt;=3,"Good",IF(I588&gt;=2,"Average","Poor")))</f>
        <v>Excellent</v>
      </c>
      <c r="M588" s="3" t="str">
        <v>Dr.Sinha</v>
      </c>
      <c r="N588" s="3" t="str">
        <f>IF(H588 &gt; (G588*50%), "Yes", "No")</f>
        <v>Yes</v>
      </c>
      <c r="O588" s="16">
        <f>G588-H588</f>
        <v>-5476</v>
      </c>
      <c r="P588" s="16">
        <f>SUMIFS(O588:O588,E588:E588,"Science",F588:F588,"Completed")</f>
        <v>0</v>
      </c>
      <c r="Q588" s="3" t="str">
        <f>IF(MONTH(E588)&gt;=7, YEAR(E588)&amp;"-"&amp;YEAR(E588)+1, YEAR(E588)-1&amp;"-"&amp;YEAR(E588))</f>
        <v>2023-2024</v>
      </c>
      <c r="R588" s="3"/>
      <c r="S588" s="3"/>
      <c r="T588" s="15">
        <f t="shared" ca="1" si="9"/>
        <v>897</v>
      </c>
      <c r="U588" s="3"/>
    </row>
    <row r="589" spans="1:21" x14ac:dyDescent="0.35">
      <c r="A589" s="3" t="s">
        <v>1199</v>
      </c>
      <c r="B589" s="3" t="s">
        <v>1200</v>
      </c>
      <c r="C589" s="3" t="s">
        <v>22</v>
      </c>
      <c r="D589" s="3" t="s">
        <v>31</v>
      </c>
      <c r="E589" s="6">
        <v>45021</v>
      </c>
      <c r="F589" s="3" t="s">
        <v>14</v>
      </c>
      <c r="G589" s="3">
        <v>14579</v>
      </c>
      <c r="H589" s="3">
        <v>3149</v>
      </c>
      <c r="I589" s="3">
        <v>2.8</v>
      </c>
      <c r="J589" s="3">
        <v>89</v>
      </c>
      <c r="K589" s="15">
        <f ca="1">IF(F589="Enrolled",TODAY()-E589,"0")</f>
        <v>1033</v>
      </c>
      <c r="L589" s="3" t="str">
        <f>IF(I589&gt;=3.5,"Excellent",IF(I589&gt;=3,"Good",IF(I589&gt;=2,"Average","Poor")))</f>
        <v>Average</v>
      </c>
      <c r="M589" s="3" t="str">
        <v>Dr.Sharma</v>
      </c>
      <c r="N589" s="3" t="str">
        <f>IF(H589 &gt; (G589*50%), "Yes", "No")</f>
        <v>No</v>
      </c>
      <c r="O589" s="16">
        <f>G589-H589</f>
        <v>11430</v>
      </c>
      <c r="P589" s="16">
        <f>SUMIFS(O589:O589,E589:E589,"Science",F589:F589,"Completed")</f>
        <v>0</v>
      </c>
      <c r="Q589" s="3" t="str">
        <f>IF(MONTH(E589)&gt;=7, YEAR(E589)&amp;"-"&amp;YEAR(E589)+1, YEAR(E589)-1&amp;"-"&amp;YEAR(E589))</f>
        <v>2022-2023</v>
      </c>
      <c r="R589" s="3"/>
      <c r="S589" s="3"/>
      <c r="T589" s="15" t="str">
        <f t="shared" ca="1" si="9"/>
        <v>0</v>
      </c>
      <c r="U589" s="3"/>
    </row>
    <row r="590" spans="1:21" x14ac:dyDescent="0.35">
      <c r="A590" s="3" t="s">
        <v>1201</v>
      </c>
      <c r="B590" s="3" t="s">
        <v>1202</v>
      </c>
      <c r="C590" s="3" t="s">
        <v>17</v>
      </c>
      <c r="D590" s="3" t="s">
        <v>62</v>
      </c>
      <c r="E590" s="6">
        <v>44712</v>
      </c>
      <c r="F590" s="3" t="s">
        <v>19</v>
      </c>
      <c r="G590" s="3">
        <v>3331</v>
      </c>
      <c r="H590" s="3">
        <v>1957</v>
      </c>
      <c r="I590" s="3">
        <v>3.12</v>
      </c>
      <c r="J590" s="3">
        <v>57</v>
      </c>
      <c r="K590" s="15" t="str">
        <f ca="1">IF(F590="Enrolled",TODAY()-E590,"0")</f>
        <v>0</v>
      </c>
      <c r="L590" s="3" t="str">
        <f>IF(I590&gt;=3.5,"Excellent",IF(I590&gt;=3,"Good",IF(I590&gt;=2,"Average","Poor")))</f>
        <v>Good</v>
      </c>
      <c r="M590" s="3" t="str">
        <v>Dr.Sinha</v>
      </c>
      <c r="N590" s="3" t="str">
        <f>IF(H590 &gt; (G590*50%), "Yes", "No")</f>
        <v>Yes</v>
      </c>
      <c r="O590" s="16">
        <f>G590-H590</f>
        <v>1374</v>
      </c>
      <c r="P590" s="16">
        <f>SUMIFS(O590:O590,E590:E590,"Science",F590:F590,"Completed")</f>
        <v>0</v>
      </c>
      <c r="Q590" s="3" t="str">
        <f>IF(MONTH(E590)&gt;=7, YEAR(E590)&amp;"-"&amp;YEAR(E590)+1, YEAR(E590)-1&amp;"-"&amp;YEAR(E590))</f>
        <v>2021-2022</v>
      </c>
      <c r="R590" s="3"/>
      <c r="S590" s="3"/>
      <c r="T590" s="15">
        <f t="shared" ca="1" si="9"/>
        <v>1342</v>
      </c>
      <c r="U590" s="3"/>
    </row>
    <row r="591" spans="1:21" x14ac:dyDescent="0.35">
      <c r="A591" s="3" t="s">
        <v>1203</v>
      </c>
      <c r="B591" s="3" t="s">
        <v>1204</v>
      </c>
      <c r="C591" s="3" t="s">
        <v>22</v>
      </c>
      <c r="D591" s="3" t="s">
        <v>31</v>
      </c>
      <c r="E591" s="6">
        <v>45392</v>
      </c>
      <c r="F591" s="3" t="s">
        <v>19</v>
      </c>
      <c r="G591" s="3">
        <v>13756</v>
      </c>
      <c r="H591" s="3">
        <v>1521</v>
      </c>
      <c r="I591" s="3">
        <v>3.84</v>
      </c>
      <c r="J591" s="3">
        <v>0</v>
      </c>
      <c r="K591" s="15" t="str">
        <f ca="1">IF(F591="Enrolled",TODAY()-E591,"0")</f>
        <v>0</v>
      </c>
      <c r="L591" s="3" t="str">
        <f>IF(I591&gt;=3.5,"Excellent",IF(I591&gt;=3,"Good",IF(I591&gt;=2,"Average","Poor")))</f>
        <v>Excellent</v>
      </c>
      <c r="M591" s="3" t="str">
        <v>Dr.Sharma</v>
      </c>
      <c r="N591" s="3" t="str">
        <f>IF(H591 &gt; (G591*50%), "Yes", "No")</f>
        <v>No</v>
      </c>
      <c r="O591" s="16">
        <f>G591-H591</f>
        <v>12235</v>
      </c>
      <c r="P591" s="16">
        <f>SUMIFS(O591:O591,E591:E591,"Science",F591:F591,"Completed")</f>
        <v>0</v>
      </c>
      <c r="Q591" s="3" t="str">
        <f>IF(MONTH(E591)&gt;=7, YEAR(E591)&amp;"-"&amp;YEAR(E591)+1, YEAR(E591)-1&amp;"-"&amp;YEAR(E591))</f>
        <v>2023-2024</v>
      </c>
      <c r="R591" s="3"/>
      <c r="S591" s="3"/>
      <c r="T591" s="15">
        <f t="shared" ca="1" si="9"/>
        <v>662</v>
      </c>
      <c r="U591" s="3"/>
    </row>
    <row r="592" spans="1:21" x14ac:dyDescent="0.35">
      <c r="A592" s="3" t="s">
        <v>1205</v>
      </c>
      <c r="B592" s="3" t="s">
        <v>1206</v>
      </c>
      <c r="C592" s="3" t="s">
        <v>54</v>
      </c>
      <c r="D592" s="3" t="s">
        <v>31</v>
      </c>
      <c r="E592" s="6">
        <v>44940</v>
      </c>
      <c r="F592" s="3" t="s">
        <v>14</v>
      </c>
      <c r="G592" s="3">
        <v>2069</v>
      </c>
      <c r="H592" s="3">
        <v>9168</v>
      </c>
      <c r="I592" s="3">
        <v>2.4</v>
      </c>
      <c r="J592" s="3">
        <v>60</v>
      </c>
      <c r="K592" s="15">
        <f ca="1">IF(F592="Enrolled",TODAY()-E592,"0")</f>
        <v>1114</v>
      </c>
      <c r="L592" s="3" t="str">
        <f>IF(I592&gt;=3.5,"Excellent",IF(I592&gt;=3,"Good",IF(I592&gt;=2,"Average","Poor")))</f>
        <v>Average</v>
      </c>
      <c r="M592" s="3" t="str">
        <v>Dr.Sharma</v>
      </c>
      <c r="N592" s="3" t="str">
        <f>IF(H592 &gt; (G592*50%), "Yes", "No")</f>
        <v>Yes</v>
      </c>
      <c r="O592" s="16">
        <f>G592-H592</f>
        <v>-7099</v>
      </c>
      <c r="P592" s="16">
        <f>SUMIFS(O592:O592,E592:E592,"Science",F592:F592,"Completed")</f>
        <v>0</v>
      </c>
      <c r="Q592" s="3" t="str">
        <f>IF(MONTH(E592)&gt;=7, YEAR(E592)&amp;"-"&amp;YEAR(E592)+1, YEAR(E592)-1&amp;"-"&amp;YEAR(E592))</f>
        <v>2022-2023</v>
      </c>
      <c r="R592" s="3"/>
      <c r="S592" s="3"/>
      <c r="T592" s="15" t="str">
        <f t="shared" ca="1" si="9"/>
        <v>0</v>
      </c>
      <c r="U592" s="3"/>
    </row>
    <row r="593" spans="1:21" x14ac:dyDescent="0.35">
      <c r="A593" s="3" t="s">
        <v>1207</v>
      </c>
      <c r="B593" s="3" t="s">
        <v>1208</v>
      </c>
      <c r="C593" s="3" t="s">
        <v>25</v>
      </c>
      <c r="D593" s="3" t="s">
        <v>13</v>
      </c>
      <c r="E593" s="6">
        <v>45441</v>
      </c>
      <c r="F593" s="3" t="s">
        <v>14</v>
      </c>
      <c r="G593" s="3">
        <v>12736</v>
      </c>
      <c r="H593" s="3">
        <v>86</v>
      </c>
      <c r="I593" s="3">
        <v>3.52</v>
      </c>
      <c r="J593" s="3">
        <v>30</v>
      </c>
      <c r="K593" s="15">
        <f ca="1">IF(F593="Enrolled",TODAY()-E593,"0")</f>
        <v>613</v>
      </c>
      <c r="L593" s="3" t="str">
        <f>IF(I593&gt;=3.5,"Excellent",IF(I593&gt;=3,"Good",IF(I593&gt;=2,"Average","Poor")))</f>
        <v>Excellent</v>
      </c>
      <c r="M593" s="3" t="str">
        <v>Dr.Mehta</v>
      </c>
      <c r="N593" s="3" t="str">
        <f>IF(H593 &gt; (G593*50%), "Yes", "No")</f>
        <v>No</v>
      </c>
      <c r="O593" s="16">
        <f>G593-H593</f>
        <v>12650</v>
      </c>
      <c r="P593" s="16">
        <f>SUMIFS(O593:O593,E593:E593,"Science",F593:F593,"Completed")</f>
        <v>0</v>
      </c>
      <c r="Q593" s="3" t="str">
        <f>IF(MONTH(E593)&gt;=7, YEAR(E593)&amp;"-"&amp;YEAR(E593)+1, YEAR(E593)-1&amp;"-"&amp;YEAR(E593))</f>
        <v>2023-2024</v>
      </c>
      <c r="R593" s="3"/>
      <c r="S593" s="3"/>
      <c r="T593" s="15" t="str">
        <f t="shared" ca="1" si="9"/>
        <v>0</v>
      </c>
      <c r="U593" s="3"/>
    </row>
    <row r="594" spans="1:21" x14ac:dyDescent="0.35">
      <c r="A594" s="3" t="s">
        <v>1209</v>
      </c>
      <c r="B594" s="3" t="s">
        <v>1210</v>
      </c>
      <c r="C594" s="3" t="s">
        <v>25</v>
      </c>
      <c r="D594" s="3" t="s">
        <v>62</v>
      </c>
      <c r="E594" s="6">
        <v>45276</v>
      </c>
      <c r="F594" s="3" t="s">
        <v>14</v>
      </c>
      <c r="G594" s="3">
        <v>9002</v>
      </c>
      <c r="H594" s="3">
        <v>9521</v>
      </c>
      <c r="I594" s="3">
        <v>3.31</v>
      </c>
      <c r="J594" s="3">
        <v>25</v>
      </c>
      <c r="K594" s="15">
        <f ca="1">IF(F594="Enrolled",TODAY()-E594,"0")</f>
        <v>778</v>
      </c>
      <c r="L594" s="3" t="str">
        <f>IF(I594&gt;=3.5,"Excellent",IF(I594&gt;=3,"Good",IF(I594&gt;=2,"Average","Poor")))</f>
        <v>Good</v>
      </c>
      <c r="M594" s="3" t="str">
        <v>Dr.Sinha</v>
      </c>
      <c r="N594" s="3" t="str">
        <f>IF(H594 &gt; (G594*50%), "Yes", "No")</f>
        <v>Yes</v>
      </c>
      <c r="O594" s="16">
        <f>G594-H594</f>
        <v>-519</v>
      </c>
      <c r="P594" s="16">
        <f>SUMIFS(O594:O594,E594:E594,"Science",F594:F594,"Completed")</f>
        <v>0</v>
      </c>
      <c r="Q594" s="3" t="str">
        <f>IF(MONTH(E594)&gt;=7, YEAR(E594)&amp;"-"&amp;YEAR(E594)+1, YEAR(E594)-1&amp;"-"&amp;YEAR(E594))</f>
        <v>2023-2024</v>
      </c>
      <c r="R594" s="3"/>
      <c r="S594" s="3"/>
      <c r="T594" s="15" t="str">
        <f t="shared" ca="1" si="9"/>
        <v>0</v>
      </c>
      <c r="U594" s="3"/>
    </row>
    <row r="595" spans="1:21" x14ac:dyDescent="0.35">
      <c r="A595" s="3" t="s">
        <v>1211</v>
      </c>
      <c r="B595" s="3" t="s">
        <v>1212</v>
      </c>
      <c r="C595" s="3" t="s">
        <v>36</v>
      </c>
      <c r="D595" s="3" t="s">
        <v>18</v>
      </c>
      <c r="E595" s="6">
        <v>45183</v>
      </c>
      <c r="F595" s="3" t="s">
        <v>39</v>
      </c>
      <c r="G595" s="3">
        <v>10702</v>
      </c>
      <c r="H595" s="3">
        <v>2826</v>
      </c>
      <c r="I595" s="3">
        <v>3.39</v>
      </c>
      <c r="J595" s="3">
        <v>6</v>
      </c>
      <c r="K595" s="15" t="str">
        <f ca="1">IF(F595="Enrolled",TODAY()-E595,"0")</f>
        <v>0</v>
      </c>
      <c r="L595" s="3" t="str">
        <f>IF(I595&gt;=3.5,"Excellent",IF(I595&gt;=3,"Good",IF(I595&gt;=2,"Average","Poor")))</f>
        <v>Good</v>
      </c>
      <c r="M595" s="3" t="str">
        <v>Dr.Roy</v>
      </c>
      <c r="N595" s="3" t="str">
        <f>IF(H595 &gt; (G595*50%), "Yes", "No")</f>
        <v>No</v>
      </c>
      <c r="O595" s="16">
        <f>G595-H595</f>
        <v>7876</v>
      </c>
      <c r="P595" s="16">
        <f>SUMIFS(O595:O595,E595:E595,"Science",F595:F595,"Completed")</f>
        <v>0</v>
      </c>
      <c r="Q595" s="3" t="str">
        <f>IF(MONTH(E595)&gt;=7, YEAR(E595)&amp;"-"&amp;YEAR(E595)+1, YEAR(E595)-1&amp;"-"&amp;YEAR(E595))</f>
        <v>2023-2024</v>
      </c>
      <c r="R595" s="3"/>
      <c r="S595" s="3"/>
      <c r="T595" s="15" t="str">
        <f t="shared" ca="1" si="9"/>
        <v>0</v>
      </c>
      <c r="U595" s="3"/>
    </row>
    <row r="596" spans="1:21" x14ac:dyDescent="0.35">
      <c r="A596" s="3" t="s">
        <v>1213</v>
      </c>
      <c r="B596" s="3" t="s">
        <v>1214</v>
      </c>
      <c r="C596" s="3" t="s">
        <v>17</v>
      </c>
      <c r="D596" s="3" t="s">
        <v>62</v>
      </c>
      <c r="E596" s="6">
        <v>44822</v>
      </c>
      <c r="F596" s="3" t="s">
        <v>19</v>
      </c>
      <c r="G596" s="3">
        <v>13535</v>
      </c>
      <c r="H596" s="3">
        <v>8752</v>
      </c>
      <c r="I596" s="3">
        <v>3.17</v>
      </c>
      <c r="J596" s="3">
        <v>73</v>
      </c>
      <c r="K596" s="15" t="str">
        <f ca="1">IF(F596="Enrolled",TODAY()-E596,"0")</f>
        <v>0</v>
      </c>
      <c r="L596" s="3" t="str">
        <f>IF(I596&gt;=3.5,"Excellent",IF(I596&gt;=3,"Good",IF(I596&gt;=2,"Average","Poor")))</f>
        <v>Good</v>
      </c>
      <c r="M596" s="3" t="str">
        <v>Dr.Sinha</v>
      </c>
      <c r="N596" s="3" t="str">
        <f>IF(H596 &gt; (G596*50%), "Yes", "No")</f>
        <v>Yes</v>
      </c>
      <c r="O596" s="16">
        <f>G596-H596</f>
        <v>4783</v>
      </c>
      <c r="P596" s="16">
        <f>SUMIFS(O596:O596,E596:E596,"Science",F596:F596,"Completed")</f>
        <v>0</v>
      </c>
      <c r="Q596" s="3" t="str">
        <f>IF(MONTH(E596)&gt;=7, YEAR(E596)&amp;"-"&amp;YEAR(E596)+1, YEAR(E596)-1&amp;"-"&amp;YEAR(E596))</f>
        <v>2022-2023</v>
      </c>
      <c r="R596" s="3"/>
      <c r="S596" s="3"/>
      <c r="T596" s="15">
        <f t="shared" ca="1" si="9"/>
        <v>1232</v>
      </c>
      <c r="U596" s="3"/>
    </row>
    <row r="597" spans="1:21" x14ac:dyDescent="0.35">
      <c r="A597" s="3" t="s">
        <v>1215</v>
      </c>
      <c r="B597" s="3" t="s">
        <v>1216</v>
      </c>
      <c r="C597" s="3" t="s">
        <v>12</v>
      </c>
      <c r="D597" s="3" t="s">
        <v>18</v>
      </c>
      <c r="E597" s="6">
        <v>44740</v>
      </c>
      <c r="F597" s="3" t="s">
        <v>14</v>
      </c>
      <c r="G597" s="3">
        <v>11144</v>
      </c>
      <c r="H597" s="3">
        <v>6352</v>
      </c>
      <c r="I597" s="3">
        <v>2.89</v>
      </c>
      <c r="J597" s="3">
        <v>98</v>
      </c>
      <c r="K597" s="15">
        <f ca="1">IF(F597="Enrolled",TODAY()-E597,"0")</f>
        <v>1314</v>
      </c>
      <c r="L597" s="3" t="str">
        <f>IF(I597&gt;=3.5,"Excellent",IF(I597&gt;=3,"Good",IF(I597&gt;=2,"Average","Poor")))</f>
        <v>Average</v>
      </c>
      <c r="M597" s="3" t="str">
        <v>Dr.Roy</v>
      </c>
      <c r="N597" s="3" t="str">
        <f>IF(H597 &gt; (G597*50%), "Yes", "No")</f>
        <v>Yes</v>
      </c>
      <c r="O597" s="16">
        <f>G597-H597</f>
        <v>4792</v>
      </c>
      <c r="P597" s="16">
        <f>SUMIFS(O597:O597,E597:E597,"Science",F597:F597,"Completed")</f>
        <v>0</v>
      </c>
      <c r="Q597" s="3" t="str">
        <f>IF(MONTH(E597)&gt;=7, YEAR(E597)&amp;"-"&amp;YEAR(E597)+1, YEAR(E597)-1&amp;"-"&amp;YEAR(E597))</f>
        <v>2021-2022</v>
      </c>
      <c r="R597" s="3"/>
      <c r="S597" s="3"/>
      <c r="T597" s="15" t="str">
        <f t="shared" ca="1" si="9"/>
        <v>0</v>
      </c>
      <c r="U597" s="3"/>
    </row>
    <row r="598" spans="1:21" x14ac:dyDescent="0.35">
      <c r="A598" s="3" t="s">
        <v>1217</v>
      </c>
      <c r="B598" s="3" t="s">
        <v>1218</v>
      </c>
      <c r="C598" s="3" t="s">
        <v>36</v>
      </c>
      <c r="D598" s="3" t="s">
        <v>18</v>
      </c>
      <c r="E598" s="6">
        <v>45019</v>
      </c>
      <c r="F598" s="3" t="s">
        <v>19</v>
      </c>
      <c r="G598" s="3">
        <v>9401</v>
      </c>
      <c r="H598" s="3">
        <v>5071</v>
      </c>
      <c r="I598" s="3">
        <v>2.8</v>
      </c>
      <c r="J598" s="3">
        <v>78</v>
      </c>
      <c r="K598" s="15" t="str">
        <f ca="1">IF(F598="Enrolled",TODAY()-E598,"0")</f>
        <v>0</v>
      </c>
      <c r="L598" s="3" t="str">
        <f>IF(I598&gt;=3.5,"Excellent",IF(I598&gt;=3,"Good",IF(I598&gt;=2,"Average","Poor")))</f>
        <v>Average</v>
      </c>
      <c r="M598" s="3" t="str">
        <v>Dr.Roy</v>
      </c>
      <c r="N598" s="3" t="str">
        <f>IF(H598 &gt; (G598*50%), "Yes", "No")</f>
        <v>Yes</v>
      </c>
      <c r="O598" s="16">
        <f>G598-H598</f>
        <v>4330</v>
      </c>
      <c r="P598" s="16">
        <f>SUMIFS(O598:O598,E598:E598,"Science",F598:F598,"Completed")</f>
        <v>0</v>
      </c>
      <c r="Q598" s="3" t="str">
        <f>IF(MONTH(E598)&gt;=7, YEAR(E598)&amp;"-"&amp;YEAR(E598)+1, YEAR(E598)-1&amp;"-"&amp;YEAR(E598))</f>
        <v>2022-2023</v>
      </c>
      <c r="R598" s="3"/>
      <c r="S598" s="3"/>
      <c r="T598" s="15">
        <f t="shared" ca="1" si="9"/>
        <v>1035</v>
      </c>
      <c r="U598" s="3"/>
    </row>
    <row r="599" spans="1:21" x14ac:dyDescent="0.35">
      <c r="A599" s="3" t="s">
        <v>1219</v>
      </c>
      <c r="B599" s="3" t="s">
        <v>1220</v>
      </c>
      <c r="C599" s="3" t="s">
        <v>36</v>
      </c>
      <c r="D599" s="3" t="s">
        <v>62</v>
      </c>
      <c r="E599" s="6">
        <v>45227</v>
      </c>
      <c r="F599" s="3" t="s">
        <v>39</v>
      </c>
      <c r="G599" s="3">
        <v>6027</v>
      </c>
      <c r="H599" s="3">
        <v>8515</v>
      </c>
      <c r="I599" s="3">
        <v>2.76</v>
      </c>
      <c r="J599" s="3">
        <v>50</v>
      </c>
      <c r="K599" s="15" t="str">
        <f ca="1">IF(F599="Enrolled",TODAY()-E599,"0")</f>
        <v>0</v>
      </c>
      <c r="L599" s="3" t="str">
        <f>IF(I599&gt;=3.5,"Excellent",IF(I599&gt;=3,"Good",IF(I599&gt;=2,"Average","Poor")))</f>
        <v>Average</v>
      </c>
      <c r="M599" s="3" t="str">
        <v>Dr.Sinha</v>
      </c>
      <c r="N599" s="3" t="str">
        <f>IF(H599 &gt; (G599*50%), "Yes", "No")</f>
        <v>Yes</v>
      </c>
      <c r="O599" s="16">
        <f>G599-H599</f>
        <v>-2488</v>
      </c>
      <c r="P599" s="16">
        <f>SUMIFS(O599:O599,E599:E599,"Science",F599:F599,"Completed")</f>
        <v>0</v>
      </c>
      <c r="Q599" s="3" t="str">
        <f>IF(MONTH(E599)&gt;=7, YEAR(E599)&amp;"-"&amp;YEAR(E599)+1, YEAR(E599)-1&amp;"-"&amp;YEAR(E599))</f>
        <v>2023-2024</v>
      </c>
      <c r="R599" s="3"/>
      <c r="S599" s="3"/>
      <c r="T599" s="15" t="str">
        <f t="shared" ca="1" si="9"/>
        <v>0</v>
      </c>
      <c r="U599" s="3"/>
    </row>
    <row r="600" spans="1:21" x14ac:dyDescent="0.35">
      <c r="A600" s="3" t="s">
        <v>1221</v>
      </c>
      <c r="B600" s="3" t="s">
        <v>1222</v>
      </c>
      <c r="C600" s="3" t="s">
        <v>36</v>
      </c>
      <c r="D600" s="3" t="s">
        <v>18</v>
      </c>
      <c r="E600" s="6">
        <v>44734</v>
      </c>
      <c r="F600" s="3" t="s">
        <v>39</v>
      </c>
      <c r="G600" s="3">
        <v>14933</v>
      </c>
      <c r="H600" s="3">
        <v>5194</v>
      </c>
      <c r="I600" s="3">
        <v>3.8</v>
      </c>
      <c r="J600" s="3">
        <v>71</v>
      </c>
      <c r="K600" s="15" t="str">
        <f ca="1">IF(F600="Enrolled",TODAY()-E600,"0")</f>
        <v>0</v>
      </c>
      <c r="L600" s="3" t="str">
        <f>IF(I600&gt;=3.5,"Excellent",IF(I600&gt;=3,"Good",IF(I600&gt;=2,"Average","Poor")))</f>
        <v>Excellent</v>
      </c>
      <c r="M600" s="3" t="str">
        <v>Dr.Roy</v>
      </c>
      <c r="N600" s="3" t="str">
        <f>IF(H600 &gt; (G600*50%), "Yes", "No")</f>
        <v>No</v>
      </c>
      <c r="O600" s="16">
        <f>G600-H600</f>
        <v>9739</v>
      </c>
      <c r="P600" s="16">
        <f>SUMIFS(O600:O600,E600:E600,"Science",F600:F600,"Completed")</f>
        <v>0</v>
      </c>
      <c r="Q600" s="3" t="str">
        <f>IF(MONTH(E600)&gt;=7, YEAR(E600)&amp;"-"&amp;YEAR(E600)+1, YEAR(E600)-1&amp;"-"&amp;YEAR(E600))</f>
        <v>2021-2022</v>
      </c>
      <c r="R600" s="3"/>
      <c r="S600" s="3"/>
      <c r="T600" s="15" t="str">
        <f t="shared" ca="1" si="9"/>
        <v>0</v>
      </c>
      <c r="U600" s="3"/>
    </row>
    <row r="601" spans="1:21" x14ac:dyDescent="0.35">
      <c r="A601" s="3" t="s">
        <v>1223</v>
      </c>
      <c r="B601" s="3" t="s">
        <v>1224</v>
      </c>
      <c r="C601" s="3" t="s">
        <v>36</v>
      </c>
      <c r="D601" s="3" t="s">
        <v>13</v>
      </c>
      <c r="E601" s="6">
        <v>44848</v>
      </c>
      <c r="F601" s="3" t="s">
        <v>14</v>
      </c>
      <c r="G601" s="3">
        <v>4556</v>
      </c>
      <c r="H601" s="3">
        <v>2074</v>
      </c>
      <c r="I601" s="3">
        <v>3.47</v>
      </c>
      <c r="J601" s="3">
        <v>13</v>
      </c>
      <c r="K601" s="15">
        <f ca="1">IF(F601="Enrolled",TODAY()-E601,"0")</f>
        <v>1206</v>
      </c>
      <c r="L601" s="3" t="str">
        <f>IF(I601&gt;=3.5,"Excellent",IF(I601&gt;=3,"Good",IF(I601&gt;=2,"Average","Poor")))</f>
        <v>Good</v>
      </c>
      <c r="M601" s="3" t="str">
        <v>Dr.Mehta</v>
      </c>
      <c r="N601" s="3" t="str">
        <f>IF(H601 &gt; (G601*50%), "Yes", "No")</f>
        <v>No</v>
      </c>
      <c r="O601" s="16">
        <f>G601-H601</f>
        <v>2482</v>
      </c>
      <c r="P601" s="16">
        <f>SUMIFS(O601:O601,E601:E601,"Science",F601:F601,"Completed")</f>
        <v>0</v>
      </c>
      <c r="Q601" s="3" t="str">
        <f>IF(MONTH(E601)&gt;=7, YEAR(E601)&amp;"-"&amp;YEAR(E601)+1, YEAR(E601)-1&amp;"-"&amp;YEAR(E601))</f>
        <v>2022-2023</v>
      </c>
      <c r="R601" s="3"/>
      <c r="S601" s="3"/>
      <c r="T601" s="15" t="str">
        <f t="shared" ca="1" si="9"/>
        <v>0</v>
      </c>
      <c r="U601" s="3"/>
    </row>
    <row r="602" spans="1:21" x14ac:dyDescent="0.35">
      <c r="A602" s="3" t="s">
        <v>1225</v>
      </c>
      <c r="B602" s="3" t="s">
        <v>1226</v>
      </c>
      <c r="C602" s="3" t="s">
        <v>36</v>
      </c>
      <c r="D602" s="3" t="s">
        <v>62</v>
      </c>
      <c r="E602" s="6">
        <v>45261</v>
      </c>
      <c r="F602" s="3" t="s">
        <v>14</v>
      </c>
      <c r="G602" s="3">
        <v>6572</v>
      </c>
      <c r="H602" s="3">
        <v>7509</v>
      </c>
      <c r="I602" s="3">
        <v>3.43</v>
      </c>
      <c r="J602" s="3">
        <v>9</v>
      </c>
      <c r="K602" s="15">
        <f ca="1">IF(F602="Enrolled",TODAY()-E602,"0")</f>
        <v>793</v>
      </c>
      <c r="L602" s="3" t="str">
        <f>IF(I602&gt;=3.5,"Excellent",IF(I602&gt;=3,"Good",IF(I602&gt;=2,"Average","Poor")))</f>
        <v>Good</v>
      </c>
      <c r="M602" s="3" t="str">
        <v>Dr.Sinha</v>
      </c>
      <c r="N602" s="3" t="str">
        <f>IF(H602 &gt; (G602*50%), "Yes", "No")</f>
        <v>Yes</v>
      </c>
      <c r="O602" s="16">
        <f>G602-H602</f>
        <v>-937</v>
      </c>
      <c r="P602" s="16">
        <f>SUMIFS(O602:O602,E602:E602,"Science",F602:F602,"Completed")</f>
        <v>0</v>
      </c>
      <c r="Q602" s="3" t="str">
        <f>IF(MONTH(E602)&gt;=7, YEAR(E602)&amp;"-"&amp;YEAR(E602)+1, YEAR(E602)-1&amp;"-"&amp;YEAR(E602))</f>
        <v>2023-2024</v>
      </c>
      <c r="R602" s="3"/>
      <c r="S602" s="3"/>
      <c r="T602" s="15" t="str">
        <f t="shared" ca="1" si="9"/>
        <v>0</v>
      </c>
      <c r="U602" s="3"/>
    </row>
    <row r="603" spans="1:21" x14ac:dyDescent="0.35">
      <c r="A603" s="3" t="s">
        <v>1227</v>
      </c>
      <c r="B603" s="3" t="s">
        <v>1228</v>
      </c>
      <c r="C603" s="3" t="s">
        <v>12</v>
      </c>
      <c r="D603" s="3" t="s">
        <v>62</v>
      </c>
      <c r="E603" s="6">
        <v>45184</v>
      </c>
      <c r="F603" s="3" t="s">
        <v>14</v>
      </c>
      <c r="G603" s="3">
        <v>2372</v>
      </c>
      <c r="H603" s="3">
        <v>4974</v>
      </c>
      <c r="I603" s="3">
        <v>2.8</v>
      </c>
      <c r="J603" s="3">
        <v>51</v>
      </c>
      <c r="K603" s="15">
        <f ca="1">IF(F603="Enrolled",TODAY()-E603,"0")</f>
        <v>870</v>
      </c>
      <c r="L603" s="3" t="str">
        <f>IF(I603&gt;=3.5,"Excellent",IF(I603&gt;=3,"Good",IF(I603&gt;=2,"Average","Poor")))</f>
        <v>Average</v>
      </c>
      <c r="M603" s="3" t="str">
        <v>Dr.Sinha</v>
      </c>
      <c r="N603" s="3" t="str">
        <f>IF(H603 &gt; (G603*50%), "Yes", "No")</f>
        <v>Yes</v>
      </c>
      <c r="O603" s="16">
        <f>G603-H603</f>
        <v>-2602</v>
      </c>
      <c r="P603" s="16">
        <f>SUMIFS(O603:O603,E603:E603,"Science",F603:F603,"Completed")</f>
        <v>0</v>
      </c>
      <c r="Q603" s="3" t="str">
        <f>IF(MONTH(E603)&gt;=7, YEAR(E603)&amp;"-"&amp;YEAR(E603)+1, YEAR(E603)-1&amp;"-"&amp;YEAR(E603))</f>
        <v>2023-2024</v>
      </c>
      <c r="R603" s="3"/>
      <c r="S603" s="3"/>
      <c r="T603" s="15" t="str">
        <f t="shared" ca="1" si="9"/>
        <v>0</v>
      </c>
      <c r="U603" s="3"/>
    </row>
    <row r="604" spans="1:21" x14ac:dyDescent="0.35">
      <c r="A604" s="3" t="s">
        <v>1229</v>
      </c>
      <c r="B604" s="3" t="s">
        <v>1230</v>
      </c>
      <c r="C604" s="3" t="s">
        <v>36</v>
      </c>
      <c r="D604" s="3" t="s">
        <v>31</v>
      </c>
      <c r="E604" s="6">
        <v>45125</v>
      </c>
      <c r="F604" s="3" t="s">
        <v>14</v>
      </c>
      <c r="G604" s="3">
        <v>10692</v>
      </c>
      <c r="H604" s="3">
        <v>6679</v>
      </c>
      <c r="I604" s="3">
        <v>3.85</v>
      </c>
      <c r="J604" s="3">
        <v>90</v>
      </c>
      <c r="K604" s="15">
        <f ca="1">IF(F604="Enrolled",TODAY()-E604,"0")</f>
        <v>929</v>
      </c>
      <c r="L604" s="3" t="str">
        <f>IF(I604&gt;=3.5,"Excellent",IF(I604&gt;=3,"Good",IF(I604&gt;=2,"Average","Poor")))</f>
        <v>Excellent</v>
      </c>
      <c r="M604" s="3" t="str">
        <v>Dr.Sharma</v>
      </c>
      <c r="N604" s="3" t="str">
        <f>IF(H604 &gt; (G604*50%), "Yes", "No")</f>
        <v>Yes</v>
      </c>
      <c r="O604" s="16">
        <f>G604-H604</f>
        <v>4013</v>
      </c>
      <c r="P604" s="16">
        <f>SUMIFS(O604:O604,E604:E604,"Science",F604:F604,"Completed")</f>
        <v>0</v>
      </c>
      <c r="Q604" s="3" t="str">
        <f>IF(MONTH(E604)&gt;=7, YEAR(E604)&amp;"-"&amp;YEAR(E604)+1, YEAR(E604)-1&amp;"-"&amp;YEAR(E604))</f>
        <v>2023-2024</v>
      </c>
      <c r="R604" s="3"/>
      <c r="S604" s="3"/>
      <c r="T604" s="15" t="str">
        <f t="shared" ca="1" si="9"/>
        <v>0</v>
      </c>
      <c r="U604" s="3"/>
    </row>
    <row r="605" spans="1:21" x14ac:dyDescent="0.35">
      <c r="A605" s="3" t="s">
        <v>1231</v>
      </c>
      <c r="B605" s="3" t="s">
        <v>1232</v>
      </c>
      <c r="C605" s="3" t="s">
        <v>54</v>
      </c>
      <c r="D605" s="3" t="s">
        <v>31</v>
      </c>
      <c r="E605" s="6">
        <v>45432</v>
      </c>
      <c r="F605" s="3" t="s">
        <v>14</v>
      </c>
      <c r="G605" s="3">
        <v>13268</v>
      </c>
      <c r="H605" s="3">
        <v>1099</v>
      </c>
      <c r="I605" s="3">
        <v>3.63</v>
      </c>
      <c r="J605" s="3">
        <v>105</v>
      </c>
      <c r="K605" s="15">
        <f ca="1">IF(F605="Enrolled",TODAY()-E605,"0")</f>
        <v>622</v>
      </c>
      <c r="L605" s="3" t="str">
        <f>IF(I605&gt;=3.5,"Excellent",IF(I605&gt;=3,"Good",IF(I605&gt;=2,"Average","Poor")))</f>
        <v>Excellent</v>
      </c>
      <c r="M605" s="3" t="str">
        <v>Dr.Sharma</v>
      </c>
      <c r="N605" s="3" t="str">
        <f>IF(H605 &gt; (G605*50%), "Yes", "No")</f>
        <v>No</v>
      </c>
      <c r="O605" s="16">
        <f>G605-H605</f>
        <v>12169</v>
      </c>
      <c r="P605" s="16">
        <f>SUMIFS(O605:O605,E605:E605,"Science",F605:F605,"Completed")</f>
        <v>0</v>
      </c>
      <c r="Q605" s="3" t="str">
        <f>IF(MONTH(E605)&gt;=7, YEAR(E605)&amp;"-"&amp;YEAR(E605)+1, YEAR(E605)-1&amp;"-"&amp;YEAR(E605))</f>
        <v>2023-2024</v>
      </c>
      <c r="R605" s="3"/>
      <c r="S605" s="3"/>
      <c r="T605" s="15" t="str">
        <f t="shared" ca="1" si="9"/>
        <v>0</v>
      </c>
      <c r="U605" s="3"/>
    </row>
    <row r="606" spans="1:21" x14ac:dyDescent="0.35">
      <c r="A606" s="3" t="s">
        <v>1233</v>
      </c>
      <c r="B606" s="3" t="s">
        <v>1234</v>
      </c>
      <c r="C606" s="3" t="s">
        <v>36</v>
      </c>
      <c r="D606" s="3" t="s">
        <v>18</v>
      </c>
      <c r="E606" s="6">
        <v>45270</v>
      </c>
      <c r="F606" s="3" t="s">
        <v>19</v>
      </c>
      <c r="G606" s="3">
        <v>13205</v>
      </c>
      <c r="H606" s="3">
        <v>4398</v>
      </c>
      <c r="I606" s="3">
        <v>3.87</v>
      </c>
      <c r="J606" s="3">
        <v>55</v>
      </c>
      <c r="K606" s="15" t="str">
        <f ca="1">IF(F606="Enrolled",TODAY()-E606,"0")</f>
        <v>0</v>
      </c>
      <c r="L606" s="3" t="str">
        <f>IF(I606&gt;=3.5,"Excellent",IF(I606&gt;=3,"Good",IF(I606&gt;=2,"Average","Poor")))</f>
        <v>Excellent</v>
      </c>
      <c r="M606" s="3" t="str">
        <v>Dr.Roy</v>
      </c>
      <c r="N606" s="3" t="str">
        <f>IF(H606 &gt; (G606*50%), "Yes", "No")</f>
        <v>No</v>
      </c>
      <c r="O606" s="16">
        <f>G606-H606</f>
        <v>8807</v>
      </c>
      <c r="P606" s="16">
        <f>SUMIFS(O606:O606,E606:E606,"Science",F606:F606,"Completed")</f>
        <v>0</v>
      </c>
      <c r="Q606" s="3" t="str">
        <f>IF(MONTH(E606)&gt;=7, YEAR(E606)&amp;"-"&amp;YEAR(E606)+1, YEAR(E606)-1&amp;"-"&amp;YEAR(E606))</f>
        <v>2023-2024</v>
      </c>
      <c r="R606" s="3"/>
      <c r="S606" s="3"/>
      <c r="T606" s="15">
        <f t="shared" ca="1" si="9"/>
        <v>784</v>
      </c>
      <c r="U606" s="3"/>
    </row>
    <row r="607" spans="1:21" x14ac:dyDescent="0.35">
      <c r="A607" s="3" t="s">
        <v>1235</v>
      </c>
      <c r="B607" s="3" t="s">
        <v>1236</v>
      </c>
      <c r="C607" s="3" t="s">
        <v>57</v>
      </c>
      <c r="D607" s="3" t="s">
        <v>13</v>
      </c>
      <c r="E607" s="6">
        <v>44905</v>
      </c>
      <c r="F607" s="3" t="s">
        <v>19</v>
      </c>
      <c r="G607" s="3">
        <v>14226</v>
      </c>
      <c r="H607" s="3">
        <v>7209</v>
      </c>
      <c r="I607" s="3">
        <v>2.8</v>
      </c>
      <c r="J607" s="3">
        <v>77</v>
      </c>
      <c r="K607" s="15" t="str">
        <f ca="1">IF(F607="Enrolled",TODAY()-E607,"0")</f>
        <v>0</v>
      </c>
      <c r="L607" s="3" t="str">
        <f>IF(I607&gt;=3.5,"Excellent",IF(I607&gt;=3,"Good",IF(I607&gt;=2,"Average","Poor")))</f>
        <v>Average</v>
      </c>
      <c r="M607" s="3" t="str">
        <v>Dr.Mehta</v>
      </c>
      <c r="N607" s="3" t="str">
        <f>IF(H607 &gt; (G607*50%), "Yes", "No")</f>
        <v>Yes</v>
      </c>
      <c r="O607" s="16">
        <f>G607-H607</f>
        <v>7017</v>
      </c>
      <c r="P607" s="16">
        <f>SUMIFS(O607:O607,E607:E607,"Science",F607:F607,"Completed")</f>
        <v>0</v>
      </c>
      <c r="Q607" s="3" t="str">
        <f>IF(MONTH(E607)&gt;=7, YEAR(E607)&amp;"-"&amp;YEAR(E607)+1, YEAR(E607)-1&amp;"-"&amp;YEAR(E607))</f>
        <v>2022-2023</v>
      </c>
      <c r="R607" s="3"/>
      <c r="S607" s="3"/>
      <c r="T607" s="15">
        <f t="shared" ca="1" si="9"/>
        <v>1149</v>
      </c>
      <c r="U607" s="3"/>
    </row>
    <row r="608" spans="1:21" x14ac:dyDescent="0.35">
      <c r="A608" s="3" t="s">
        <v>1237</v>
      </c>
      <c r="B608" s="3" t="s">
        <v>1238</v>
      </c>
      <c r="C608" s="3" t="s">
        <v>22</v>
      </c>
      <c r="D608" s="3" t="s">
        <v>18</v>
      </c>
      <c r="E608" s="6">
        <v>44993</v>
      </c>
      <c r="F608" s="3" t="s">
        <v>14</v>
      </c>
      <c r="G608" s="3">
        <v>8513</v>
      </c>
      <c r="H608" s="3">
        <v>1900</v>
      </c>
      <c r="I608" s="3">
        <v>2.38</v>
      </c>
      <c r="J608" s="3">
        <v>32</v>
      </c>
      <c r="K608" s="15">
        <f ca="1">IF(F608="Enrolled",TODAY()-E608,"0")</f>
        <v>1061</v>
      </c>
      <c r="L608" s="3" t="str">
        <f>IF(I608&gt;=3.5,"Excellent",IF(I608&gt;=3,"Good",IF(I608&gt;=2,"Average","Poor")))</f>
        <v>Average</v>
      </c>
      <c r="M608" s="3" t="str">
        <v>Dr.Roy</v>
      </c>
      <c r="N608" s="3" t="str">
        <f>IF(H608 &gt; (G608*50%), "Yes", "No")</f>
        <v>No</v>
      </c>
      <c r="O608" s="16">
        <f>G608-H608</f>
        <v>6613</v>
      </c>
      <c r="P608" s="16">
        <f>SUMIFS(O608:O608,E608:E608,"Science",F608:F608,"Completed")</f>
        <v>0</v>
      </c>
      <c r="Q608" s="3" t="str">
        <f>IF(MONTH(E608)&gt;=7, YEAR(E608)&amp;"-"&amp;YEAR(E608)+1, YEAR(E608)-1&amp;"-"&amp;YEAR(E608))</f>
        <v>2022-2023</v>
      </c>
      <c r="R608" s="3"/>
      <c r="S608" s="3"/>
      <c r="T608" s="15" t="str">
        <f t="shared" ca="1" si="9"/>
        <v>0</v>
      </c>
      <c r="U608" s="3"/>
    </row>
    <row r="609" spans="1:21" x14ac:dyDescent="0.35">
      <c r="A609" s="3" t="s">
        <v>1239</v>
      </c>
      <c r="B609" s="3" t="s">
        <v>1240</v>
      </c>
      <c r="C609" s="3" t="s">
        <v>54</v>
      </c>
      <c r="D609" s="3" t="s">
        <v>13</v>
      </c>
      <c r="E609" s="6">
        <v>45013</v>
      </c>
      <c r="F609" s="3" t="s">
        <v>14</v>
      </c>
      <c r="G609" s="3">
        <v>11839</v>
      </c>
      <c r="H609" s="3">
        <v>2074</v>
      </c>
      <c r="I609" s="3">
        <v>2.94</v>
      </c>
      <c r="J609" s="3">
        <v>9</v>
      </c>
      <c r="K609" s="15">
        <f ca="1">IF(F609="Enrolled",TODAY()-E609,"0")</f>
        <v>1041</v>
      </c>
      <c r="L609" s="3" t="str">
        <f>IF(I609&gt;=3.5,"Excellent",IF(I609&gt;=3,"Good",IF(I609&gt;=2,"Average","Poor")))</f>
        <v>Average</v>
      </c>
      <c r="M609" s="3" t="str">
        <v>Dr.Mehta</v>
      </c>
      <c r="N609" s="3" t="str">
        <f>IF(H609 &gt; (G609*50%), "Yes", "No")</f>
        <v>No</v>
      </c>
      <c r="O609" s="16">
        <f>G609-H609</f>
        <v>9765</v>
      </c>
      <c r="P609" s="16">
        <f>SUMIFS(O609:O609,E609:E609,"Science",F609:F609,"Completed")</f>
        <v>0</v>
      </c>
      <c r="Q609" s="3" t="str">
        <f>IF(MONTH(E609)&gt;=7, YEAR(E609)&amp;"-"&amp;YEAR(E609)+1, YEAR(E609)-1&amp;"-"&amp;YEAR(E609))</f>
        <v>2022-2023</v>
      </c>
      <c r="R609" s="3"/>
      <c r="S609" s="3"/>
      <c r="T609" s="15" t="str">
        <f t="shared" ca="1" si="9"/>
        <v>0</v>
      </c>
      <c r="U609" s="3"/>
    </row>
    <row r="610" spans="1:21" x14ac:dyDescent="0.35">
      <c r="A610" s="3" t="s">
        <v>1241</v>
      </c>
      <c r="B610" s="3" t="s">
        <v>1242</v>
      </c>
      <c r="C610" s="3" t="s">
        <v>22</v>
      </c>
      <c r="D610" s="3" t="s">
        <v>62</v>
      </c>
      <c r="E610" s="6">
        <v>45105</v>
      </c>
      <c r="F610" s="3" t="s">
        <v>14</v>
      </c>
      <c r="G610" s="3">
        <v>11789</v>
      </c>
      <c r="H610" s="3">
        <v>2842</v>
      </c>
      <c r="I610" s="3">
        <v>2.0499999999999998</v>
      </c>
      <c r="J610" s="3">
        <v>103</v>
      </c>
      <c r="K610" s="15">
        <f ca="1">IF(F610="Enrolled",TODAY()-E610,"0")</f>
        <v>949</v>
      </c>
      <c r="L610" s="3" t="str">
        <f>IF(I610&gt;=3.5,"Excellent",IF(I610&gt;=3,"Good",IF(I610&gt;=2,"Average","Poor")))</f>
        <v>Average</v>
      </c>
      <c r="M610" s="3" t="str">
        <v>Dr.Sinha</v>
      </c>
      <c r="N610" s="3" t="str">
        <f>IF(H610 &gt; (G610*50%), "Yes", "No")</f>
        <v>No</v>
      </c>
      <c r="O610" s="16">
        <f>G610-H610</f>
        <v>8947</v>
      </c>
      <c r="P610" s="16">
        <f>SUMIFS(O610:O610,E610:E610,"Science",F610:F610,"Completed")</f>
        <v>0</v>
      </c>
      <c r="Q610" s="3" t="str">
        <f>IF(MONTH(E610)&gt;=7, YEAR(E610)&amp;"-"&amp;YEAR(E610)+1, YEAR(E610)-1&amp;"-"&amp;YEAR(E610))</f>
        <v>2022-2023</v>
      </c>
      <c r="R610" s="3"/>
      <c r="S610" s="3"/>
      <c r="T610" s="15" t="str">
        <f t="shared" ca="1" si="9"/>
        <v>0</v>
      </c>
      <c r="U610" s="3"/>
    </row>
    <row r="611" spans="1:21" x14ac:dyDescent="0.35">
      <c r="A611" s="3" t="s">
        <v>1243</v>
      </c>
      <c r="B611" s="3" t="s">
        <v>1244</v>
      </c>
      <c r="C611" s="3" t="s">
        <v>54</v>
      </c>
      <c r="D611" s="3" t="s">
        <v>18</v>
      </c>
      <c r="E611" s="6">
        <v>45435</v>
      </c>
      <c r="F611" s="3" t="s">
        <v>14</v>
      </c>
      <c r="G611" s="3">
        <v>8777</v>
      </c>
      <c r="H611" s="3">
        <v>5534</v>
      </c>
      <c r="I611" s="3">
        <v>3.92</v>
      </c>
      <c r="J611" s="3">
        <v>44</v>
      </c>
      <c r="K611" s="15">
        <f ca="1">IF(F611="Enrolled",TODAY()-E611,"0")</f>
        <v>619</v>
      </c>
      <c r="L611" s="3" t="str">
        <f>IF(I611&gt;=3.5,"Excellent",IF(I611&gt;=3,"Good",IF(I611&gt;=2,"Average","Poor")))</f>
        <v>Excellent</v>
      </c>
      <c r="M611" s="3" t="str">
        <v>Dr.Roy</v>
      </c>
      <c r="N611" s="3" t="str">
        <f>IF(H611 &gt; (G611*50%), "Yes", "No")</f>
        <v>Yes</v>
      </c>
      <c r="O611" s="16">
        <f>G611-H611</f>
        <v>3243</v>
      </c>
      <c r="P611" s="16">
        <f>SUMIFS(O611:O611,E611:E611,"Science",F611:F611,"Completed")</f>
        <v>0</v>
      </c>
      <c r="Q611" s="3" t="str">
        <f>IF(MONTH(E611)&gt;=7, YEAR(E611)&amp;"-"&amp;YEAR(E611)+1, YEAR(E611)-1&amp;"-"&amp;YEAR(E611))</f>
        <v>2023-2024</v>
      </c>
      <c r="R611" s="3"/>
      <c r="S611" s="3"/>
      <c r="T611" s="15" t="str">
        <f t="shared" ca="1" si="9"/>
        <v>0</v>
      </c>
      <c r="U611" s="3"/>
    </row>
    <row r="612" spans="1:21" x14ac:dyDescent="0.35">
      <c r="A612" s="3" t="s">
        <v>1245</v>
      </c>
      <c r="B612" s="3" t="s">
        <v>1246</v>
      </c>
      <c r="C612" s="3" t="s">
        <v>54</v>
      </c>
      <c r="D612" s="3" t="s">
        <v>62</v>
      </c>
      <c r="E612" s="6">
        <v>45024</v>
      </c>
      <c r="F612" s="3" t="s">
        <v>39</v>
      </c>
      <c r="G612" s="3">
        <v>14001</v>
      </c>
      <c r="H612" s="3">
        <v>1920</v>
      </c>
      <c r="I612" s="3">
        <v>2.66</v>
      </c>
      <c r="J612" s="3">
        <v>83</v>
      </c>
      <c r="K612" s="15" t="str">
        <f ca="1">IF(F612="Enrolled",TODAY()-E612,"0")</f>
        <v>0</v>
      </c>
      <c r="L612" s="3" t="str">
        <f>IF(I612&gt;=3.5,"Excellent",IF(I612&gt;=3,"Good",IF(I612&gt;=2,"Average","Poor")))</f>
        <v>Average</v>
      </c>
      <c r="M612" s="3" t="str">
        <v>Dr.Sinha</v>
      </c>
      <c r="N612" s="3" t="str">
        <f>IF(H612 &gt; (G612*50%), "Yes", "No")</f>
        <v>No</v>
      </c>
      <c r="O612" s="16">
        <f>G612-H612</f>
        <v>12081</v>
      </c>
      <c r="P612" s="16">
        <f>SUMIFS(O612:O612,E612:E612,"Science",F612:F612,"Completed")</f>
        <v>0</v>
      </c>
      <c r="Q612" s="3" t="str">
        <f>IF(MONTH(E612)&gt;=7, YEAR(E612)&amp;"-"&amp;YEAR(E612)+1, YEAR(E612)-1&amp;"-"&amp;YEAR(E612))</f>
        <v>2022-2023</v>
      </c>
      <c r="R612" s="3"/>
      <c r="S612" s="3"/>
      <c r="T612" s="15" t="str">
        <f t="shared" ca="1" si="9"/>
        <v>0</v>
      </c>
      <c r="U612" s="3"/>
    </row>
    <row r="613" spans="1:21" x14ac:dyDescent="0.35">
      <c r="A613" s="3" t="s">
        <v>1247</v>
      </c>
      <c r="B613" s="3" t="s">
        <v>1248</v>
      </c>
      <c r="C613" s="3" t="s">
        <v>36</v>
      </c>
      <c r="D613" s="3" t="s">
        <v>13</v>
      </c>
      <c r="E613" s="6">
        <v>44895</v>
      </c>
      <c r="F613" s="3" t="s">
        <v>39</v>
      </c>
      <c r="G613" s="3">
        <v>10096</v>
      </c>
      <c r="H613" s="3">
        <v>7573</v>
      </c>
      <c r="I613" s="3">
        <v>2.58</v>
      </c>
      <c r="J613" s="3">
        <v>99</v>
      </c>
      <c r="K613" s="15" t="str">
        <f ca="1">IF(F613="Enrolled",TODAY()-E613,"0")</f>
        <v>0</v>
      </c>
      <c r="L613" s="3" t="str">
        <f>IF(I613&gt;=3.5,"Excellent",IF(I613&gt;=3,"Good",IF(I613&gt;=2,"Average","Poor")))</f>
        <v>Average</v>
      </c>
      <c r="M613" s="3" t="str">
        <v>Dr.Mehta</v>
      </c>
      <c r="N613" s="3" t="str">
        <f>IF(H613 &gt; (G613*50%), "Yes", "No")</f>
        <v>Yes</v>
      </c>
      <c r="O613" s="16">
        <f>G613-H613</f>
        <v>2523</v>
      </c>
      <c r="P613" s="16">
        <f>SUMIFS(O613:O613,E613:E613,"Science",F613:F613,"Completed")</f>
        <v>0</v>
      </c>
      <c r="Q613" s="3" t="str">
        <f>IF(MONTH(E613)&gt;=7, YEAR(E613)&amp;"-"&amp;YEAR(E613)+1, YEAR(E613)-1&amp;"-"&amp;YEAR(E613))</f>
        <v>2022-2023</v>
      </c>
      <c r="R613" s="3"/>
      <c r="S613" s="3"/>
      <c r="T613" s="15" t="str">
        <f t="shared" ca="1" si="9"/>
        <v>0</v>
      </c>
      <c r="U613" s="3"/>
    </row>
    <row r="614" spans="1:21" x14ac:dyDescent="0.35">
      <c r="A614" s="3" t="s">
        <v>1249</v>
      </c>
      <c r="B614" s="3" t="s">
        <v>1250</v>
      </c>
      <c r="C614" s="3" t="s">
        <v>22</v>
      </c>
      <c r="D614" s="3" t="s">
        <v>13</v>
      </c>
      <c r="E614" s="6">
        <v>45237</v>
      </c>
      <c r="F614" s="3" t="s">
        <v>14</v>
      </c>
      <c r="G614" s="3">
        <v>12350</v>
      </c>
      <c r="H614" s="3">
        <v>9222</v>
      </c>
      <c r="I614" s="3">
        <v>2.86</v>
      </c>
      <c r="J614" s="3">
        <v>31</v>
      </c>
      <c r="K614" s="15">
        <f ca="1">IF(F614="Enrolled",TODAY()-E614,"0")</f>
        <v>817</v>
      </c>
      <c r="L614" s="3" t="str">
        <f>IF(I614&gt;=3.5,"Excellent",IF(I614&gt;=3,"Good",IF(I614&gt;=2,"Average","Poor")))</f>
        <v>Average</v>
      </c>
      <c r="M614" s="3" t="str">
        <v>Dr.Mehta</v>
      </c>
      <c r="N614" s="3" t="str">
        <f>IF(H614 &gt; (G614*50%), "Yes", "No")</f>
        <v>Yes</v>
      </c>
      <c r="O614" s="16">
        <f>G614-H614</f>
        <v>3128</v>
      </c>
      <c r="P614" s="16">
        <f>SUMIFS(O614:O614,E614:E614,"Science",F614:F614,"Completed")</f>
        <v>0</v>
      </c>
      <c r="Q614" s="3" t="str">
        <f>IF(MONTH(E614)&gt;=7, YEAR(E614)&amp;"-"&amp;YEAR(E614)+1, YEAR(E614)-1&amp;"-"&amp;YEAR(E614))</f>
        <v>2023-2024</v>
      </c>
      <c r="R614" s="3"/>
      <c r="S614" s="3"/>
      <c r="T614" s="15" t="str">
        <f t="shared" ca="1" si="9"/>
        <v>0</v>
      </c>
      <c r="U614" s="3"/>
    </row>
    <row r="615" spans="1:21" x14ac:dyDescent="0.35">
      <c r="A615" s="3" t="s">
        <v>1251</v>
      </c>
      <c r="B615" s="3" t="s">
        <v>1252</v>
      </c>
      <c r="C615" s="3" t="s">
        <v>54</v>
      </c>
      <c r="D615" s="3" t="s">
        <v>18</v>
      </c>
      <c r="E615" s="6">
        <v>45362</v>
      </c>
      <c r="F615" s="3" t="s">
        <v>14</v>
      </c>
      <c r="G615" s="3">
        <v>7322</v>
      </c>
      <c r="H615" s="3">
        <v>1136</v>
      </c>
      <c r="I615" s="3">
        <v>2.16</v>
      </c>
      <c r="J615" s="3">
        <v>38</v>
      </c>
      <c r="K615" s="15">
        <f ca="1">IF(F615="Enrolled",TODAY()-E615,"0")</f>
        <v>692</v>
      </c>
      <c r="L615" s="3" t="str">
        <f>IF(I615&gt;=3.5,"Excellent",IF(I615&gt;=3,"Good",IF(I615&gt;=2,"Average","Poor")))</f>
        <v>Average</v>
      </c>
      <c r="M615" s="3" t="str">
        <v>Dr.Roy</v>
      </c>
      <c r="N615" s="3" t="str">
        <f>IF(H615 &gt; (G615*50%), "Yes", "No")</f>
        <v>No</v>
      </c>
      <c r="O615" s="16">
        <f>G615-H615</f>
        <v>6186</v>
      </c>
      <c r="P615" s="16">
        <f>SUMIFS(O615:O615,E615:E615,"Science",F615:F615,"Completed")</f>
        <v>0</v>
      </c>
      <c r="Q615" s="3" t="str">
        <f>IF(MONTH(E615)&gt;=7, YEAR(E615)&amp;"-"&amp;YEAR(E615)+1, YEAR(E615)-1&amp;"-"&amp;YEAR(E615))</f>
        <v>2023-2024</v>
      </c>
      <c r="R615" s="3"/>
      <c r="S615" s="3"/>
      <c r="T615" s="15" t="str">
        <f t="shared" ca="1" si="9"/>
        <v>0</v>
      </c>
      <c r="U615" s="3"/>
    </row>
    <row r="616" spans="1:21" x14ac:dyDescent="0.35">
      <c r="A616" s="3" t="s">
        <v>1253</v>
      </c>
      <c r="B616" s="3" t="s">
        <v>1254</v>
      </c>
      <c r="C616" s="3" t="s">
        <v>28</v>
      </c>
      <c r="D616" s="3" t="s">
        <v>31</v>
      </c>
      <c r="E616" s="6">
        <v>45394</v>
      </c>
      <c r="F616" s="3" t="s">
        <v>14</v>
      </c>
      <c r="G616" s="3">
        <v>5312</v>
      </c>
      <c r="H616" s="3">
        <v>8824</v>
      </c>
      <c r="I616" s="3">
        <v>2.78</v>
      </c>
      <c r="J616" s="3">
        <v>25</v>
      </c>
      <c r="K616" s="15">
        <f ca="1">IF(F616="Enrolled",TODAY()-E616,"0")</f>
        <v>660</v>
      </c>
      <c r="L616" s="3" t="str">
        <f>IF(I616&gt;=3.5,"Excellent",IF(I616&gt;=3,"Good",IF(I616&gt;=2,"Average","Poor")))</f>
        <v>Average</v>
      </c>
      <c r="M616" s="3" t="str">
        <v>Dr.Sharma</v>
      </c>
      <c r="N616" s="3" t="str">
        <f>IF(H616 &gt; (G616*50%), "Yes", "No")</f>
        <v>Yes</v>
      </c>
      <c r="O616" s="16">
        <f>G616-H616</f>
        <v>-3512</v>
      </c>
      <c r="P616" s="16">
        <f>SUMIFS(O616:O616,E616:E616,"Science",F616:F616,"Completed")</f>
        <v>0</v>
      </c>
      <c r="Q616" s="3" t="str">
        <f>IF(MONTH(E616)&gt;=7, YEAR(E616)&amp;"-"&amp;YEAR(E616)+1, YEAR(E616)-1&amp;"-"&amp;YEAR(E616))</f>
        <v>2023-2024</v>
      </c>
      <c r="R616" s="3"/>
      <c r="S616" s="3"/>
      <c r="T616" s="15" t="str">
        <f t="shared" ca="1" si="9"/>
        <v>0</v>
      </c>
      <c r="U616" s="3"/>
    </row>
    <row r="617" spans="1:21" x14ac:dyDescent="0.35">
      <c r="A617" s="3" t="s">
        <v>1255</v>
      </c>
      <c r="B617" s="3" t="s">
        <v>1256</v>
      </c>
      <c r="C617" s="3" t="s">
        <v>22</v>
      </c>
      <c r="D617" s="3" t="s">
        <v>62</v>
      </c>
      <c r="E617" s="6">
        <v>45293</v>
      </c>
      <c r="F617" s="3" t="s">
        <v>14</v>
      </c>
      <c r="G617" s="3">
        <v>6373</v>
      </c>
      <c r="H617" s="3">
        <v>5830</v>
      </c>
      <c r="I617" s="3">
        <v>3.33</v>
      </c>
      <c r="J617" s="3">
        <v>54</v>
      </c>
      <c r="K617" s="15">
        <f ca="1">IF(F617="Enrolled",TODAY()-E617,"0")</f>
        <v>761</v>
      </c>
      <c r="L617" s="3" t="str">
        <f>IF(I617&gt;=3.5,"Excellent",IF(I617&gt;=3,"Good",IF(I617&gt;=2,"Average","Poor")))</f>
        <v>Good</v>
      </c>
      <c r="M617" s="3" t="str">
        <v>Dr.Sinha</v>
      </c>
      <c r="N617" s="3" t="str">
        <f>IF(H617 &gt; (G617*50%), "Yes", "No")</f>
        <v>Yes</v>
      </c>
      <c r="O617" s="16">
        <f>G617-H617</f>
        <v>543</v>
      </c>
      <c r="P617" s="16">
        <f>SUMIFS(O617:O617,E617:E617,"Science",F617:F617,"Completed")</f>
        <v>0</v>
      </c>
      <c r="Q617" s="3" t="str">
        <f>IF(MONTH(E617)&gt;=7, YEAR(E617)&amp;"-"&amp;YEAR(E617)+1, YEAR(E617)-1&amp;"-"&amp;YEAR(E617))</f>
        <v>2023-2024</v>
      </c>
      <c r="R617" s="3"/>
      <c r="S617" s="3"/>
      <c r="T617" s="15" t="str">
        <f t="shared" ca="1" si="9"/>
        <v>0</v>
      </c>
      <c r="U617" s="3"/>
    </row>
    <row r="618" spans="1:21" x14ac:dyDescent="0.35">
      <c r="A618" s="3" t="s">
        <v>1257</v>
      </c>
      <c r="B618" s="3" t="s">
        <v>1258</v>
      </c>
      <c r="C618" s="3" t="s">
        <v>57</v>
      </c>
      <c r="D618" s="3" t="s">
        <v>31</v>
      </c>
      <c r="E618" s="6">
        <v>45184</v>
      </c>
      <c r="F618" s="3" t="s">
        <v>14</v>
      </c>
      <c r="G618" s="3">
        <v>4233</v>
      </c>
      <c r="H618" s="3">
        <v>3690</v>
      </c>
      <c r="I618" s="3">
        <v>2.95</v>
      </c>
      <c r="J618" s="3">
        <v>25</v>
      </c>
      <c r="K618" s="15">
        <f ca="1">IF(F618="Enrolled",TODAY()-E618,"0")</f>
        <v>870</v>
      </c>
      <c r="L618" s="3" t="str">
        <f>IF(I618&gt;=3.5,"Excellent",IF(I618&gt;=3,"Good",IF(I618&gt;=2,"Average","Poor")))</f>
        <v>Average</v>
      </c>
      <c r="M618" s="3" t="str">
        <v>Dr.Sharma</v>
      </c>
      <c r="N618" s="3" t="str">
        <f>IF(H618 &gt; (G618*50%), "Yes", "No")</f>
        <v>Yes</v>
      </c>
      <c r="O618" s="16">
        <f>G618-H618</f>
        <v>543</v>
      </c>
      <c r="P618" s="16">
        <f>SUMIFS(O618:O618,E618:E618,"Science",F618:F618,"Completed")</f>
        <v>0</v>
      </c>
      <c r="Q618" s="3" t="str">
        <f>IF(MONTH(E618)&gt;=7, YEAR(E618)&amp;"-"&amp;YEAR(E618)+1, YEAR(E618)-1&amp;"-"&amp;YEAR(E618))</f>
        <v>2023-2024</v>
      </c>
      <c r="R618" s="3"/>
      <c r="S618" s="3"/>
      <c r="T618" s="15" t="str">
        <f t="shared" ca="1" si="9"/>
        <v>0</v>
      </c>
      <c r="U618" s="3"/>
    </row>
    <row r="619" spans="1:21" x14ac:dyDescent="0.35">
      <c r="A619" s="3" t="s">
        <v>1259</v>
      </c>
      <c r="B619" s="3" t="s">
        <v>1260</v>
      </c>
      <c r="C619" s="3" t="s">
        <v>12</v>
      </c>
      <c r="D619" s="3" t="s">
        <v>62</v>
      </c>
      <c r="E619" s="6">
        <v>45072</v>
      </c>
      <c r="F619" s="3" t="s">
        <v>19</v>
      </c>
      <c r="G619" s="3">
        <v>13229</v>
      </c>
      <c r="H619" s="3">
        <v>4756</v>
      </c>
      <c r="I619" s="3">
        <v>3.6</v>
      </c>
      <c r="J619" s="3">
        <v>93</v>
      </c>
      <c r="K619" s="15" t="str">
        <f ca="1">IF(F619="Enrolled",TODAY()-E619,"0")</f>
        <v>0</v>
      </c>
      <c r="L619" s="3" t="str">
        <f>IF(I619&gt;=3.5,"Excellent",IF(I619&gt;=3,"Good",IF(I619&gt;=2,"Average","Poor")))</f>
        <v>Excellent</v>
      </c>
      <c r="M619" s="3" t="str">
        <v>Dr.Sinha</v>
      </c>
      <c r="N619" s="3" t="str">
        <f>IF(H619 &gt; (G619*50%), "Yes", "No")</f>
        <v>No</v>
      </c>
      <c r="O619" s="16">
        <f>G619-H619</f>
        <v>8473</v>
      </c>
      <c r="P619" s="16">
        <f>SUMIFS(O619:O619,E619:E619,"Science",F619:F619,"Completed")</f>
        <v>0</v>
      </c>
      <c r="Q619" s="3" t="str">
        <f>IF(MONTH(E619)&gt;=7, YEAR(E619)&amp;"-"&amp;YEAR(E619)+1, YEAR(E619)-1&amp;"-"&amp;YEAR(E619))</f>
        <v>2022-2023</v>
      </c>
      <c r="R619" s="3"/>
      <c r="S619" s="3"/>
      <c r="T619" s="15">
        <f t="shared" ca="1" si="9"/>
        <v>982</v>
      </c>
      <c r="U619" s="3"/>
    </row>
    <row r="620" spans="1:21" x14ac:dyDescent="0.35">
      <c r="A620" s="3" t="s">
        <v>1261</v>
      </c>
      <c r="B620" s="3" t="s">
        <v>1262</v>
      </c>
      <c r="C620" s="3" t="s">
        <v>57</v>
      </c>
      <c r="D620" s="3" t="s">
        <v>18</v>
      </c>
      <c r="E620" s="6">
        <v>45345</v>
      </c>
      <c r="F620" s="3" t="s">
        <v>14</v>
      </c>
      <c r="G620" s="3">
        <v>3758</v>
      </c>
      <c r="H620" s="3">
        <v>7268</v>
      </c>
      <c r="I620" s="3">
        <v>2.16</v>
      </c>
      <c r="J620" s="3">
        <v>57</v>
      </c>
      <c r="K620" s="15">
        <f ca="1">IF(F620="Enrolled",TODAY()-E620,"0")</f>
        <v>709</v>
      </c>
      <c r="L620" s="3" t="str">
        <f>IF(I620&gt;=3.5,"Excellent",IF(I620&gt;=3,"Good",IF(I620&gt;=2,"Average","Poor")))</f>
        <v>Average</v>
      </c>
      <c r="M620" s="3" t="str">
        <v>Dr.Roy</v>
      </c>
      <c r="N620" s="3" t="str">
        <f>IF(H620 &gt; (G620*50%), "Yes", "No")</f>
        <v>Yes</v>
      </c>
      <c r="O620" s="16">
        <f>G620-H620</f>
        <v>-3510</v>
      </c>
      <c r="P620" s="16">
        <f>SUMIFS(O620:O620,E620:E620,"Science",F620:F620,"Completed")</f>
        <v>0</v>
      </c>
      <c r="Q620" s="3" t="str">
        <f>IF(MONTH(E620)&gt;=7, YEAR(E620)&amp;"-"&amp;YEAR(E620)+1, YEAR(E620)-1&amp;"-"&amp;YEAR(E620))</f>
        <v>2023-2024</v>
      </c>
      <c r="R620" s="3"/>
      <c r="S620" s="3"/>
      <c r="T620" s="15" t="str">
        <f t="shared" ca="1" si="9"/>
        <v>0</v>
      </c>
      <c r="U620" s="3"/>
    </row>
    <row r="621" spans="1:21" x14ac:dyDescent="0.35">
      <c r="A621" s="3" t="s">
        <v>1263</v>
      </c>
      <c r="B621" s="3" t="s">
        <v>1264</v>
      </c>
      <c r="C621" s="3" t="s">
        <v>22</v>
      </c>
      <c r="D621" s="3" t="s">
        <v>13</v>
      </c>
      <c r="E621" s="6">
        <v>44669</v>
      </c>
      <c r="F621" s="3" t="s">
        <v>19</v>
      </c>
      <c r="G621" s="3">
        <v>12721</v>
      </c>
      <c r="H621" s="3">
        <v>2480</v>
      </c>
      <c r="I621" s="3">
        <v>3.64</v>
      </c>
      <c r="J621" s="3">
        <v>7</v>
      </c>
      <c r="K621" s="15" t="str">
        <f ca="1">IF(F621="Enrolled",TODAY()-E621,"0")</f>
        <v>0</v>
      </c>
      <c r="L621" s="3" t="str">
        <f>IF(I621&gt;=3.5,"Excellent",IF(I621&gt;=3,"Good",IF(I621&gt;=2,"Average","Poor")))</f>
        <v>Excellent</v>
      </c>
      <c r="M621" s="3" t="str">
        <v>Dr.Mehta</v>
      </c>
      <c r="N621" s="3" t="str">
        <f>IF(H621 &gt; (G621*50%), "Yes", "No")</f>
        <v>No</v>
      </c>
      <c r="O621" s="16">
        <f>G621-H621</f>
        <v>10241</v>
      </c>
      <c r="P621" s="16">
        <f>SUMIFS(O621:O621,E621:E621,"Science",F621:F621,"Completed")</f>
        <v>0</v>
      </c>
      <c r="Q621" s="3" t="str">
        <f>IF(MONTH(E621)&gt;=7, YEAR(E621)&amp;"-"&amp;YEAR(E621)+1, YEAR(E621)-1&amp;"-"&amp;YEAR(E621))</f>
        <v>2021-2022</v>
      </c>
      <c r="R621" s="3"/>
      <c r="S621" s="3"/>
      <c r="T621" s="15">
        <f t="shared" ca="1" si="9"/>
        <v>1385</v>
      </c>
      <c r="U621" s="3"/>
    </row>
    <row r="622" spans="1:21" x14ac:dyDescent="0.35">
      <c r="A622" s="3" t="s">
        <v>1265</v>
      </c>
      <c r="B622" s="3" t="s">
        <v>1266</v>
      </c>
      <c r="C622" s="3" t="s">
        <v>57</v>
      </c>
      <c r="D622" s="3" t="s">
        <v>18</v>
      </c>
      <c r="E622" s="6">
        <v>45122</v>
      </c>
      <c r="F622" s="3" t="s">
        <v>14</v>
      </c>
      <c r="G622" s="3">
        <v>4337</v>
      </c>
      <c r="H622" s="3">
        <v>3817</v>
      </c>
      <c r="I622" s="3">
        <v>3.46</v>
      </c>
      <c r="J622" s="3">
        <v>45</v>
      </c>
      <c r="K622" s="15">
        <f ca="1">IF(F622="Enrolled",TODAY()-E622,"0")</f>
        <v>932</v>
      </c>
      <c r="L622" s="3" t="str">
        <f>IF(I622&gt;=3.5,"Excellent",IF(I622&gt;=3,"Good",IF(I622&gt;=2,"Average","Poor")))</f>
        <v>Good</v>
      </c>
      <c r="M622" s="3" t="str">
        <v>Dr.Roy</v>
      </c>
      <c r="N622" s="3" t="str">
        <f>IF(H622 &gt; (G622*50%), "Yes", "No")</f>
        <v>Yes</v>
      </c>
      <c r="O622" s="16">
        <f>G622-H622</f>
        <v>520</v>
      </c>
      <c r="P622" s="16">
        <f>SUMIFS(O622:O622,E622:E622,"Science",F622:F622,"Completed")</f>
        <v>0</v>
      </c>
      <c r="Q622" s="3" t="str">
        <f>IF(MONTH(E622)&gt;=7, YEAR(E622)&amp;"-"&amp;YEAR(E622)+1, YEAR(E622)-1&amp;"-"&amp;YEAR(E622))</f>
        <v>2023-2024</v>
      </c>
      <c r="R622" s="3"/>
      <c r="S622" s="3"/>
      <c r="T622" s="15" t="str">
        <f t="shared" ca="1" si="9"/>
        <v>0</v>
      </c>
      <c r="U622" s="3"/>
    </row>
    <row r="623" spans="1:21" x14ac:dyDescent="0.35">
      <c r="A623" s="3" t="s">
        <v>1267</v>
      </c>
      <c r="B623" s="3" t="s">
        <v>1268</v>
      </c>
      <c r="C623" s="3" t="s">
        <v>25</v>
      </c>
      <c r="D623" s="3" t="s">
        <v>13</v>
      </c>
      <c r="E623" s="6">
        <v>45006</v>
      </c>
      <c r="F623" s="3" t="s">
        <v>14</v>
      </c>
      <c r="G623" s="3">
        <v>10462</v>
      </c>
      <c r="H623" s="3">
        <v>5148</v>
      </c>
      <c r="I623" s="3">
        <v>3.84</v>
      </c>
      <c r="J623" s="3">
        <v>100</v>
      </c>
      <c r="K623" s="15">
        <f ca="1">IF(F623="Enrolled",TODAY()-E623,"0")</f>
        <v>1048</v>
      </c>
      <c r="L623" s="3" t="str">
        <f>IF(I623&gt;=3.5,"Excellent",IF(I623&gt;=3,"Good",IF(I623&gt;=2,"Average","Poor")))</f>
        <v>Excellent</v>
      </c>
      <c r="M623" s="3" t="str">
        <v>Dr.Mehta</v>
      </c>
      <c r="N623" s="3" t="str">
        <f>IF(H623 &gt; (G623*50%), "Yes", "No")</f>
        <v>No</v>
      </c>
      <c r="O623" s="16">
        <f>G623-H623</f>
        <v>5314</v>
      </c>
      <c r="P623" s="16">
        <f>SUMIFS(O623:O623,E623:E623,"Science",F623:F623,"Completed")</f>
        <v>0</v>
      </c>
      <c r="Q623" s="3" t="str">
        <f>IF(MONTH(E623)&gt;=7, YEAR(E623)&amp;"-"&amp;YEAR(E623)+1, YEAR(E623)-1&amp;"-"&amp;YEAR(E623))</f>
        <v>2022-2023</v>
      </c>
      <c r="R623" s="3"/>
      <c r="S623" s="3"/>
      <c r="T623" s="15" t="str">
        <f t="shared" ca="1" si="9"/>
        <v>0</v>
      </c>
      <c r="U623" s="3"/>
    </row>
    <row r="624" spans="1:21" x14ac:dyDescent="0.35">
      <c r="A624" s="3" t="s">
        <v>1269</v>
      </c>
      <c r="B624" s="3" t="s">
        <v>1270</v>
      </c>
      <c r="C624" s="3" t="s">
        <v>57</v>
      </c>
      <c r="D624" s="3" t="s">
        <v>13</v>
      </c>
      <c r="E624" s="6">
        <v>44657</v>
      </c>
      <c r="F624" s="3" t="s">
        <v>14</v>
      </c>
      <c r="G624" s="3">
        <v>3395</v>
      </c>
      <c r="H624" s="3">
        <v>776</v>
      </c>
      <c r="I624" s="3">
        <v>3.15</v>
      </c>
      <c r="J624" s="3">
        <v>111</v>
      </c>
      <c r="K624" s="15">
        <f ca="1">IF(F624="Enrolled",TODAY()-E624,"0")</f>
        <v>1397</v>
      </c>
      <c r="L624" s="3" t="str">
        <f>IF(I624&gt;=3.5,"Excellent",IF(I624&gt;=3,"Good",IF(I624&gt;=2,"Average","Poor")))</f>
        <v>Good</v>
      </c>
      <c r="M624" s="3" t="str">
        <v>Dr.Mehta</v>
      </c>
      <c r="N624" s="3" t="str">
        <f>IF(H624 &gt; (G624*50%), "Yes", "No")</f>
        <v>No</v>
      </c>
      <c r="O624" s="16">
        <f>G624-H624</f>
        <v>2619</v>
      </c>
      <c r="P624" s="16">
        <f>SUMIFS(O624:O624,E624:E624,"Science",F624:F624,"Completed")</f>
        <v>0</v>
      </c>
      <c r="Q624" s="3" t="str">
        <f>IF(MONTH(E624)&gt;=7, YEAR(E624)&amp;"-"&amp;YEAR(E624)+1, YEAR(E624)-1&amp;"-"&amp;YEAR(E624))</f>
        <v>2021-2022</v>
      </c>
      <c r="R624" s="3"/>
      <c r="S624" s="3"/>
      <c r="T624" s="15" t="str">
        <f t="shared" ca="1" si="9"/>
        <v>0</v>
      </c>
      <c r="U624" s="3"/>
    </row>
    <row r="625" spans="1:21" x14ac:dyDescent="0.35">
      <c r="A625" s="3" t="s">
        <v>1271</v>
      </c>
      <c r="B625" s="3" t="s">
        <v>1272</v>
      </c>
      <c r="C625" s="3" t="s">
        <v>22</v>
      </c>
      <c r="D625" s="3" t="s">
        <v>13</v>
      </c>
      <c r="E625" s="6">
        <v>45253</v>
      </c>
      <c r="F625" s="3" t="s">
        <v>19</v>
      </c>
      <c r="G625" s="3">
        <v>4517</v>
      </c>
      <c r="H625" s="3">
        <v>4565</v>
      </c>
      <c r="I625" s="3">
        <v>2.2999999999999998</v>
      </c>
      <c r="J625" s="3">
        <v>10</v>
      </c>
      <c r="K625" s="15" t="str">
        <f ca="1">IF(F625="Enrolled",TODAY()-E625,"0")</f>
        <v>0</v>
      </c>
      <c r="L625" s="3" t="str">
        <f>IF(I625&gt;=3.5,"Excellent",IF(I625&gt;=3,"Good",IF(I625&gt;=2,"Average","Poor")))</f>
        <v>Average</v>
      </c>
      <c r="M625" s="3" t="str">
        <v>Dr.Mehta</v>
      </c>
      <c r="N625" s="3" t="str">
        <f>IF(H625 &gt; (G625*50%), "Yes", "No")</f>
        <v>Yes</v>
      </c>
      <c r="O625" s="16">
        <f>G625-H625</f>
        <v>-48</v>
      </c>
      <c r="P625" s="16">
        <f>SUMIFS(O625:O625,E625:E625,"Science",F625:F625,"Completed")</f>
        <v>0</v>
      </c>
      <c r="Q625" s="3" t="str">
        <f>IF(MONTH(E625)&gt;=7, YEAR(E625)&amp;"-"&amp;YEAR(E625)+1, YEAR(E625)-1&amp;"-"&amp;YEAR(E625))</f>
        <v>2023-2024</v>
      </c>
      <c r="R625" s="3"/>
      <c r="S625" s="3"/>
      <c r="T625" s="15">
        <f t="shared" ca="1" si="9"/>
        <v>801</v>
      </c>
      <c r="U625" s="3"/>
    </row>
    <row r="626" spans="1:21" x14ac:dyDescent="0.35">
      <c r="A626" s="3" t="s">
        <v>1273</v>
      </c>
      <c r="B626" s="3" t="s">
        <v>1274</v>
      </c>
      <c r="C626" s="3" t="s">
        <v>36</v>
      </c>
      <c r="D626" s="3" t="s">
        <v>18</v>
      </c>
      <c r="E626" s="6">
        <v>45458</v>
      </c>
      <c r="F626" s="3" t="s">
        <v>14</v>
      </c>
      <c r="G626" s="3">
        <v>13029</v>
      </c>
      <c r="H626" s="3">
        <v>8730</v>
      </c>
      <c r="I626" s="3">
        <v>3.5</v>
      </c>
      <c r="J626" s="3">
        <v>38</v>
      </c>
      <c r="K626" s="15">
        <f ca="1">IF(F626="Enrolled",TODAY()-E626,"0")</f>
        <v>596</v>
      </c>
      <c r="L626" s="3" t="str">
        <f>IF(I626&gt;=3.5,"Excellent",IF(I626&gt;=3,"Good",IF(I626&gt;=2,"Average","Poor")))</f>
        <v>Excellent</v>
      </c>
      <c r="M626" s="3" t="str">
        <v>Dr.Roy</v>
      </c>
      <c r="N626" s="3" t="str">
        <f>IF(H626 &gt; (G626*50%), "Yes", "No")</f>
        <v>Yes</v>
      </c>
      <c r="O626" s="16">
        <f>G626-H626</f>
        <v>4299</v>
      </c>
      <c r="P626" s="16">
        <f>SUMIFS(O626:O626,E626:E626,"Science",F626:F626,"Completed")</f>
        <v>0</v>
      </c>
      <c r="Q626" s="3" t="str">
        <f>IF(MONTH(E626)&gt;=7, YEAR(E626)&amp;"-"&amp;YEAR(E626)+1, YEAR(E626)-1&amp;"-"&amp;YEAR(E626))</f>
        <v>2023-2024</v>
      </c>
      <c r="R626" s="3"/>
      <c r="S626" s="3"/>
      <c r="T626" s="15" t="str">
        <f t="shared" ca="1" si="9"/>
        <v>0</v>
      </c>
      <c r="U626" s="3"/>
    </row>
    <row r="627" spans="1:21" x14ac:dyDescent="0.35">
      <c r="A627" s="3" t="s">
        <v>1275</v>
      </c>
      <c r="B627" s="3" t="s">
        <v>1276</v>
      </c>
      <c r="C627" s="3" t="s">
        <v>28</v>
      </c>
      <c r="D627" s="3" t="s">
        <v>62</v>
      </c>
      <c r="E627" s="6">
        <v>45052</v>
      </c>
      <c r="F627" s="3" t="s">
        <v>19</v>
      </c>
      <c r="G627" s="3">
        <v>10361</v>
      </c>
      <c r="H627" s="3">
        <v>8648</v>
      </c>
      <c r="I627" s="3">
        <v>2.52</v>
      </c>
      <c r="J627" s="3">
        <v>19</v>
      </c>
      <c r="K627" s="15" t="str">
        <f ca="1">IF(F627="Enrolled",TODAY()-E627,"0")</f>
        <v>0</v>
      </c>
      <c r="L627" s="3" t="str">
        <f>IF(I627&gt;=3.5,"Excellent",IF(I627&gt;=3,"Good",IF(I627&gt;=2,"Average","Poor")))</f>
        <v>Average</v>
      </c>
      <c r="M627" s="3" t="str">
        <v>Dr.Sinha</v>
      </c>
      <c r="N627" s="3" t="str">
        <f>IF(H627 &gt; (G627*50%), "Yes", "No")</f>
        <v>Yes</v>
      </c>
      <c r="O627" s="16">
        <f>G627-H627</f>
        <v>1713</v>
      </c>
      <c r="P627" s="16">
        <f>SUMIFS(O627:O627,E627:E627,"Science",F627:F627,"Completed")</f>
        <v>0</v>
      </c>
      <c r="Q627" s="3" t="str">
        <f>IF(MONTH(E627)&gt;=7, YEAR(E627)&amp;"-"&amp;YEAR(E627)+1, YEAR(E627)-1&amp;"-"&amp;YEAR(E627))</f>
        <v>2022-2023</v>
      </c>
      <c r="R627" s="3"/>
      <c r="S627" s="3"/>
      <c r="T627" s="15">
        <f t="shared" ca="1" si="9"/>
        <v>1002</v>
      </c>
      <c r="U627" s="3"/>
    </row>
    <row r="628" spans="1:21" x14ac:dyDescent="0.35">
      <c r="A628" s="3" t="s">
        <v>1277</v>
      </c>
      <c r="B628" s="3" t="s">
        <v>1278</v>
      </c>
      <c r="C628" s="3" t="s">
        <v>54</v>
      </c>
      <c r="D628" s="3" t="s">
        <v>31</v>
      </c>
      <c r="E628" s="6">
        <v>45101</v>
      </c>
      <c r="F628" s="3" t="s">
        <v>14</v>
      </c>
      <c r="G628" s="3">
        <v>9360</v>
      </c>
      <c r="H628" s="3">
        <v>9308</v>
      </c>
      <c r="I628" s="3">
        <v>2.3199999999999998</v>
      </c>
      <c r="J628" s="3">
        <v>114</v>
      </c>
      <c r="K628" s="15">
        <f ca="1">IF(F628="Enrolled",TODAY()-E628,"0")</f>
        <v>953</v>
      </c>
      <c r="L628" s="3" t="str">
        <f>IF(I628&gt;=3.5,"Excellent",IF(I628&gt;=3,"Good",IF(I628&gt;=2,"Average","Poor")))</f>
        <v>Average</v>
      </c>
      <c r="M628" s="3" t="str">
        <v>Dr.Sharma</v>
      </c>
      <c r="N628" s="3" t="str">
        <f>IF(H628 &gt; (G628*50%), "Yes", "No")</f>
        <v>Yes</v>
      </c>
      <c r="O628" s="16">
        <f>G628-H628</f>
        <v>52</v>
      </c>
      <c r="P628" s="16">
        <f>SUMIFS(O628:O628,E628:E628,"Science",F628:F628,"Completed")</f>
        <v>0</v>
      </c>
      <c r="Q628" s="3" t="str">
        <f>IF(MONTH(E628)&gt;=7, YEAR(E628)&amp;"-"&amp;YEAR(E628)+1, YEAR(E628)-1&amp;"-"&amp;YEAR(E628))</f>
        <v>2022-2023</v>
      </c>
      <c r="R628" s="3"/>
      <c r="S628" s="3"/>
      <c r="T628" s="15" t="str">
        <f t="shared" ca="1" si="9"/>
        <v>0</v>
      </c>
      <c r="U628" s="3"/>
    </row>
    <row r="629" spans="1:21" x14ac:dyDescent="0.35">
      <c r="A629" s="3" t="s">
        <v>1279</v>
      </c>
      <c r="B629" s="3" t="s">
        <v>1280</v>
      </c>
      <c r="C629" s="3" t="s">
        <v>28</v>
      </c>
      <c r="D629" s="3" t="s">
        <v>31</v>
      </c>
      <c r="E629" s="6">
        <v>45162</v>
      </c>
      <c r="F629" s="3" t="s">
        <v>19</v>
      </c>
      <c r="G629" s="3">
        <v>8250</v>
      </c>
      <c r="H629" s="3">
        <v>77</v>
      </c>
      <c r="I629" s="3">
        <v>3.47</v>
      </c>
      <c r="J629" s="3">
        <v>98</v>
      </c>
      <c r="K629" s="15" t="str">
        <f ca="1">IF(F629="Enrolled",TODAY()-E629,"0")</f>
        <v>0</v>
      </c>
      <c r="L629" s="3" t="str">
        <f>IF(I629&gt;=3.5,"Excellent",IF(I629&gt;=3,"Good",IF(I629&gt;=2,"Average","Poor")))</f>
        <v>Good</v>
      </c>
      <c r="M629" s="3" t="str">
        <v>Dr.Sharma</v>
      </c>
      <c r="N629" s="3" t="str">
        <f>IF(H629 &gt; (G629*50%), "Yes", "No")</f>
        <v>No</v>
      </c>
      <c r="O629" s="16">
        <f>G629-H629</f>
        <v>8173</v>
      </c>
      <c r="P629" s="16">
        <f>SUMIFS(O629:O629,E629:E629,"Science",F629:F629,"Completed")</f>
        <v>0</v>
      </c>
      <c r="Q629" s="3" t="str">
        <f>IF(MONTH(E629)&gt;=7, YEAR(E629)&amp;"-"&amp;YEAR(E629)+1, YEAR(E629)-1&amp;"-"&amp;YEAR(E629))</f>
        <v>2023-2024</v>
      </c>
      <c r="R629" s="3"/>
      <c r="S629" s="3"/>
      <c r="T629" s="15">
        <f t="shared" ca="1" si="9"/>
        <v>892</v>
      </c>
      <c r="U629" s="3"/>
    </row>
    <row r="630" spans="1:21" x14ac:dyDescent="0.35">
      <c r="A630" s="3" t="s">
        <v>1281</v>
      </c>
      <c r="B630" s="3" t="s">
        <v>1282</v>
      </c>
      <c r="C630" s="3" t="s">
        <v>28</v>
      </c>
      <c r="D630" s="3" t="s">
        <v>18</v>
      </c>
      <c r="E630" s="6">
        <v>45046</v>
      </c>
      <c r="F630" s="3" t="s">
        <v>14</v>
      </c>
      <c r="G630" s="3">
        <v>6986</v>
      </c>
      <c r="H630" s="3">
        <v>1773</v>
      </c>
      <c r="I630" s="3">
        <v>3.12</v>
      </c>
      <c r="J630" s="3">
        <v>106</v>
      </c>
      <c r="K630" s="15">
        <f ca="1">IF(F630="Enrolled",TODAY()-E630,"0")</f>
        <v>1008</v>
      </c>
      <c r="L630" s="3" t="str">
        <f>IF(I630&gt;=3.5,"Excellent",IF(I630&gt;=3,"Good",IF(I630&gt;=2,"Average","Poor")))</f>
        <v>Good</v>
      </c>
      <c r="M630" s="3" t="str">
        <v>Dr.Roy</v>
      </c>
      <c r="N630" s="3" t="str">
        <f>IF(H630 &gt; (G630*50%), "Yes", "No")</f>
        <v>No</v>
      </c>
      <c r="O630" s="16">
        <f>G630-H630</f>
        <v>5213</v>
      </c>
      <c r="P630" s="16">
        <f>SUMIFS(O630:O630,E630:E630,"Science",F630:F630,"Completed")</f>
        <v>0</v>
      </c>
      <c r="Q630" s="3" t="str">
        <f>IF(MONTH(E630)&gt;=7, YEAR(E630)&amp;"-"&amp;YEAR(E630)+1, YEAR(E630)-1&amp;"-"&amp;YEAR(E630))</f>
        <v>2022-2023</v>
      </c>
      <c r="R630" s="3"/>
      <c r="S630" s="3"/>
      <c r="T630" s="15" t="str">
        <f t="shared" ca="1" si="9"/>
        <v>0</v>
      </c>
      <c r="U630" s="3"/>
    </row>
    <row r="631" spans="1:21" x14ac:dyDescent="0.35">
      <c r="A631" s="3" t="s">
        <v>1283</v>
      </c>
      <c r="B631" s="3" t="s">
        <v>1284</v>
      </c>
      <c r="C631" s="3" t="s">
        <v>36</v>
      </c>
      <c r="D631" s="3" t="s">
        <v>18</v>
      </c>
      <c r="E631" s="6">
        <v>44927</v>
      </c>
      <c r="F631" s="3" t="s">
        <v>19</v>
      </c>
      <c r="G631" s="3">
        <v>14012</v>
      </c>
      <c r="H631" s="3">
        <v>7567</v>
      </c>
      <c r="I631" s="3">
        <v>2.29</v>
      </c>
      <c r="J631" s="3">
        <v>86</v>
      </c>
      <c r="K631" s="15" t="str">
        <f ca="1">IF(F631="Enrolled",TODAY()-E631,"0")</f>
        <v>0</v>
      </c>
      <c r="L631" s="3" t="str">
        <f>IF(I631&gt;=3.5,"Excellent",IF(I631&gt;=3,"Good",IF(I631&gt;=2,"Average","Poor")))</f>
        <v>Average</v>
      </c>
      <c r="M631" s="3" t="str">
        <v>Dr.Roy</v>
      </c>
      <c r="N631" s="3" t="str">
        <f>IF(H631 &gt; (G631*50%), "Yes", "No")</f>
        <v>Yes</v>
      </c>
      <c r="O631" s="16">
        <f>G631-H631</f>
        <v>6445</v>
      </c>
      <c r="P631" s="16">
        <f>SUMIFS(O631:O631,E631:E631,"Science",F631:F631,"Completed")</f>
        <v>0</v>
      </c>
      <c r="Q631" s="3" t="str">
        <f>IF(MONTH(E631)&gt;=7, YEAR(E631)&amp;"-"&amp;YEAR(E631)+1, YEAR(E631)-1&amp;"-"&amp;YEAR(E631))</f>
        <v>2022-2023</v>
      </c>
      <c r="R631" s="3"/>
      <c r="S631" s="3"/>
      <c r="T631" s="15">
        <f t="shared" ca="1" si="9"/>
        <v>1127</v>
      </c>
      <c r="U631" s="3"/>
    </row>
    <row r="632" spans="1:21" x14ac:dyDescent="0.35">
      <c r="A632" s="3" t="s">
        <v>1285</v>
      </c>
      <c r="B632" s="3" t="s">
        <v>1286</v>
      </c>
      <c r="C632" s="3" t="s">
        <v>36</v>
      </c>
      <c r="D632" s="3" t="s">
        <v>13</v>
      </c>
      <c r="E632" s="6">
        <v>44979</v>
      </c>
      <c r="F632" s="3" t="s">
        <v>14</v>
      </c>
      <c r="G632" s="3">
        <v>6769</v>
      </c>
      <c r="H632" s="3">
        <v>2409</v>
      </c>
      <c r="I632" s="3">
        <v>2.2999999999999998</v>
      </c>
      <c r="J632" s="3">
        <v>57</v>
      </c>
      <c r="K632" s="15">
        <f ca="1">IF(F632="Enrolled",TODAY()-E632,"0")</f>
        <v>1075</v>
      </c>
      <c r="L632" s="3" t="str">
        <f>IF(I632&gt;=3.5,"Excellent",IF(I632&gt;=3,"Good",IF(I632&gt;=2,"Average","Poor")))</f>
        <v>Average</v>
      </c>
      <c r="M632" s="3" t="str">
        <v>Dr.Mehta</v>
      </c>
      <c r="N632" s="3" t="str">
        <f>IF(H632 &gt; (G632*50%), "Yes", "No")</f>
        <v>No</v>
      </c>
      <c r="O632" s="16">
        <f>G632-H632</f>
        <v>4360</v>
      </c>
      <c r="P632" s="16">
        <f>SUMIFS(O632:O632,E632:E632,"Science",F632:F632,"Completed")</f>
        <v>0</v>
      </c>
      <c r="Q632" s="3" t="str">
        <f>IF(MONTH(E632)&gt;=7, YEAR(E632)&amp;"-"&amp;YEAR(E632)+1, YEAR(E632)-1&amp;"-"&amp;YEAR(E632))</f>
        <v>2022-2023</v>
      </c>
      <c r="R632" s="3"/>
      <c r="S632" s="3"/>
      <c r="T632" s="15" t="str">
        <f t="shared" ca="1" si="9"/>
        <v>0</v>
      </c>
      <c r="U632" s="3"/>
    </row>
    <row r="633" spans="1:21" x14ac:dyDescent="0.35">
      <c r="A633" s="3" t="s">
        <v>1287</v>
      </c>
      <c r="B633" s="3" t="s">
        <v>1288</v>
      </c>
      <c r="C633" s="3" t="s">
        <v>17</v>
      </c>
      <c r="D633" s="3" t="s">
        <v>13</v>
      </c>
      <c r="E633" s="6">
        <v>45453</v>
      </c>
      <c r="F633" s="3" t="s">
        <v>14</v>
      </c>
      <c r="G633" s="3">
        <v>3621</v>
      </c>
      <c r="H633" s="3">
        <v>3198</v>
      </c>
      <c r="I633" s="3">
        <v>3.45</v>
      </c>
      <c r="J633" s="3">
        <v>16</v>
      </c>
      <c r="K633" s="15">
        <f ca="1">IF(F633="Enrolled",TODAY()-E633,"0")</f>
        <v>601</v>
      </c>
      <c r="L633" s="3" t="str">
        <f>IF(I633&gt;=3.5,"Excellent",IF(I633&gt;=3,"Good",IF(I633&gt;=2,"Average","Poor")))</f>
        <v>Good</v>
      </c>
      <c r="M633" s="3" t="str">
        <v>Dr.Mehta</v>
      </c>
      <c r="N633" s="3" t="str">
        <f>IF(H633 &gt; (G633*50%), "Yes", "No")</f>
        <v>Yes</v>
      </c>
      <c r="O633" s="16">
        <f>G633-H633</f>
        <v>423</v>
      </c>
      <c r="P633" s="16">
        <f>SUMIFS(O633:O633,E633:E633,"Science",F633:F633,"Completed")</f>
        <v>0</v>
      </c>
      <c r="Q633" s="3" t="str">
        <f>IF(MONTH(E633)&gt;=7, YEAR(E633)&amp;"-"&amp;YEAR(E633)+1, YEAR(E633)-1&amp;"-"&amp;YEAR(E633))</f>
        <v>2023-2024</v>
      </c>
      <c r="R633" s="3"/>
      <c r="S633" s="3"/>
      <c r="T633" s="15" t="str">
        <f t="shared" ca="1" si="9"/>
        <v>0</v>
      </c>
      <c r="U633" s="3"/>
    </row>
    <row r="634" spans="1:21" x14ac:dyDescent="0.35">
      <c r="A634" s="3" t="s">
        <v>1289</v>
      </c>
      <c r="B634" s="3" t="s">
        <v>1290</v>
      </c>
      <c r="C634" s="3" t="s">
        <v>54</v>
      </c>
      <c r="D634" s="3" t="s">
        <v>31</v>
      </c>
      <c r="E634" s="6">
        <v>44701</v>
      </c>
      <c r="F634" s="3" t="s">
        <v>39</v>
      </c>
      <c r="G634" s="3">
        <v>14499</v>
      </c>
      <c r="H634" s="3">
        <v>2164</v>
      </c>
      <c r="I634" s="3">
        <v>2.4</v>
      </c>
      <c r="J634" s="3">
        <v>21</v>
      </c>
      <c r="K634" s="15" t="str">
        <f ca="1">IF(F634="Enrolled",TODAY()-E634,"0")</f>
        <v>0</v>
      </c>
      <c r="L634" s="3" t="str">
        <f>IF(I634&gt;=3.5,"Excellent",IF(I634&gt;=3,"Good",IF(I634&gt;=2,"Average","Poor")))</f>
        <v>Average</v>
      </c>
      <c r="M634" s="3" t="str">
        <v>Dr.Sharma</v>
      </c>
      <c r="N634" s="3" t="str">
        <f>IF(H634 &gt; (G634*50%), "Yes", "No")</f>
        <v>No</v>
      </c>
      <c r="O634" s="16">
        <f>G634-H634</f>
        <v>12335</v>
      </c>
      <c r="P634" s="16">
        <f>SUMIFS(O634:O634,E634:E634,"Science",F634:F634,"Completed")</f>
        <v>0</v>
      </c>
      <c r="Q634" s="3" t="str">
        <f>IF(MONTH(E634)&gt;=7, YEAR(E634)&amp;"-"&amp;YEAR(E634)+1, YEAR(E634)-1&amp;"-"&amp;YEAR(E634))</f>
        <v>2021-2022</v>
      </c>
      <c r="R634" s="3"/>
      <c r="S634" s="3"/>
      <c r="T634" s="15" t="str">
        <f t="shared" ca="1" si="9"/>
        <v>0</v>
      </c>
      <c r="U634" s="3"/>
    </row>
    <row r="635" spans="1:21" x14ac:dyDescent="0.35">
      <c r="A635" s="3" t="s">
        <v>1291</v>
      </c>
      <c r="B635" s="3" t="s">
        <v>1292</v>
      </c>
      <c r="C635" s="3" t="s">
        <v>17</v>
      </c>
      <c r="D635" s="3" t="s">
        <v>62</v>
      </c>
      <c r="E635" s="6">
        <v>45096</v>
      </c>
      <c r="F635" s="3" t="s">
        <v>14</v>
      </c>
      <c r="G635" s="3">
        <v>4859</v>
      </c>
      <c r="H635" s="3">
        <v>250</v>
      </c>
      <c r="I635" s="3">
        <v>3.26</v>
      </c>
      <c r="J635" s="3">
        <v>99</v>
      </c>
      <c r="K635" s="15">
        <f ca="1">IF(F635="Enrolled",TODAY()-E635,"0")</f>
        <v>958</v>
      </c>
      <c r="L635" s="3" t="str">
        <f>IF(I635&gt;=3.5,"Excellent",IF(I635&gt;=3,"Good",IF(I635&gt;=2,"Average","Poor")))</f>
        <v>Good</v>
      </c>
      <c r="M635" s="3" t="str">
        <v>Dr.Sinha</v>
      </c>
      <c r="N635" s="3" t="str">
        <f>IF(H635 &gt; (G635*50%), "Yes", "No")</f>
        <v>No</v>
      </c>
      <c r="O635" s="16">
        <f>G635-H635</f>
        <v>4609</v>
      </c>
      <c r="P635" s="16">
        <f>SUMIFS(O635:O635,E635:E635,"Science",F635:F635,"Completed")</f>
        <v>0</v>
      </c>
      <c r="Q635" s="3" t="str">
        <f>IF(MONTH(E635)&gt;=7, YEAR(E635)&amp;"-"&amp;YEAR(E635)+1, YEAR(E635)-1&amp;"-"&amp;YEAR(E635))</f>
        <v>2022-2023</v>
      </c>
      <c r="R635" s="3"/>
      <c r="S635" s="3"/>
      <c r="T635" s="15" t="str">
        <f t="shared" ca="1" si="9"/>
        <v>0</v>
      </c>
      <c r="U635" s="3"/>
    </row>
    <row r="636" spans="1:21" x14ac:dyDescent="0.35">
      <c r="A636" s="3" t="s">
        <v>1293</v>
      </c>
      <c r="B636" s="3" t="s">
        <v>1294</v>
      </c>
      <c r="C636" s="3" t="s">
        <v>28</v>
      </c>
      <c r="D636" s="3" t="s">
        <v>13</v>
      </c>
      <c r="E636" s="6">
        <v>44827</v>
      </c>
      <c r="F636" s="3" t="s">
        <v>19</v>
      </c>
      <c r="G636" s="3">
        <v>3080</v>
      </c>
      <c r="H636" s="3">
        <v>9821</v>
      </c>
      <c r="I636" s="3">
        <v>2.33</v>
      </c>
      <c r="J636" s="3">
        <v>94</v>
      </c>
      <c r="K636" s="15" t="str">
        <f ca="1">IF(F636="Enrolled",TODAY()-E636,"0")</f>
        <v>0</v>
      </c>
      <c r="L636" s="3" t="str">
        <f>IF(I636&gt;=3.5,"Excellent",IF(I636&gt;=3,"Good",IF(I636&gt;=2,"Average","Poor")))</f>
        <v>Average</v>
      </c>
      <c r="M636" s="3" t="str">
        <v>Dr.Mehta</v>
      </c>
      <c r="N636" s="3" t="str">
        <f>IF(H636 &gt; (G636*50%), "Yes", "No")</f>
        <v>Yes</v>
      </c>
      <c r="O636" s="16">
        <f>G636-H636</f>
        <v>-6741</v>
      </c>
      <c r="P636" s="16">
        <f>SUMIFS(O636:O636,E636:E636,"Science",F636:F636,"Completed")</f>
        <v>0</v>
      </c>
      <c r="Q636" s="3" t="str">
        <f>IF(MONTH(E636)&gt;=7, YEAR(E636)&amp;"-"&amp;YEAR(E636)+1, YEAR(E636)-1&amp;"-"&amp;YEAR(E636))</f>
        <v>2022-2023</v>
      </c>
      <c r="R636" s="3"/>
      <c r="S636" s="3"/>
      <c r="T636" s="15">
        <f t="shared" ca="1" si="9"/>
        <v>1227</v>
      </c>
      <c r="U636" s="3"/>
    </row>
    <row r="637" spans="1:21" x14ac:dyDescent="0.35">
      <c r="A637" s="3" t="s">
        <v>1295</v>
      </c>
      <c r="B637" s="3" t="s">
        <v>1296</v>
      </c>
      <c r="C637" s="3" t="s">
        <v>54</v>
      </c>
      <c r="D637" s="3" t="s">
        <v>31</v>
      </c>
      <c r="E637" s="6">
        <v>44933</v>
      </c>
      <c r="F637" s="3" t="s">
        <v>19</v>
      </c>
      <c r="G637" s="3">
        <v>10910</v>
      </c>
      <c r="H637" s="3">
        <v>3649</v>
      </c>
      <c r="I637" s="3">
        <v>3.02</v>
      </c>
      <c r="J637" s="3">
        <v>70</v>
      </c>
      <c r="K637" s="15" t="str">
        <f ca="1">IF(F637="Enrolled",TODAY()-E637,"0")</f>
        <v>0</v>
      </c>
      <c r="L637" s="3" t="str">
        <f>IF(I637&gt;=3.5,"Excellent",IF(I637&gt;=3,"Good",IF(I637&gt;=2,"Average","Poor")))</f>
        <v>Good</v>
      </c>
      <c r="M637" s="3" t="str">
        <v>Dr.Sharma</v>
      </c>
      <c r="N637" s="3" t="str">
        <f>IF(H637 &gt; (G637*50%), "Yes", "No")</f>
        <v>No</v>
      </c>
      <c r="O637" s="16">
        <f>G637-H637</f>
        <v>7261</v>
      </c>
      <c r="P637" s="16">
        <f>SUMIFS(O637:O637,E637:E637,"Science",F637:F637,"Completed")</f>
        <v>0</v>
      </c>
      <c r="Q637" s="3" t="str">
        <f>IF(MONTH(E637)&gt;=7, YEAR(E637)&amp;"-"&amp;YEAR(E637)+1, YEAR(E637)-1&amp;"-"&amp;YEAR(E637))</f>
        <v>2022-2023</v>
      </c>
      <c r="R637" s="3"/>
      <c r="S637" s="3"/>
      <c r="T637" s="15">
        <f t="shared" ca="1" si="9"/>
        <v>1121</v>
      </c>
      <c r="U637" s="3"/>
    </row>
    <row r="638" spans="1:21" x14ac:dyDescent="0.35">
      <c r="A638" s="3" t="s">
        <v>1297</v>
      </c>
      <c r="B638" s="3" t="s">
        <v>1298</v>
      </c>
      <c r="C638" s="3" t="s">
        <v>28</v>
      </c>
      <c r="D638" s="3" t="s">
        <v>13</v>
      </c>
      <c r="E638" s="6">
        <v>44894</v>
      </c>
      <c r="F638" s="3" t="s">
        <v>14</v>
      </c>
      <c r="G638" s="3">
        <v>12516</v>
      </c>
      <c r="H638" s="3">
        <v>1881</v>
      </c>
      <c r="I638" s="3">
        <v>3.86</v>
      </c>
      <c r="J638" s="3">
        <v>98</v>
      </c>
      <c r="K638" s="15">
        <f ca="1">IF(F638="Enrolled",TODAY()-E638,"0")</f>
        <v>1160</v>
      </c>
      <c r="L638" s="3" t="str">
        <f>IF(I638&gt;=3.5,"Excellent",IF(I638&gt;=3,"Good",IF(I638&gt;=2,"Average","Poor")))</f>
        <v>Excellent</v>
      </c>
      <c r="M638" s="3" t="str">
        <v>Dr.Mehta</v>
      </c>
      <c r="N638" s="3" t="str">
        <f>IF(H638 &gt; (G638*50%), "Yes", "No")</f>
        <v>No</v>
      </c>
      <c r="O638" s="16">
        <f>G638-H638</f>
        <v>10635</v>
      </c>
      <c r="P638" s="16">
        <f>SUMIFS(O638:O638,E638:E638,"Science",F638:F638,"Completed")</f>
        <v>0</v>
      </c>
      <c r="Q638" s="3" t="str">
        <f>IF(MONTH(E638)&gt;=7, YEAR(E638)&amp;"-"&amp;YEAR(E638)+1, YEAR(E638)-1&amp;"-"&amp;YEAR(E638))</f>
        <v>2022-2023</v>
      </c>
      <c r="R638" s="3"/>
      <c r="S638" s="3"/>
      <c r="T638" s="15" t="str">
        <f t="shared" ca="1" si="9"/>
        <v>0</v>
      </c>
      <c r="U638" s="3"/>
    </row>
    <row r="639" spans="1:21" x14ac:dyDescent="0.35">
      <c r="A639" s="3" t="s">
        <v>1299</v>
      </c>
      <c r="B639" s="3" t="s">
        <v>1300</v>
      </c>
      <c r="C639" s="3" t="s">
        <v>28</v>
      </c>
      <c r="D639" s="3" t="s">
        <v>31</v>
      </c>
      <c r="E639" s="6">
        <v>45224</v>
      </c>
      <c r="F639" s="3" t="s">
        <v>14</v>
      </c>
      <c r="G639" s="3">
        <v>3587</v>
      </c>
      <c r="H639" s="3">
        <v>9014</v>
      </c>
      <c r="I639" s="3">
        <v>2.34</v>
      </c>
      <c r="J639" s="3">
        <v>57</v>
      </c>
      <c r="K639" s="15">
        <f ca="1">IF(F639="Enrolled",TODAY()-E639,"0")</f>
        <v>830</v>
      </c>
      <c r="L639" s="3" t="str">
        <f>IF(I639&gt;=3.5,"Excellent",IF(I639&gt;=3,"Good",IF(I639&gt;=2,"Average","Poor")))</f>
        <v>Average</v>
      </c>
      <c r="M639" s="3" t="str">
        <v>Dr.Sharma</v>
      </c>
      <c r="N639" s="3" t="str">
        <f>IF(H639 &gt; (G639*50%), "Yes", "No")</f>
        <v>Yes</v>
      </c>
      <c r="O639" s="16">
        <f>G639-H639</f>
        <v>-5427</v>
      </c>
      <c r="P639" s="16">
        <f>SUMIFS(O639:O639,E639:E639,"Science",F639:F639,"Completed")</f>
        <v>0</v>
      </c>
      <c r="Q639" s="3" t="str">
        <f>IF(MONTH(E639)&gt;=7, YEAR(E639)&amp;"-"&amp;YEAR(E639)+1, YEAR(E639)-1&amp;"-"&amp;YEAR(E639))</f>
        <v>2023-2024</v>
      </c>
      <c r="R639" s="3"/>
      <c r="S639" s="3"/>
      <c r="T639" s="15" t="str">
        <f t="shared" ca="1" si="9"/>
        <v>0</v>
      </c>
      <c r="U639" s="3"/>
    </row>
    <row r="640" spans="1:21" x14ac:dyDescent="0.35">
      <c r="A640" s="3" t="s">
        <v>1301</v>
      </c>
      <c r="B640" s="3" t="s">
        <v>1302</v>
      </c>
      <c r="C640" s="3" t="s">
        <v>54</v>
      </c>
      <c r="D640" s="3" t="s">
        <v>62</v>
      </c>
      <c r="E640" s="6">
        <v>45342</v>
      </c>
      <c r="F640" s="3" t="s">
        <v>19</v>
      </c>
      <c r="G640" s="3">
        <v>13307</v>
      </c>
      <c r="H640" s="3">
        <v>66</v>
      </c>
      <c r="I640" s="3">
        <v>2.4900000000000002</v>
      </c>
      <c r="J640" s="3">
        <v>99</v>
      </c>
      <c r="K640" s="15" t="str">
        <f ca="1">IF(F640="Enrolled",TODAY()-E640,"0")</f>
        <v>0</v>
      </c>
      <c r="L640" s="3" t="str">
        <f>IF(I640&gt;=3.5,"Excellent",IF(I640&gt;=3,"Good",IF(I640&gt;=2,"Average","Poor")))</f>
        <v>Average</v>
      </c>
      <c r="M640" s="3" t="str">
        <v>Dr.Sinha</v>
      </c>
      <c r="N640" s="3" t="str">
        <f>IF(H640 &gt; (G640*50%), "Yes", "No")</f>
        <v>No</v>
      </c>
      <c r="O640" s="16">
        <f>G640-H640</f>
        <v>13241</v>
      </c>
      <c r="P640" s="16">
        <f>SUMIFS(O640:O640,E640:E640,"Science",F640:F640,"Completed")</f>
        <v>0</v>
      </c>
      <c r="Q640" s="3" t="str">
        <f>IF(MONTH(E640)&gt;=7, YEAR(E640)&amp;"-"&amp;YEAR(E640)+1, YEAR(E640)-1&amp;"-"&amp;YEAR(E640))</f>
        <v>2023-2024</v>
      </c>
      <c r="R640" s="3"/>
      <c r="S640" s="3"/>
      <c r="T640" s="15">
        <f t="shared" ca="1" si="9"/>
        <v>712</v>
      </c>
      <c r="U640" s="3"/>
    </row>
    <row r="641" spans="1:21" x14ac:dyDescent="0.35">
      <c r="A641" s="3" t="s">
        <v>1303</v>
      </c>
      <c r="B641" s="3" t="s">
        <v>1304</v>
      </c>
      <c r="C641" s="3" t="s">
        <v>36</v>
      </c>
      <c r="D641" s="3" t="s">
        <v>18</v>
      </c>
      <c r="E641" s="6">
        <v>44920</v>
      </c>
      <c r="F641" s="3" t="s">
        <v>19</v>
      </c>
      <c r="G641" s="3">
        <v>4132</v>
      </c>
      <c r="H641" s="3">
        <v>6404</v>
      </c>
      <c r="I641" s="3">
        <v>2.63</v>
      </c>
      <c r="J641" s="3">
        <v>114</v>
      </c>
      <c r="K641" s="15" t="str">
        <f ca="1">IF(F641="Enrolled",TODAY()-E641,"0")</f>
        <v>0</v>
      </c>
      <c r="L641" s="3" t="str">
        <f>IF(I641&gt;=3.5,"Excellent",IF(I641&gt;=3,"Good",IF(I641&gt;=2,"Average","Poor")))</f>
        <v>Average</v>
      </c>
      <c r="M641" s="3" t="str">
        <v>Dr.Roy</v>
      </c>
      <c r="N641" s="3" t="str">
        <f>IF(H641 &gt; (G641*50%), "Yes", "No")</f>
        <v>Yes</v>
      </c>
      <c r="O641" s="16">
        <f>G641-H641</f>
        <v>-2272</v>
      </c>
      <c r="P641" s="16">
        <f>SUMIFS(O641:O641,E641:E641,"Science",F641:F641,"Completed")</f>
        <v>0</v>
      </c>
      <c r="Q641" s="3" t="str">
        <f>IF(MONTH(E641)&gt;=7, YEAR(E641)&amp;"-"&amp;YEAR(E641)+1, YEAR(E641)-1&amp;"-"&amp;YEAR(E641))</f>
        <v>2022-2023</v>
      </c>
      <c r="R641" s="3"/>
      <c r="S641" s="3"/>
      <c r="T641" s="15">
        <f t="shared" ca="1" si="9"/>
        <v>1134</v>
      </c>
      <c r="U641" s="3"/>
    </row>
    <row r="642" spans="1:21" x14ac:dyDescent="0.35">
      <c r="A642" s="3" t="s">
        <v>1305</v>
      </c>
      <c r="B642" s="3" t="s">
        <v>1306</v>
      </c>
      <c r="C642" s="3" t="s">
        <v>54</v>
      </c>
      <c r="D642" s="3" t="s">
        <v>18</v>
      </c>
      <c r="E642" s="6">
        <v>44693</v>
      </c>
      <c r="F642" s="3" t="s">
        <v>14</v>
      </c>
      <c r="G642" s="3">
        <v>5391</v>
      </c>
      <c r="H642" s="3">
        <v>7710</v>
      </c>
      <c r="I642" s="3">
        <v>3.61</v>
      </c>
      <c r="J642" s="3">
        <v>37</v>
      </c>
      <c r="K642" s="15">
        <f ca="1">IF(F642="Enrolled",TODAY()-E642,"0")</f>
        <v>1361</v>
      </c>
      <c r="L642" s="3" t="str">
        <f>IF(I642&gt;=3.5,"Excellent",IF(I642&gt;=3,"Good",IF(I642&gt;=2,"Average","Poor")))</f>
        <v>Excellent</v>
      </c>
      <c r="M642" s="3" t="str">
        <v>Dr.Roy</v>
      </c>
      <c r="N642" s="3" t="str">
        <f>IF(H642 &gt; (G642*50%), "Yes", "No")</f>
        <v>Yes</v>
      </c>
      <c r="O642" s="16">
        <f>G642-H642</f>
        <v>-2319</v>
      </c>
      <c r="P642" s="16">
        <f>SUMIFS(O642:O642,E642:E642,"Science",F642:F642,"Completed")</f>
        <v>0</v>
      </c>
      <c r="Q642" s="3" t="str">
        <f>IF(MONTH(E642)&gt;=7, YEAR(E642)&amp;"-"&amp;YEAR(E642)+1, YEAR(E642)-1&amp;"-"&amp;YEAR(E642))</f>
        <v>2021-2022</v>
      </c>
      <c r="R642" s="3"/>
      <c r="S642" s="3"/>
      <c r="T642" s="15" t="str">
        <f t="shared" ca="1" si="9"/>
        <v>0</v>
      </c>
      <c r="U642" s="3"/>
    </row>
    <row r="643" spans="1:21" x14ac:dyDescent="0.35">
      <c r="A643" s="3" t="s">
        <v>1307</v>
      </c>
      <c r="B643" s="3" t="s">
        <v>1308</v>
      </c>
      <c r="C643" s="3" t="s">
        <v>57</v>
      </c>
      <c r="D643" s="3" t="s">
        <v>18</v>
      </c>
      <c r="E643" s="6">
        <v>44835</v>
      </c>
      <c r="F643" s="3" t="s">
        <v>19</v>
      </c>
      <c r="G643" s="3">
        <v>4790</v>
      </c>
      <c r="H643" s="3">
        <v>5633</v>
      </c>
      <c r="I643" s="3">
        <v>2.11</v>
      </c>
      <c r="J643" s="3">
        <v>52</v>
      </c>
      <c r="K643" s="15" t="str">
        <f ca="1">IF(F643="Enrolled",TODAY()-E643,"0")</f>
        <v>0</v>
      </c>
      <c r="L643" s="3" t="str">
        <f>IF(I643&gt;=3.5,"Excellent",IF(I643&gt;=3,"Good",IF(I643&gt;=2,"Average","Poor")))</f>
        <v>Average</v>
      </c>
      <c r="M643" s="3" t="str">
        <v>Dr.Roy</v>
      </c>
      <c r="N643" s="3" t="str">
        <f>IF(H643 &gt; (G643*50%), "Yes", "No")</f>
        <v>Yes</v>
      </c>
      <c r="O643" s="16">
        <f>G643-H643</f>
        <v>-843</v>
      </c>
      <c r="P643" s="16">
        <f>SUMIFS(O643:O643,E643:E643,"Science",F643:F643,"Completed")</f>
        <v>0</v>
      </c>
      <c r="Q643" s="3" t="str">
        <f>IF(MONTH(E643)&gt;=7, YEAR(E643)&amp;"-"&amp;YEAR(E643)+1, YEAR(E643)-1&amp;"-"&amp;YEAR(E643))</f>
        <v>2022-2023</v>
      </c>
      <c r="R643" s="3"/>
      <c r="S643" s="3"/>
      <c r="T643" s="15">
        <f t="shared" ref="T643:T706" ca="1" si="10">IF(F643="Completed",TODAY()-E643,"0")</f>
        <v>1219</v>
      </c>
      <c r="U643" s="3"/>
    </row>
    <row r="644" spans="1:21" x14ac:dyDescent="0.35">
      <c r="A644" s="3" t="s">
        <v>1309</v>
      </c>
      <c r="B644" s="3" t="s">
        <v>1310</v>
      </c>
      <c r="C644" s="3" t="s">
        <v>36</v>
      </c>
      <c r="D644" s="3" t="s">
        <v>62</v>
      </c>
      <c r="E644" s="6">
        <v>44904</v>
      </c>
      <c r="F644" s="3" t="s">
        <v>14</v>
      </c>
      <c r="G644" s="3">
        <v>13302</v>
      </c>
      <c r="H644" s="3">
        <v>9211</v>
      </c>
      <c r="I644" s="3">
        <v>2.5</v>
      </c>
      <c r="J644" s="3">
        <v>98</v>
      </c>
      <c r="K644" s="15">
        <f ca="1">IF(F644="Enrolled",TODAY()-E644,"0")</f>
        <v>1150</v>
      </c>
      <c r="L644" s="3" t="str">
        <f>IF(I644&gt;=3.5,"Excellent",IF(I644&gt;=3,"Good",IF(I644&gt;=2,"Average","Poor")))</f>
        <v>Average</v>
      </c>
      <c r="M644" s="3" t="str">
        <v>Dr.Sinha</v>
      </c>
      <c r="N644" s="3" t="str">
        <f>IF(H644 &gt; (G644*50%), "Yes", "No")</f>
        <v>Yes</v>
      </c>
      <c r="O644" s="16">
        <f>G644-H644</f>
        <v>4091</v>
      </c>
      <c r="P644" s="16">
        <f>SUMIFS(O644:O644,E644:E644,"Science",F644:F644,"Completed")</f>
        <v>0</v>
      </c>
      <c r="Q644" s="3" t="str">
        <f>IF(MONTH(E644)&gt;=7, YEAR(E644)&amp;"-"&amp;YEAR(E644)+1, YEAR(E644)-1&amp;"-"&amp;YEAR(E644))</f>
        <v>2022-2023</v>
      </c>
      <c r="R644" s="3"/>
      <c r="S644" s="3"/>
      <c r="T644" s="15" t="str">
        <f t="shared" ca="1" si="10"/>
        <v>0</v>
      </c>
      <c r="U644" s="3"/>
    </row>
    <row r="645" spans="1:21" x14ac:dyDescent="0.35">
      <c r="A645" s="3" t="s">
        <v>1311</v>
      </c>
      <c r="B645" s="3" t="s">
        <v>1312</v>
      </c>
      <c r="C645" s="3" t="s">
        <v>54</v>
      </c>
      <c r="D645" s="3" t="s">
        <v>13</v>
      </c>
      <c r="E645" s="6">
        <v>45435</v>
      </c>
      <c r="F645" s="3" t="s">
        <v>14</v>
      </c>
      <c r="G645" s="3">
        <v>9424</v>
      </c>
      <c r="H645" s="3">
        <v>2947</v>
      </c>
      <c r="I645" s="3">
        <v>2.5</v>
      </c>
      <c r="J645" s="3">
        <v>86</v>
      </c>
      <c r="K645" s="15">
        <f ca="1">IF(F645="Enrolled",TODAY()-E645,"0")</f>
        <v>619</v>
      </c>
      <c r="L645" s="3" t="str">
        <f>IF(I645&gt;=3.5,"Excellent",IF(I645&gt;=3,"Good",IF(I645&gt;=2,"Average","Poor")))</f>
        <v>Average</v>
      </c>
      <c r="M645" s="3" t="str">
        <v>Dr.Mehta</v>
      </c>
      <c r="N645" s="3" t="str">
        <f>IF(H645 &gt; (G645*50%), "Yes", "No")</f>
        <v>No</v>
      </c>
      <c r="O645" s="16">
        <f>G645-H645</f>
        <v>6477</v>
      </c>
      <c r="P645" s="16">
        <f>SUMIFS(O645:O645,E645:E645,"Science",F645:F645,"Completed")</f>
        <v>0</v>
      </c>
      <c r="Q645" s="3" t="str">
        <f>IF(MONTH(E645)&gt;=7, YEAR(E645)&amp;"-"&amp;YEAR(E645)+1, YEAR(E645)-1&amp;"-"&amp;YEAR(E645))</f>
        <v>2023-2024</v>
      </c>
      <c r="R645" s="3"/>
      <c r="S645" s="3"/>
      <c r="T645" s="15" t="str">
        <f t="shared" ca="1" si="10"/>
        <v>0</v>
      </c>
      <c r="U645" s="3"/>
    </row>
    <row r="646" spans="1:21" x14ac:dyDescent="0.35">
      <c r="A646" s="3" t="s">
        <v>1313</v>
      </c>
      <c r="B646" s="3" t="s">
        <v>1314</v>
      </c>
      <c r="C646" s="3" t="s">
        <v>12</v>
      </c>
      <c r="D646" s="3" t="s">
        <v>31</v>
      </c>
      <c r="E646" s="6">
        <v>44992</v>
      </c>
      <c r="F646" s="3" t="s">
        <v>14</v>
      </c>
      <c r="G646" s="3">
        <v>13660</v>
      </c>
      <c r="H646" s="3">
        <v>1268</v>
      </c>
      <c r="I646" s="3">
        <v>3.06</v>
      </c>
      <c r="J646" s="3">
        <v>98</v>
      </c>
      <c r="K646" s="15">
        <f ca="1">IF(F646="Enrolled",TODAY()-E646,"0")</f>
        <v>1062</v>
      </c>
      <c r="L646" s="3" t="str">
        <f>IF(I646&gt;=3.5,"Excellent",IF(I646&gt;=3,"Good",IF(I646&gt;=2,"Average","Poor")))</f>
        <v>Good</v>
      </c>
      <c r="M646" s="3" t="str">
        <v>Dr.Sharma</v>
      </c>
      <c r="N646" s="3" t="str">
        <f>IF(H646 &gt; (G646*50%), "Yes", "No")</f>
        <v>No</v>
      </c>
      <c r="O646" s="16">
        <f>G646-H646</f>
        <v>12392</v>
      </c>
      <c r="P646" s="16">
        <f>SUMIFS(O646:O646,E646:E646,"Science",F646:F646,"Completed")</f>
        <v>0</v>
      </c>
      <c r="Q646" s="3" t="str">
        <f>IF(MONTH(E646)&gt;=7, YEAR(E646)&amp;"-"&amp;YEAR(E646)+1, YEAR(E646)-1&amp;"-"&amp;YEAR(E646))</f>
        <v>2022-2023</v>
      </c>
      <c r="R646" s="3"/>
      <c r="S646" s="3"/>
      <c r="T646" s="15" t="str">
        <f t="shared" ca="1" si="10"/>
        <v>0</v>
      </c>
      <c r="U646" s="3"/>
    </row>
    <row r="647" spans="1:21" x14ac:dyDescent="0.35">
      <c r="A647" s="3" t="s">
        <v>1315</v>
      </c>
      <c r="B647" s="3" t="s">
        <v>1316</v>
      </c>
      <c r="C647" s="3" t="s">
        <v>17</v>
      </c>
      <c r="D647" s="3" t="s">
        <v>18</v>
      </c>
      <c r="E647" s="6">
        <v>45038</v>
      </c>
      <c r="F647" s="3" t="s">
        <v>14</v>
      </c>
      <c r="G647" s="3">
        <v>2789</v>
      </c>
      <c r="H647" s="3">
        <v>469</v>
      </c>
      <c r="I647" s="3">
        <v>3.93</v>
      </c>
      <c r="J647" s="3">
        <v>22</v>
      </c>
      <c r="K647" s="15">
        <f ca="1">IF(F647="Enrolled",TODAY()-E647,"0")</f>
        <v>1016</v>
      </c>
      <c r="L647" s="3" t="str">
        <f>IF(I647&gt;=3.5,"Excellent",IF(I647&gt;=3,"Good",IF(I647&gt;=2,"Average","Poor")))</f>
        <v>Excellent</v>
      </c>
      <c r="M647" s="3" t="str">
        <v>Dr.Roy</v>
      </c>
      <c r="N647" s="3" t="str">
        <f>IF(H647 &gt; (G647*50%), "Yes", "No")</f>
        <v>No</v>
      </c>
      <c r="O647" s="16">
        <f>G647-H647</f>
        <v>2320</v>
      </c>
      <c r="P647" s="16">
        <f>SUMIFS(O647:O647,E647:E647,"Science",F647:F647,"Completed")</f>
        <v>0</v>
      </c>
      <c r="Q647" s="3" t="str">
        <f>IF(MONTH(E647)&gt;=7, YEAR(E647)&amp;"-"&amp;YEAR(E647)+1, YEAR(E647)-1&amp;"-"&amp;YEAR(E647))</f>
        <v>2022-2023</v>
      </c>
      <c r="R647" s="3"/>
      <c r="S647" s="3"/>
      <c r="T647" s="15" t="str">
        <f t="shared" ca="1" si="10"/>
        <v>0</v>
      </c>
      <c r="U647" s="3"/>
    </row>
    <row r="648" spans="1:21" x14ac:dyDescent="0.35">
      <c r="A648" s="3" t="s">
        <v>1317</v>
      </c>
      <c r="B648" s="3" t="s">
        <v>1318</v>
      </c>
      <c r="C648" s="3" t="s">
        <v>54</v>
      </c>
      <c r="D648" s="3" t="s">
        <v>62</v>
      </c>
      <c r="E648" s="6">
        <v>44718</v>
      </c>
      <c r="F648" s="3" t="s">
        <v>19</v>
      </c>
      <c r="G648" s="3">
        <v>14573</v>
      </c>
      <c r="H648" s="3">
        <v>2083</v>
      </c>
      <c r="I648" s="3">
        <v>2.67</v>
      </c>
      <c r="J648" s="3">
        <v>115</v>
      </c>
      <c r="K648" s="15" t="str">
        <f ca="1">IF(F648="Enrolled",TODAY()-E648,"0")</f>
        <v>0</v>
      </c>
      <c r="L648" s="3" t="str">
        <f>IF(I648&gt;=3.5,"Excellent",IF(I648&gt;=3,"Good",IF(I648&gt;=2,"Average","Poor")))</f>
        <v>Average</v>
      </c>
      <c r="M648" s="3" t="str">
        <v>Dr.Sinha</v>
      </c>
      <c r="N648" s="3" t="str">
        <f>IF(H648 &gt; (G648*50%), "Yes", "No")</f>
        <v>No</v>
      </c>
      <c r="O648" s="16">
        <f>G648-H648</f>
        <v>12490</v>
      </c>
      <c r="P648" s="16">
        <f>SUMIFS(O648:O648,E648:E648,"Science",F648:F648,"Completed")</f>
        <v>0</v>
      </c>
      <c r="Q648" s="3" t="str">
        <f>IF(MONTH(E648)&gt;=7, YEAR(E648)&amp;"-"&amp;YEAR(E648)+1, YEAR(E648)-1&amp;"-"&amp;YEAR(E648))</f>
        <v>2021-2022</v>
      </c>
      <c r="R648" s="3"/>
      <c r="S648" s="3"/>
      <c r="T648" s="15">
        <f t="shared" ca="1" si="10"/>
        <v>1336</v>
      </c>
      <c r="U648" s="3"/>
    </row>
    <row r="649" spans="1:21" x14ac:dyDescent="0.35">
      <c r="A649" s="3" t="s">
        <v>1319</v>
      </c>
      <c r="B649" s="3" t="s">
        <v>1320</v>
      </c>
      <c r="C649" s="3" t="s">
        <v>22</v>
      </c>
      <c r="D649" s="3" t="s">
        <v>31</v>
      </c>
      <c r="E649" s="6">
        <v>44625</v>
      </c>
      <c r="F649" s="3" t="s">
        <v>14</v>
      </c>
      <c r="G649" s="3">
        <v>4580</v>
      </c>
      <c r="H649" s="3">
        <v>2043</v>
      </c>
      <c r="I649" s="3">
        <v>2.02</v>
      </c>
      <c r="J649" s="3">
        <v>100</v>
      </c>
      <c r="K649" s="15">
        <f ca="1">IF(F649="Enrolled",TODAY()-E649,"0")</f>
        <v>1429</v>
      </c>
      <c r="L649" s="3" t="str">
        <f>IF(I649&gt;=3.5,"Excellent",IF(I649&gt;=3,"Good",IF(I649&gt;=2,"Average","Poor")))</f>
        <v>Average</v>
      </c>
      <c r="M649" s="3" t="str">
        <v>Dr.Sharma</v>
      </c>
      <c r="N649" s="3" t="str">
        <f>IF(H649 &gt; (G649*50%), "Yes", "No")</f>
        <v>No</v>
      </c>
      <c r="O649" s="16">
        <f>G649-H649</f>
        <v>2537</v>
      </c>
      <c r="P649" s="16">
        <f>SUMIFS(O649:O649,E649:E649,"Science",F649:F649,"Completed")</f>
        <v>0</v>
      </c>
      <c r="Q649" s="3" t="str">
        <f>IF(MONTH(E649)&gt;=7, YEAR(E649)&amp;"-"&amp;YEAR(E649)+1, YEAR(E649)-1&amp;"-"&amp;YEAR(E649))</f>
        <v>2021-2022</v>
      </c>
      <c r="R649" s="3"/>
      <c r="S649" s="3"/>
      <c r="T649" s="15" t="str">
        <f t="shared" ca="1" si="10"/>
        <v>0</v>
      </c>
      <c r="U649" s="3"/>
    </row>
    <row r="650" spans="1:21" x14ac:dyDescent="0.35">
      <c r="A650" s="3" t="s">
        <v>1321</v>
      </c>
      <c r="B650" s="3" t="s">
        <v>1322</v>
      </c>
      <c r="C650" s="3" t="s">
        <v>54</v>
      </c>
      <c r="D650" s="3" t="s">
        <v>13</v>
      </c>
      <c r="E650" s="6">
        <v>44740</v>
      </c>
      <c r="F650" s="3" t="s">
        <v>14</v>
      </c>
      <c r="G650" s="3">
        <v>8254</v>
      </c>
      <c r="H650" s="3">
        <v>4272</v>
      </c>
      <c r="I650" s="3">
        <v>2.2599999999999998</v>
      </c>
      <c r="J650" s="3">
        <v>5</v>
      </c>
      <c r="K650" s="15">
        <f ca="1">IF(F650="Enrolled",TODAY()-E650,"0")</f>
        <v>1314</v>
      </c>
      <c r="L650" s="3" t="str">
        <f>IF(I650&gt;=3.5,"Excellent",IF(I650&gt;=3,"Good",IF(I650&gt;=2,"Average","Poor")))</f>
        <v>Average</v>
      </c>
      <c r="M650" s="3" t="str">
        <v>Dr.Mehta</v>
      </c>
      <c r="N650" s="3" t="str">
        <f>IF(H650 &gt; (G650*50%), "Yes", "No")</f>
        <v>Yes</v>
      </c>
      <c r="O650" s="16">
        <f>G650-H650</f>
        <v>3982</v>
      </c>
      <c r="P650" s="16">
        <f>SUMIFS(O650:O650,E650:E650,"Science",F650:F650,"Completed")</f>
        <v>0</v>
      </c>
      <c r="Q650" s="3" t="str">
        <f>IF(MONTH(E650)&gt;=7, YEAR(E650)&amp;"-"&amp;YEAR(E650)+1, YEAR(E650)-1&amp;"-"&amp;YEAR(E650))</f>
        <v>2021-2022</v>
      </c>
      <c r="R650" s="3"/>
      <c r="S650" s="3"/>
      <c r="T650" s="15" t="str">
        <f t="shared" ca="1" si="10"/>
        <v>0</v>
      </c>
      <c r="U650" s="3"/>
    </row>
    <row r="651" spans="1:21" x14ac:dyDescent="0.35">
      <c r="A651" s="3" t="s">
        <v>1323</v>
      </c>
      <c r="B651" s="3" t="s">
        <v>1324</v>
      </c>
      <c r="C651" s="3" t="s">
        <v>28</v>
      </c>
      <c r="D651" s="3" t="s">
        <v>18</v>
      </c>
      <c r="E651" s="6">
        <v>44938</v>
      </c>
      <c r="F651" s="3" t="s">
        <v>39</v>
      </c>
      <c r="G651" s="3">
        <v>5234</v>
      </c>
      <c r="H651" s="3">
        <v>134</v>
      </c>
      <c r="I651" s="3">
        <v>3.59</v>
      </c>
      <c r="J651" s="3">
        <v>100</v>
      </c>
      <c r="K651" s="15" t="str">
        <f ca="1">IF(F651="Enrolled",TODAY()-E651,"0")</f>
        <v>0</v>
      </c>
      <c r="L651" s="3" t="str">
        <f>IF(I651&gt;=3.5,"Excellent",IF(I651&gt;=3,"Good",IF(I651&gt;=2,"Average","Poor")))</f>
        <v>Excellent</v>
      </c>
      <c r="M651" s="3" t="str">
        <v>Dr.Roy</v>
      </c>
      <c r="N651" s="3" t="str">
        <f>IF(H651 &gt; (G651*50%), "Yes", "No")</f>
        <v>No</v>
      </c>
      <c r="O651" s="16">
        <f>G651-H651</f>
        <v>5100</v>
      </c>
      <c r="P651" s="16">
        <f>SUMIFS(O651:O651,E651:E651,"Science",F651:F651,"Completed")</f>
        <v>0</v>
      </c>
      <c r="Q651" s="3" t="str">
        <f>IF(MONTH(E651)&gt;=7, YEAR(E651)&amp;"-"&amp;YEAR(E651)+1, YEAR(E651)-1&amp;"-"&amp;YEAR(E651))</f>
        <v>2022-2023</v>
      </c>
      <c r="R651" s="3"/>
      <c r="S651" s="3"/>
      <c r="T651" s="15" t="str">
        <f t="shared" ca="1" si="10"/>
        <v>0</v>
      </c>
      <c r="U651" s="3"/>
    </row>
    <row r="652" spans="1:21" x14ac:dyDescent="0.35">
      <c r="A652" s="3" t="s">
        <v>1325</v>
      </c>
      <c r="B652" s="3" t="s">
        <v>1326</v>
      </c>
      <c r="C652" s="3" t="s">
        <v>25</v>
      </c>
      <c r="D652" s="3" t="s">
        <v>31</v>
      </c>
      <c r="E652" s="6">
        <v>44916</v>
      </c>
      <c r="F652" s="3" t="s">
        <v>14</v>
      </c>
      <c r="G652" s="3">
        <v>5237</v>
      </c>
      <c r="H652" s="3">
        <v>5339</v>
      </c>
      <c r="I652" s="3">
        <v>3.07</v>
      </c>
      <c r="J652" s="3">
        <v>65</v>
      </c>
      <c r="K652" s="15">
        <f ca="1">IF(F652="Enrolled",TODAY()-E652,"0")</f>
        <v>1138</v>
      </c>
      <c r="L652" s="3" t="str">
        <f>IF(I652&gt;=3.5,"Excellent",IF(I652&gt;=3,"Good",IF(I652&gt;=2,"Average","Poor")))</f>
        <v>Good</v>
      </c>
      <c r="M652" s="3" t="str">
        <v>Dr.Sharma</v>
      </c>
      <c r="N652" s="3" t="str">
        <f>IF(H652 &gt; (G652*50%), "Yes", "No")</f>
        <v>Yes</v>
      </c>
      <c r="O652" s="16">
        <f>G652-H652</f>
        <v>-102</v>
      </c>
      <c r="P652" s="16">
        <f>SUMIFS(O652:O652,E652:E652,"Science",F652:F652,"Completed")</f>
        <v>0</v>
      </c>
      <c r="Q652" s="3" t="str">
        <f>IF(MONTH(E652)&gt;=7, YEAR(E652)&amp;"-"&amp;YEAR(E652)+1, YEAR(E652)-1&amp;"-"&amp;YEAR(E652))</f>
        <v>2022-2023</v>
      </c>
      <c r="R652" s="3"/>
      <c r="S652" s="3"/>
      <c r="T652" s="15" t="str">
        <f t="shared" ca="1" si="10"/>
        <v>0</v>
      </c>
      <c r="U652" s="3"/>
    </row>
    <row r="653" spans="1:21" x14ac:dyDescent="0.35">
      <c r="A653" s="3" t="s">
        <v>1327</v>
      </c>
      <c r="B653" s="3" t="s">
        <v>1328</v>
      </c>
      <c r="C653" s="3" t="s">
        <v>54</v>
      </c>
      <c r="D653" s="3" t="s">
        <v>62</v>
      </c>
      <c r="E653" s="6">
        <v>44818</v>
      </c>
      <c r="F653" s="3" t="s">
        <v>19</v>
      </c>
      <c r="G653" s="3">
        <v>6803</v>
      </c>
      <c r="H653" s="3">
        <v>5852</v>
      </c>
      <c r="I653" s="3">
        <v>2.89</v>
      </c>
      <c r="J653" s="3">
        <v>35</v>
      </c>
      <c r="K653" s="15" t="str">
        <f ca="1">IF(F653="Enrolled",TODAY()-E653,"0")</f>
        <v>0</v>
      </c>
      <c r="L653" s="3" t="str">
        <f>IF(I653&gt;=3.5,"Excellent",IF(I653&gt;=3,"Good",IF(I653&gt;=2,"Average","Poor")))</f>
        <v>Average</v>
      </c>
      <c r="M653" s="3" t="str">
        <v>Dr.Sinha</v>
      </c>
      <c r="N653" s="3" t="str">
        <f>IF(H653 &gt; (G653*50%), "Yes", "No")</f>
        <v>Yes</v>
      </c>
      <c r="O653" s="16">
        <f>G653-H653</f>
        <v>951</v>
      </c>
      <c r="P653" s="16">
        <f>SUMIFS(O653:O653,E653:E653,"Science",F653:F653,"Completed")</f>
        <v>0</v>
      </c>
      <c r="Q653" s="3" t="str">
        <f>IF(MONTH(E653)&gt;=7, YEAR(E653)&amp;"-"&amp;YEAR(E653)+1, YEAR(E653)-1&amp;"-"&amp;YEAR(E653))</f>
        <v>2022-2023</v>
      </c>
      <c r="R653" s="3"/>
      <c r="S653" s="3"/>
      <c r="T653" s="15">
        <f t="shared" ca="1" si="10"/>
        <v>1236</v>
      </c>
      <c r="U653" s="3"/>
    </row>
    <row r="654" spans="1:21" x14ac:dyDescent="0.35">
      <c r="A654" s="3" t="s">
        <v>1329</v>
      </c>
      <c r="B654" s="3" t="s">
        <v>1330</v>
      </c>
      <c r="C654" s="3" t="s">
        <v>17</v>
      </c>
      <c r="D654" s="3" t="s">
        <v>18</v>
      </c>
      <c r="E654" s="6">
        <v>44563</v>
      </c>
      <c r="F654" s="3" t="s">
        <v>14</v>
      </c>
      <c r="G654" s="3">
        <v>3355</v>
      </c>
      <c r="H654" s="3">
        <v>1493</v>
      </c>
      <c r="I654" s="3">
        <v>3.49</v>
      </c>
      <c r="J654" s="3">
        <v>102</v>
      </c>
      <c r="K654" s="15">
        <f ca="1">IF(F654="Enrolled",TODAY()-E654,"0")</f>
        <v>1491</v>
      </c>
      <c r="L654" s="3" t="str">
        <f>IF(I654&gt;=3.5,"Excellent",IF(I654&gt;=3,"Good",IF(I654&gt;=2,"Average","Poor")))</f>
        <v>Good</v>
      </c>
      <c r="M654" s="3" t="str">
        <v>Dr.Roy</v>
      </c>
      <c r="N654" s="3" t="str">
        <f>IF(H654 &gt; (G654*50%), "Yes", "No")</f>
        <v>No</v>
      </c>
      <c r="O654" s="16">
        <f>G654-H654</f>
        <v>1862</v>
      </c>
      <c r="P654" s="16">
        <f>SUMIFS(O654:O654,E654:E654,"Science",F654:F654,"Completed")</f>
        <v>0</v>
      </c>
      <c r="Q654" s="3" t="str">
        <f>IF(MONTH(E654)&gt;=7, YEAR(E654)&amp;"-"&amp;YEAR(E654)+1, YEAR(E654)-1&amp;"-"&amp;YEAR(E654))</f>
        <v>2021-2022</v>
      </c>
      <c r="R654" s="3"/>
      <c r="S654" s="3"/>
      <c r="T654" s="15" t="str">
        <f t="shared" ca="1" si="10"/>
        <v>0</v>
      </c>
      <c r="U654" s="3"/>
    </row>
    <row r="655" spans="1:21" x14ac:dyDescent="0.35">
      <c r="A655" s="3" t="s">
        <v>1331</v>
      </c>
      <c r="B655" s="3" t="s">
        <v>1332</v>
      </c>
      <c r="C655" s="3" t="s">
        <v>54</v>
      </c>
      <c r="D655" s="3" t="s">
        <v>18</v>
      </c>
      <c r="E655" s="6">
        <v>44923</v>
      </c>
      <c r="F655" s="3" t="s">
        <v>19</v>
      </c>
      <c r="G655" s="3">
        <v>13586</v>
      </c>
      <c r="H655" s="3">
        <v>6814</v>
      </c>
      <c r="I655" s="3">
        <v>2.67</v>
      </c>
      <c r="J655" s="3">
        <v>118</v>
      </c>
      <c r="K655" s="15" t="str">
        <f ca="1">IF(F655="Enrolled",TODAY()-E655,"0")</f>
        <v>0</v>
      </c>
      <c r="L655" s="3" t="str">
        <f>IF(I655&gt;=3.5,"Excellent",IF(I655&gt;=3,"Good",IF(I655&gt;=2,"Average","Poor")))</f>
        <v>Average</v>
      </c>
      <c r="M655" s="3" t="str">
        <v>Dr.Roy</v>
      </c>
      <c r="N655" s="3" t="str">
        <f>IF(H655 &gt; (G655*50%), "Yes", "No")</f>
        <v>Yes</v>
      </c>
      <c r="O655" s="16">
        <f>G655-H655</f>
        <v>6772</v>
      </c>
      <c r="P655" s="16">
        <f>SUMIFS(O655:O655,E655:E655,"Science",F655:F655,"Completed")</f>
        <v>0</v>
      </c>
      <c r="Q655" s="3" t="str">
        <f>IF(MONTH(E655)&gt;=7, YEAR(E655)&amp;"-"&amp;YEAR(E655)+1, YEAR(E655)-1&amp;"-"&amp;YEAR(E655))</f>
        <v>2022-2023</v>
      </c>
      <c r="R655" s="3"/>
      <c r="S655" s="3"/>
      <c r="T655" s="15">
        <f t="shared" ca="1" si="10"/>
        <v>1131</v>
      </c>
      <c r="U655" s="3"/>
    </row>
    <row r="656" spans="1:21" x14ac:dyDescent="0.35">
      <c r="A656" s="3" t="s">
        <v>1333</v>
      </c>
      <c r="B656" s="3" t="s">
        <v>1334</v>
      </c>
      <c r="C656" s="3" t="s">
        <v>57</v>
      </c>
      <c r="D656" s="3" t="s">
        <v>31</v>
      </c>
      <c r="E656" s="6">
        <v>45134</v>
      </c>
      <c r="F656" s="3" t="s">
        <v>14</v>
      </c>
      <c r="G656" s="3">
        <v>7191</v>
      </c>
      <c r="H656" s="3">
        <v>5791</v>
      </c>
      <c r="I656" s="3">
        <v>2.06</v>
      </c>
      <c r="J656" s="3">
        <v>10</v>
      </c>
      <c r="K656" s="15">
        <f ca="1">IF(F656="Enrolled",TODAY()-E656,"0")</f>
        <v>920</v>
      </c>
      <c r="L656" s="3" t="str">
        <f>IF(I656&gt;=3.5,"Excellent",IF(I656&gt;=3,"Good",IF(I656&gt;=2,"Average","Poor")))</f>
        <v>Average</v>
      </c>
      <c r="M656" s="3" t="str">
        <v>Dr.Sharma</v>
      </c>
      <c r="N656" s="3" t="str">
        <f>IF(H656 &gt; (G656*50%), "Yes", "No")</f>
        <v>Yes</v>
      </c>
      <c r="O656" s="16">
        <f>G656-H656</f>
        <v>1400</v>
      </c>
      <c r="P656" s="16">
        <f>SUMIFS(O656:O656,E656:E656,"Science",F656:F656,"Completed")</f>
        <v>0</v>
      </c>
      <c r="Q656" s="3" t="str">
        <f>IF(MONTH(E656)&gt;=7, YEAR(E656)&amp;"-"&amp;YEAR(E656)+1, YEAR(E656)-1&amp;"-"&amp;YEAR(E656))</f>
        <v>2023-2024</v>
      </c>
      <c r="R656" s="3"/>
      <c r="S656" s="3"/>
      <c r="T656" s="15" t="str">
        <f t="shared" ca="1" si="10"/>
        <v>0</v>
      </c>
      <c r="U656" s="3"/>
    </row>
    <row r="657" spans="1:21" x14ac:dyDescent="0.35">
      <c r="A657" s="3" t="s">
        <v>1335</v>
      </c>
      <c r="B657" s="3" t="s">
        <v>1336</v>
      </c>
      <c r="C657" s="3" t="s">
        <v>36</v>
      </c>
      <c r="D657" s="3" t="s">
        <v>62</v>
      </c>
      <c r="E657" s="6">
        <v>44936</v>
      </c>
      <c r="F657" s="3" t="s">
        <v>19</v>
      </c>
      <c r="G657" s="3">
        <v>2088</v>
      </c>
      <c r="H657" s="3">
        <v>9067</v>
      </c>
      <c r="I657" s="3">
        <v>2.82</v>
      </c>
      <c r="J657" s="3">
        <v>48</v>
      </c>
      <c r="K657" s="15" t="str">
        <f ca="1">IF(F657="Enrolled",TODAY()-E657,"0")</f>
        <v>0</v>
      </c>
      <c r="L657" s="3" t="str">
        <f>IF(I657&gt;=3.5,"Excellent",IF(I657&gt;=3,"Good",IF(I657&gt;=2,"Average","Poor")))</f>
        <v>Average</v>
      </c>
      <c r="M657" s="3" t="str">
        <v>Dr.Sinha</v>
      </c>
      <c r="N657" s="3" t="str">
        <f>IF(H657 &gt; (G657*50%), "Yes", "No")</f>
        <v>Yes</v>
      </c>
      <c r="O657" s="16">
        <f>G657-H657</f>
        <v>-6979</v>
      </c>
      <c r="P657" s="16">
        <f>SUMIFS(O657:O657,E657:E657,"Science",F657:F657,"Completed")</f>
        <v>0</v>
      </c>
      <c r="Q657" s="3" t="str">
        <f>IF(MONTH(E657)&gt;=7, YEAR(E657)&amp;"-"&amp;YEAR(E657)+1, YEAR(E657)-1&amp;"-"&amp;YEAR(E657))</f>
        <v>2022-2023</v>
      </c>
      <c r="R657" s="3"/>
      <c r="S657" s="3"/>
      <c r="T657" s="15">
        <f t="shared" ca="1" si="10"/>
        <v>1118</v>
      </c>
      <c r="U657" s="3"/>
    </row>
    <row r="658" spans="1:21" x14ac:dyDescent="0.35">
      <c r="A658" s="3" t="s">
        <v>1337</v>
      </c>
      <c r="B658" s="3" t="s">
        <v>1338</v>
      </c>
      <c r="C658" s="3" t="s">
        <v>17</v>
      </c>
      <c r="D658" s="3" t="s">
        <v>31</v>
      </c>
      <c r="E658" s="6">
        <v>45431</v>
      </c>
      <c r="F658" s="3" t="s">
        <v>14</v>
      </c>
      <c r="G658" s="3">
        <v>8068</v>
      </c>
      <c r="H658" s="3">
        <v>5741</v>
      </c>
      <c r="I658" s="3">
        <v>3.01</v>
      </c>
      <c r="J658" s="3">
        <v>13</v>
      </c>
      <c r="K658" s="15">
        <f ca="1">IF(F658="Enrolled",TODAY()-E658,"0")</f>
        <v>623</v>
      </c>
      <c r="L658" s="3" t="str">
        <f>IF(I658&gt;=3.5,"Excellent",IF(I658&gt;=3,"Good",IF(I658&gt;=2,"Average","Poor")))</f>
        <v>Good</v>
      </c>
      <c r="M658" s="3" t="str">
        <v>Dr.Sharma</v>
      </c>
      <c r="N658" s="3" t="str">
        <f>IF(H658 &gt; (G658*50%), "Yes", "No")</f>
        <v>Yes</v>
      </c>
      <c r="O658" s="16">
        <f>G658-H658</f>
        <v>2327</v>
      </c>
      <c r="P658" s="16">
        <f>SUMIFS(O658:O658,E658:E658,"Science",F658:F658,"Completed")</f>
        <v>0</v>
      </c>
      <c r="Q658" s="3" t="str">
        <f>IF(MONTH(E658)&gt;=7, YEAR(E658)&amp;"-"&amp;YEAR(E658)+1, YEAR(E658)-1&amp;"-"&amp;YEAR(E658))</f>
        <v>2023-2024</v>
      </c>
      <c r="R658" s="3"/>
      <c r="S658" s="3"/>
      <c r="T658" s="15" t="str">
        <f t="shared" ca="1" si="10"/>
        <v>0</v>
      </c>
      <c r="U658" s="3"/>
    </row>
    <row r="659" spans="1:21" x14ac:dyDescent="0.35">
      <c r="A659" s="3" t="s">
        <v>1339</v>
      </c>
      <c r="B659" s="3" t="s">
        <v>1340</v>
      </c>
      <c r="C659" s="3" t="s">
        <v>17</v>
      </c>
      <c r="D659" s="3" t="s">
        <v>13</v>
      </c>
      <c r="E659" s="6">
        <v>45205</v>
      </c>
      <c r="F659" s="3" t="s">
        <v>14</v>
      </c>
      <c r="G659" s="3">
        <v>9351</v>
      </c>
      <c r="H659" s="3">
        <v>3044</v>
      </c>
      <c r="I659" s="3">
        <v>2.15</v>
      </c>
      <c r="J659" s="3">
        <v>0</v>
      </c>
      <c r="K659" s="15">
        <f ca="1">IF(F659="Enrolled",TODAY()-E659,"0")</f>
        <v>849</v>
      </c>
      <c r="L659" s="3" t="str">
        <f>IF(I659&gt;=3.5,"Excellent",IF(I659&gt;=3,"Good",IF(I659&gt;=2,"Average","Poor")))</f>
        <v>Average</v>
      </c>
      <c r="M659" s="3" t="str">
        <v>Dr.Mehta</v>
      </c>
      <c r="N659" s="3" t="str">
        <f>IF(H659 &gt; (G659*50%), "Yes", "No")</f>
        <v>No</v>
      </c>
      <c r="O659" s="16">
        <f>G659-H659</f>
        <v>6307</v>
      </c>
      <c r="P659" s="16">
        <f>SUMIFS(O659:O659,E659:E659,"Science",F659:F659,"Completed")</f>
        <v>0</v>
      </c>
      <c r="Q659" s="3" t="str">
        <f>IF(MONTH(E659)&gt;=7, YEAR(E659)&amp;"-"&amp;YEAR(E659)+1, YEAR(E659)-1&amp;"-"&amp;YEAR(E659))</f>
        <v>2023-2024</v>
      </c>
      <c r="R659" s="3"/>
      <c r="S659" s="3"/>
      <c r="T659" s="15" t="str">
        <f t="shared" ca="1" si="10"/>
        <v>0</v>
      </c>
      <c r="U659" s="3"/>
    </row>
    <row r="660" spans="1:21" x14ac:dyDescent="0.35">
      <c r="A660" s="3" t="s">
        <v>1341</v>
      </c>
      <c r="B660" s="3" t="s">
        <v>1342</v>
      </c>
      <c r="C660" s="3" t="s">
        <v>17</v>
      </c>
      <c r="D660" s="3" t="s">
        <v>18</v>
      </c>
      <c r="E660" s="6">
        <v>44607</v>
      </c>
      <c r="F660" s="3" t="s">
        <v>14</v>
      </c>
      <c r="G660" s="3">
        <v>13082</v>
      </c>
      <c r="H660" s="3">
        <v>4263</v>
      </c>
      <c r="I660" s="3">
        <v>2.12</v>
      </c>
      <c r="J660" s="3">
        <v>80</v>
      </c>
      <c r="K660" s="15">
        <f ca="1">IF(F660="Enrolled",TODAY()-E660,"0")</f>
        <v>1447</v>
      </c>
      <c r="L660" s="3" t="str">
        <f>IF(I660&gt;=3.5,"Excellent",IF(I660&gt;=3,"Good",IF(I660&gt;=2,"Average","Poor")))</f>
        <v>Average</v>
      </c>
      <c r="M660" s="3" t="str">
        <v>Dr.Roy</v>
      </c>
      <c r="N660" s="3" t="str">
        <f>IF(H660 &gt; (G660*50%), "Yes", "No")</f>
        <v>No</v>
      </c>
      <c r="O660" s="16">
        <f>G660-H660</f>
        <v>8819</v>
      </c>
      <c r="P660" s="16">
        <f>SUMIFS(O660:O660,E660:E660,"Science",F660:F660,"Completed")</f>
        <v>0</v>
      </c>
      <c r="Q660" s="3" t="str">
        <f>IF(MONTH(E660)&gt;=7, YEAR(E660)&amp;"-"&amp;YEAR(E660)+1, YEAR(E660)-1&amp;"-"&amp;YEAR(E660))</f>
        <v>2021-2022</v>
      </c>
      <c r="R660" s="3"/>
      <c r="S660" s="3"/>
      <c r="T660" s="15" t="str">
        <f t="shared" ca="1" si="10"/>
        <v>0</v>
      </c>
      <c r="U660" s="3"/>
    </row>
    <row r="661" spans="1:21" x14ac:dyDescent="0.35">
      <c r="A661" s="3" t="s">
        <v>1343</v>
      </c>
      <c r="B661" s="3" t="s">
        <v>1344</v>
      </c>
      <c r="C661" s="3" t="s">
        <v>57</v>
      </c>
      <c r="D661" s="3" t="s">
        <v>62</v>
      </c>
      <c r="E661" s="6">
        <v>44650</v>
      </c>
      <c r="F661" s="3" t="s">
        <v>39</v>
      </c>
      <c r="G661" s="3">
        <v>7721</v>
      </c>
      <c r="H661" s="3">
        <v>5545</v>
      </c>
      <c r="I661" s="3">
        <v>2.89</v>
      </c>
      <c r="J661" s="3">
        <v>18</v>
      </c>
      <c r="K661" s="15" t="str">
        <f ca="1">IF(F661="Enrolled",TODAY()-E661,"0")</f>
        <v>0</v>
      </c>
      <c r="L661" s="3" t="str">
        <f>IF(I661&gt;=3.5,"Excellent",IF(I661&gt;=3,"Good",IF(I661&gt;=2,"Average","Poor")))</f>
        <v>Average</v>
      </c>
      <c r="M661" s="3" t="str">
        <v>Dr.Sinha</v>
      </c>
      <c r="N661" s="3" t="str">
        <f>IF(H661 &gt; (G661*50%), "Yes", "No")</f>
        <v>Yes</v>
      </c>
      <c r="O661" s="16">
        <f>G661-H661</f>
        <v>2176</v>
      </c>
      <c r="P661" s="16">
        <f>SUMIFS(O661:O661,E661:E661,"Science",F661:F661,"Completed")</f>
        <v>0</v>
      </c>
      <c r="Q661" s="3" t="str">
        <f>IF(MONTH(E661)&gt;=7, YEAR(E661)&amp;"-"&amp;YEAR(E661)+1, YEAR(E661)-1&amp;"-"&amp;YEAR(E661))</f>
        <v>2021-2022</v>
      </c>
      <c r="R661" s="3"/>
      <c r="S661" s="3"/>
      <c r="T661" s="15" t="str">
        <f t="shared" ca="1" si="10"/>
        <v>0</v>
      </c>
      <c r="U661" s="3"/>
    </row>
    <row r="662" spans="1:21" x14ac:dyDescent="0.35">
      <c r="A662" s="3" t="s">
        <v>1345</v>
      </c>
      <c r="B662" s="3" t="s">
        <v>1346</v>
      </c>
      <c r="C662" s="3" t="s">
        <v>57</v>
      </c>
      <c r="D662" s="3" t="s">
        <v>62</v>
      </c>
      <c r="E662" s="6">
        <v>45073</v>
      </c>
      <c r="F662" s="3" t="s">
        <v>19</v>
      </c>
      <c r="G662" s="3">
        <v>10644</v>
      </c>
      <c r="H662" s="3">
        <v>3148</v>
      </c>
      <c r="I662" s="3">
        <v>3.04</v>
      </c>
      <c r="J662" s="3">
        <v>34</v>
      </c>
      <c r="K662" s="15" t="str">
        <f ca="1">IF(F662="Enrolled",TODAY()-E662,"0")</f>
        <v>0</v>
      </c>
      <c r="L662" s="3" t="str">
        <f>IF(I662&gt;=3.5,"Excellent",IF(I662&gt;=3,"Good",IF(I662&gt;=2,"Average","Poor")))</f>
        <v>Good</v>
      </c>
      <c r="M662" s="3" t="str">
        <v>Dr.Sinha</v>
      </c>
      <c r="N662" s="3" t="str">
        <f>IF(H662 &gt; (G662*50%), "Yes", "No")</f>
        <v>No</v>
      </c>
      <c r="O662" s="16">
        <f>G662-H662</f>
        <v>7496</v>
      </c>
      <c r="P662" s="16">
        <f>SUMIFS(O662:O662,E662:E662,"Science",F662:F662,"Completed")</f>
        <v>0</v>
      </c>
      <c r="Q662" s="3" t="str">
        <f>IF(MONTH(E662)&gt;=7, YEAR(E662)&amp;"-"&amp;YEAR(E662)+1, YEAR(E662)-1&amp;"-"&amp;YEAR(E662))</f>
        <v>2022-2023</v>
      </c>
      <c r="R662" s="3"/>
      <c r="S662" s="3"/>
      <c r="T662" s="15">
        <f t="shared" ca="1" si="10"/>
        <v>981</v>
      </c>
      <c r="U662" s="3"/>
    </row>
    <row r="663" spans="1:21" x14ac:dyDescent="0.35">
      <c r="A663" s="3" t="s">
        <v>1347</v>
      </c>
      <c r="B663" s="3" t="s">
        <v>1348</v>
      </c>
      <c r="C663" s="3" t="s">
        <v>22</v>
      </c>
      <c r="D663" s="3" t="s">
        <v>18</v>
      </c>
      <c r="E663" s="6">
        <v>45199</v>
      </c>
      <c r="F663" s="3" t="s">
        <v>14</v>
      </c>
      <c r="G663" s="3">
        <v>10752</v>
      </c>
      <c r="H663" s="3">
        <v>6829</v>
      </c>
      <c r="I663" s="3">
        <v>2.9</v>
      </c>
      <c r="J663" s="3">
        <v>67</v>
      </c>
      <c r="K663" s="15">
        <f ca="1">IF(F663="Enrolled",TODAY()-E663,"0")</f>
        <v>855</v>
      </c>
      <c r="L663" s="3" t="str">
        <f>IF(I663&gt;=3.5,"Excellent",IF(I663&gt;=3,"Good",IF(I663&gt;=2,"Average","Poor")))</f>
        <v>Average</v>
      </c>
      <c r="M663" s="3" t="str">
        <v>Dr.Roy</v>
      </c>
      <c r="N663" s="3" t="str">
        <f>IF(H663 &gt; (G663*50%), "Yes", "No")</f>
        <v>Yes</v>
      </c>
      <c r="O663" s="16">
        <f>G663-H663</f>
        <v>3923</v>
      </c>
      <c r="P663" s="16">
        <f>SUMIFS(O663:O663,E663:E663,"Science",F663:F663,"Completed")</f>
        <v>0</v>
      </c>
      <c r="Q663" s="3" t="str">
        <f>IF(MONTH(E663)&gt;=7, YEAR(E663)&amp;"-"&amp;YEAR(E663)+1, YEAR(E663)-1&amp;"-"&amp;YEAR(E663))</f>
        <v>2023-2024</v>
      </c>
      <c r="R663" s="3"/>
      <c r="S663" s="3"/>
      <c r="T663" s="15" t="str">
        <f t="shared" ca="1" si="10"/>
        <v>0</v>
      </c>
      <c r="U663" s="3"/>
    </row>
    <row r="664" spans="1:21" x14ac:dyDescent="0.35">
      <c r="A664" s="3" t="s">
        <v>1349</v>
      </c>
      <c r="B664" s="3" t="s">
        <v>1350</v>
      </c>
      <c r="C664" s="3" t="s">
        <v>17</v>
      </c>
      <c r="D664" s="3" t="s">
        <v>13</v>
      </c>
      <c r="E664" s="6">
        <v>45190</v>
      </c>
      <c r="F664" s="3" t="s">
        <v>19</v>
      </c>
      <c r="G664" s="3">
        <v>3252</v>
      </c>
      <c r="H664" s="3">
        <v>5292</v>
      </c>
      <c r="I664" s="3">
        <v>2.66</v>
      </c>
      <c r="J664" s="3">
        <v>80</v>
      </c>
      <c r="K664" s="15" t="str">
        <f ca="1">IF(F664="Enrolled",TODAY()-E664,"0")</f>
        <v>0</v>
      </c>
      <c r="L664" s="3" t="str">
        <f>IF(I664&gt;=3.5,"Excellent",IF(I664&gt;=3,"Good",IF(I664&gt;=2,"Average","Poor")))</f>
        <v>Average</v>
      </c>
      <c r="M664" s="3" t="str">
        <v>Dr.Mehta</v>
      </c>
      <c r="N664" s="3" t="str">
        <f>IF(H664 &gt; (G664*50%), "Yes", "No")</f>
        <v>Yes</v>
      </c>
      <c r="O664" s="16">
        <f>G664-H664</f>
        <v>-2040</v>
      </c>
      <c r="P664" s="16">
        <f>SUMIFS(O664:O664,E664:E664,"Science",F664:F664,"Completed")</f>
        <v>0</v>
      </c>
      <c r="Q664" s="3" t="str">
        <f>IF(MONTH(E664)&gt;=7, YEAR(E664)&amp;"-"&amp;YEAR(E664)+1, YEAR(E664)-1&amp;"-"&amp;YEAR(E664))</f>
        <v>2023-2024</v>
      </c>
      <c r="R664" s="3"/>
      <c r="S664" s="3"/>
      <c r="T664" s="15">
        <f t="shared" ca="1" si="10"/>
        <v>864</v>
      </c>
      <c r="U664" s="3"/>
    </row>
    <row r="665" spans="1:21" x14ac:dyDescent="0.35">
      <c r="A665" s="3" t="s">
        <v>1351</v>
      </c>
      <c r="B665" s="3" t="s">
        <v>1352</v>
      </c>
      <c r="C665" s="3" t="s">
        <v>17</v>
      </c>
      <c r="D665" s="3" t="s">
        <v>62</v>
      </c>
      <c r="E665" s="6">
        <v>44712</v>
      </c>
      <c r="F665" s="3" t="s">
        <v>14</v>
      </c>
      <c r="G665" s="3">
        <v>11497</v>
      </c>
      <c r="H665" s="3">
        <v>273</v>
      </c>
      <c r="I665" s="3">
        <v>2.9</v>
      </c>
      <c r="J665" s="3">
        <v>47</v>
      </c>
      <c r="K665" s="15">
        <f ca="1">IF(F665="Enrolled",TODAY()-E665,"0")</f>
        <v>1342</v>
      </c>
      <c r="L665" s="3" t="str">
        <f>IF(I665&gt;=3.5,"Excellent",IF(I665&gt;=3,"Good",IF(I665&gt;=2,"Average","Poor")))</f>
        <v>Average</v>
      </c>
      <c r="M665" s="3" t="str">
        <v>Dr.Sinha</v>
      </c>
      <c r="N665" s="3" t="str">
        <f>IF(H665 &gt; (G665*50%), "Yes", "No")</f>
        <v>No</v>
      </c>
      <c r="O665" s="16">
        <f>G665-H665</f>
        <v>11224</v>
      </c>
      <c r="P665" s="16">
        <f>SUMIFS(O665:O665,E665:E665,"Science",F665:F665,"Completed")</f>
        <v>0</v>
      </c>
      <c r="Q665" s="3" t="str">
        <f>IF(MONTH(E665)&gt;=7, YEAR(E665)&amp;"-"&amp;YEAR(E665)+1, YEAR(E665)-1&amp;"-"&amp;YEAR(E665))</f>
        <v>2021-2022</v>
      </c>
      <c r="R665" s="3"/>
      <c r="S665" s="3"/>
      <c r="T665" s="15" t="str">
        <f t="shared" ca="1" si="10"/>
        <v>0</v>
      </c>
      <c r="U665" s="3"/>
    </row>
    <row r="666" spans="1:21" x14ac:dyDescent="0.35">
      <c r="A666" s="3" t="s">
        <v>1353</v>
      </c>
      <c r="B666" s="3" t="s">
        <v>1354</v>
      </c>
      <c r="C666" s="3" t="s">
        <v>57</v>
      </c>
      <c r="D666" s="3" t="s">
        <v>13</v>
      </c>
      <c r="E666" s="6">
        <v>45138</v>
      </c>
      <c r="F666" s="3" t="s">
        <v>14</v>
      </c>
      <c r="G666" s="3">
        <v>7089</v>
      </c>
      <c r="H666" s="3">
        <v>6857</v>
      </c>
      <c r="I666" s="3">
        <v>3.75</v>
      </c>
      <c r="J666" s="3">
        <v>113</v>
      </c>
      <c r="K666" s="15">
        <f ca="1">IF(F666="Enrolled",TODAY()-E666,"0")</f>
        <v>916</v>
      </c>
      <c r="L666" s="3" t="str">
        <f>IF(I666&gt;=3.5,"Excellent",IF(I666&gt;=3,"Good",IF(I666&gt;=2,"Average","Poor")))</f>
        <v>Excellent</v>
      </c>
      <c r="M666" s="3" t="str">
        <v>Dr.Mehta</v>
      </c>
      <c r="N666" s="3" t="str">
        <f>IF(H666 &gt; (G666*50%), "Yes", "No")</f>
        <v>Yes</v>
      </c>
      <c r="O666" s="16">
        <f>G666-H666</f>
        <v>232</v>
      </c>
      <c r="P666" s="16">
        <f>SUMIFS(O666:O666,E666:E666,"Science",F666:F666,"Completed")</f>
        <v>0</v>
      </c>
      <c r="Q666" s="3" t="str">
        <f>IF(MONTH(E666)&gt;=7, YEAR(E666)&amp;"-"&amp;YEAR(E666)+1, YEAR(E666)-1&amp;"-"&amp;YEAR(E666))</f>
        <v>2023-2024</v>
      </c>
      <c r="R666" s="3"/>
      <c r="S666" s="3"/>
      <c r="T666" s="15" t="str">
        <f t="shared" ca="1" si="10"/>
        <v>0</v>
      </c>
      <c r="U666" s="3"/>
    </row>
    <row r="667" spans="1:21" x14ac:dyDescent="0.35">
      <c r="A667" s="3" t="s">
        <v>1355</v>
      </c>
      <c r="B667" s="3" t="s">
        <v>1356</v>
      </c>
      <c r="C667" s="3" t="s">
        <v>17</v>
      </c>
      <c r="D667" s="3" t="s">
        <v>18</v>
      </c>
      <c r="E667" s="6">
        <v>44959</v>
      </c>
      <c r="F667" s="3" t="s">
        <v>19</v>
      </c>
      <c r="G667" s="3">
        <v>5893</v>
      </c>
      <c r="H667" s="3">
        <v>55</v>
      </c>
      <c r="I667" s="3">
        <v>3.15</v>
      </c>
      <c r="J667" s="3">
        <v>8</v>
      </c>
      <c r="K667" s="15" t="str">
        <f ca="1">IF(F667="Enrolled",TODAY()-E667,"0")</f>
        <v>0</v>
      </c>
      <c r="L667" s="3" t="str">
        <f>IF(I667&gt;=3.5,"Excellent",IF(I667&gt;=3,"Good",IF(I667&gt;=2,"Average","Poor")))</f>
        <v>Good</v>
      </c>
      <c r="M667" s="3" t="str">
        <v>Dr.Roy</v>
      </c>
      <c r="N667" s="3" t="str">
        <f>IF(H667 &gt; (G667*50%), "Yes", "No")</f>
        <v>No</v>
      </c>
      <c r="O667" s="16">
        <f>G667-H667</f>
        <v>5838</v>
      </c>
      <c r="P667" s="16">
        <f>SUMIFS(O667:O667,E667:E667,"Science",F667:F667,"Completed")</f>
        <v>0</v>
      </c>
      <c r="Q667" s="3" t="str">
        <f>IF(MONTH(E667)&gt;=7, YEAR(E667)&amp;"-"&amp;YEAR(E667)+1, YEAR(E667)-1&amp;"-"&amp;YEAR(E667))</f>
        <v>2022-2023</v>
      </c>
      <c r="R667" s="3"/>
      <c r="S667" s="3"/>
      <c r="T667" s="15">
        <f t="shared" ca="1" si="10"/>
        <v>1095</v>
      </c>
      <c r="U667" s="3"/>
    </row>
    <row r="668" spans="1:21" x14ac:dyDescent="0.35">
      <c r="A668" s="3" t="s">
        <v>1357</v>
      </c>
      <c r="B668" s="3" t="s">
        <v>1358</v>
      </c>
      <c r="C668" s="3" t="s">
        <v>28</v>
      </c>
      <c r="D668" s="3" t="s">
        <v>13</v>
      </c>
      <c r="E668" s="6">
        <v>44753</v>
      </c>
      <c r="F668" s="3" t="s">
        <v>14</v>
      </c>
      <c r="G668" s="3">
        <v>4330</v>
      </c>
      <c r="H668" s="3">
        <v>6146</v>
      </c>
      <c r="I668" s="3">
        <v>3.95</v>
      </c>
      <c r="J668" s="3">
        <v>81</v>
      </c>
      <c r="K668" s="15">
        <f ca="1">IF(F668="Enrolled",TODAY()-E668,"0")</f>
        <v>1301</v>
      </c>
      <c r="L668" s="3" t="str">
        <f>IF(I668&gt;=3.5,"Excellent",IF(I668&gt;=3,"Good",IF(I668&gt;=2,"Average","Poor")))</f>
        <v>Excellent</v>
      </c>
      <c r="M668" s="3" t="str">
        <v>Dr.Mehta</v>
      </c>
      <c r="N668" s="3" t="str">
        <f>IF(H668 &gt; (G668*50%), "Yes", "No")</f>
        <v>Yes</v>
      </c>
      <c r="O668" s="16">
        <f>G668-H668</f>
        <v>-1816</v>
      </c>
      <c r="P668" s="16">
        <f>SUMIFS(O668:O668,E668:E668,"Science",F668:F668,"Completed")</f>
        <v>0</v>
      </c>
      <c r="Q668" s="3" t="str">
        <f>IF(MONTH(E668)&gt;=7, YEAR(E668)&amp;"-"&amp;YEAR(E668)+1, YEAR(E668)-1&amp;"-"&amp;YEAR(E668))</f>
        <v>2022-2023</v>
      </c>
      <c r="R668" s="3"/>
      <c r="S668" s="3"/>
      <c r="T668" s="15" t="str">
        <f t="shared" ca="1" si="10"/>
        <v>0</v>
      </c>
      <c r="U668" s="3"/>
    </row>
    <row r="669" spans="1:21" x14ac:dyDescent="0.35">
      <c r="A669" s="3" t="s">
        <v>1359</v>
      </c>
      <c r="B669" s="3" t="s">
        <v>1360</v>
      </c>
      <c r="C669" s="3" t="s">
        <v>25</v>
      </c>
      <c r="D669" s="3" t="s">
        <v>31</v>
      </c>
      <c r="E669" s="6">
        <v>45195</v>
      </c>
      <c r="F669" s="3" t="s">
        <v>14</v>
      </c>
      <c r="G669" s="3">
        <v>3810</v>
      </c>
      <c r="H669" s="3">
        <v>5081</v>
      </c>
      <c r="I669" s="3">
        <v>3.16</v>
      </c>
      <c r="J669" s="3">
        <v>66</v>
      </c>
      <c r="K669" s="15">
        <f ca="1">IF(F669="Enrolled",TODAY()-E669,"0")</f>
        <v>859</v>
      </c>
      <c r="L669" s="3" t="str">
        <f>IF(I669&gt;=3.5,"Excellent",IF(I669&gt;=3,"Good",IF(I669&gt;=2,"Average","Poor")))</f>
        <v>Good</v>
      </c>
      <c r="M669" s="3" t="str">
        <v>Dr.Sharma</v>
      </c>
      <c r="N669" s="3" t="str">
        <f>IF(H669 &gt; (G669*50%), "Yes", "No")</f>
        <v>Yes</v>
      </c>
      <c r="O669" s="16">
        <f>G669-H669</f>
        <v>-1271</v>
      </c>
      <c r="P669" s="16">
        <f>SUMIFS(O669:O669,E669:E669,"Science",F669:F669,"Completed")</f>
        <v>0</v>
      </c>
      <c r="Q669" s="3" t="str">
        <f>IF(MONTH(E669)&gt;=7, YEAR(E669)&amp;"-"&amp;YEAR(E669)+1, YEAR(E669)-1&amp;"-"&amp;YEAR(E669))</f>
        <v>2023-2024</v>
      </c>
      <c r="R669" s="3"/>
      <c r="S669" s="3"/>
      <c r="T669" s="15" t="str">
        <f t="shared" ca="1" si="10"/>
        <v>0</v>
      </c>
      <c r="U669" s="3"/>
    </row>
    <row r="670" spans="1:21" x14ac:dyDescent="0.35">
      <c r="A670" s="3" t="s">
        <v>1361</v>
      </c>
      <c r="B670" s="3" t="s">
        <v>1362</v>
      </c>
      <c r="C670" s="3" t="s">
        <v>25</v>
      </c>
      <c r="D670" s="3" t="s">
        <v>18</v>
      </c>
      <c r="E670" s="6">
        <v>44856</v>
      </c>
      <c r="F670" s="3" t="s">
        <v>19</v>
      </c>
      <c r="G670" s="3">
        <v>3315</v>
      </c>
      <c r="H670" s="3">
        <v>3738</v>
      </c>
      <c r="I670" s="3">
        <v>3.26</v>
      </c>
      <c r="J670" s="3">
        <v>117</v>
      </c>
      <c r="K670" s="15" t="str">
        <f ca="1">IF(F670="Enrolled",TODAY()-E670,"0")</f>
        <v>0</v>
      </c>
      <c r="L670" s="3" t="str">
        <f>IF(I670&gt;=3.5,"Excellent",IF(I670&gt;=3,"Good",IF(I670&gt;=2,"Average","Poor")))</f>
        <v>Good</v>
      </c>
      <c r="M670" s="3" t="str">
        <v>Dr.Roy</v>
      </c>
      <c r="N670" s="3" t="str">
        <f>IF(H670 &gt; (G670*50%), "Yes", "No")</f>
        <v>Yes</v>
      </c>
      <c r="O670" s="16">
        <f>G670-H670</f>
        <v>-423</v>
      </c>
      <c r="P670" s="16">
        <f>SUMIFS(O670:O670,E670:E670,"Science",F670:F670,"Completed")</f>
        <v>0</v>
      </c>
      <c r="Q670" s="3" t="str">
        <f>IF(MONTH(E670)&gt;=7, YEAR(E670)&amp;"-"&amp;YEAR(E670)+1, YEAR(E670)-1&amp;"-"&amp;YEAR(E670))</f>
        <v>2022-2023</v>
      </c>
      <c r="R670" s="3"/>
      <c r="S670" s="3"/>
      <c r="T670" s="15">
        <f t="shared" ca="1" si="10"/>
        <v>1198</v>
      </c>
      <c r="U670" s="3"/>
    </row>
    <row r="671" spans="1:21" x14ac:dyDescent="0.35">
      <c r="A671" s="3" t="s">
        <v>1363</v>
      </c>
      <c r="B671" s="3" t="s">
        <v>1364</v>
      </c>
      <c r="C671" s="3" t="s">
        <v>12</v>
      </c>
      <c r="D671" s="3" t="s">
        <v>31</v>
      </c>
      <c r="E671" s="6">
        <v>44600</v>
      </c>
      <c r="F671" s="3" t="s">
        <v>19</v>
      </c>
      <c r="G671" s="3">
        <v>9949</v>
      </c>
      <c r="H671" s="3">
        <v>1090</v>
      </c>
      <c r="I671" s="3">
        <v>3.17</v>
      </c>
      <c r="J671" s="3">
        <v>54</v>
      </c>
      <c r="K671" s="15" t="str">
        <f ca="1">IF(F671="Enrolled",TODAY()-E671,"0")</f>
        <v>0</v>
      </c>
      <c r="L671" s="3" t="str">
        <f>IF(I671&gt;=3.5,"Excellent",IF(I671&gt;=3,"Good",IF(I671&gt;=2,"Average","Poor")))</f>
        <v>Good</v>
      </c>
      <c r="M671" s="3" t="str">
        <v>Dr.Sharma</v>
      </c>
      <c r="N671" s="3" t="str">
        <f>IF(H671 &gt; (G671*50%), "Yes", "No")</f>
        <v>No</v>
      </c>
      <c r="O671" s="16">
        <f>G671-H671</f>
        <v>8859</v>
      </c>
      <c r="P671" s="16">
        <f>SUMIFS(O671:O671,E671:E671,"Science",F671:F671,"Completed")</f>
        <v>0</v>
      </c>
      <c r="Q671" s="3" t="str">
        <f>IF(MONTH(E671)&gt;=7, YEAR(E671)&amp;"-"&amp;YEAR(E671)+1, YEAR(E671)-1&amp;"-"&amp;YEAR(E671))</f>
        <v>2021-2022</v>
      </c>
      <c r="R671" s="3"/>
      <c r="S671" s="3"/>
      <c r="T671" s="15">
        <f t="shared" ca="1" si="10"/>
        <v>1454</v>
      </c>
      <c r="U671" s="3"/>
    </row>
    <row r="672" spans="1:21" x14ac:dyDescent="0.35">
      <c r="A672" s="3" t="s">
        <v>1365</v>
      </c>
      <c r="B672" s="3" t="s">
        <v>1366</v>
      </c>
      <c r="C672" s="3" t="s">
        <v>25</v>
      </c>
      <c r="D672" s="3" t="s">
        <v>13</v>
      </c>
      <c r="E672" s="6">
        <v>45212</v>
      </c>
      <c r="F672" s="3" t="s">
        <v>14</v>
      </c>
      <c r="G672" s="3">
        <v>2894</v>
      </c>
      <c r="H672" s="3">
        <v>8868</v>
      </c>
      <c r="I672" s="3">
        <v>3.96</v>
      </c>
      <c r="J672" s="3">
        <v>30</v>
      </c>
      <c r="K672" s="15">
        <f ca="1">IF(F672="Enrolled",TODAY()-E672,"0")</f>
        <v>842</v>
      </c>
      <c r="L672" s="3" t="str">
        <f>IF(I672&gt;=3.5,"Excellent",IF(I672&gt;=3,"Good",IF(I672&gt;=2,"Average","Poor")))</f>
        <v>Excellent</v>
      </c>
      <c r="M672" s="3" t="str">
        <v>Dr.Mehta</v>
      </c>
      <c r="N672" s="3" t="str">
        <f>IF(H672 &gt; (G672*50%), "Yes", "No")</f>
        <v>Yes</v>
      </c>
      <c r="O672" s="16">
        <f>G672-H672</f>
        <v>-5974</v>
      </c>
      <c r="P672" s="16">
        <f>SUMIFS(O672:O672,E672:E672,"Science",F672:F672,"Completed")</f>
        <v>0</v>
      </c>
      <c r="Q672" s="3" t="str">
        <f>IF(MONTH(E672)&gt;=7, YEAR(E672)&amp;"-"&amp;YEAR(E672)+1, YEAR(E672)-1&amp;"-"&amp;YEAR(E672))</f>
        <v>2023-2024</v>
      </c>
      <c r="R672" s="3"/>
      <c r="S672" s="3"/>
      <c r="T672" s="15" t="str">
        <f t="shared" ca="1" si="10"/>
        <v>0</v>
      </c>
      <c r="U672" s="3"/>
    </row>
    <row r="673" spans="1:21" x14ac:dyDescent="0.35">
      <c r="A673" s="3" t="s">
        <v>1367</v>
      </c>
      <c r="B673" s="3" t="s">
        <v>1368</v>
      </c>
      <c r="C673" s="3" t="s">
        <v>22</v>
      </c>
      <c r="D673" s="3" t="s">
        <v>18</v>
      </c>
      <c r="E673" s="6">
        <v>45071</v>
      </c>
      <c r="F673" s="3" t="s">
        <v>39</v>
      </c>
      <c r="G673" s="3">
        <v>4013</v>
      </c>
      <c r="H673" s="3">
        <v>4029</v>
      </c>
      <c r="I673" s="3">
        <v>3.59</v>
      </c>
      <c r="J673" s="3">
        <v>6</v>
      </c>
      <c r="K673" s="15" t="str">
        <f ca="1">IF(F673="Enrolled",TODAY()-E673,"0")</f>
        <v>0</v>
      </c>
      <c r="L673" s="3" t="str">
        <f>IF(I673&gt;=3.5,"Excellent",IF(I673&gt;=3,"Good",IF(I673&gt;=2,"Average","Poor")))</f>
        <v>Excellent</v>
      </c>
      <c r="M673" s="3" t="str">
        <v>Dr.Roy</v>
      </c>
      <c r="N673" s="3" t="str">
        <f>IF(H673 &gt; (G673*50%), "Yes", "No")</f>
        <v>Yes</v>
      </c>
      <c r="O673" s="16">
        <f>G673-H673</f>
        <v>-16</v>
      </c>
      <c r="P673" s="16">
        <f>SUMIFS(O673:O673,E673:E673,"Science",F673:F673,"Completed")</f>
        <v>0</v>
      </c>
      <c r="Q673" s="3" t="str">
        <f>IF(MONTH(E673)&gt;=7, YEAR(E673)&amp;"-"&amp;YEAR(E673)+1, YEAR(E673)-1&amp;"-"&amp;YEAR(E673))</f>
        <v>2022-2023</v>
      </c>
      <c r="R673" s="3"/>
      <c r="S673" s="3"/>
      <c r="T673" s="15" t="str">
        <f t="shared" ca="1" si="10"/>
        <v>0</v>
      </c>
      <c r="U673" s="3"/>
    </row>
    <row r="674" spans="1:21" x14ac:dyDescent="0.35">
      <c r="A674" s="3" t="s">
        <v>1369</v>
      </c>
      <c r="B674" s="3" t="s">
        <v>1370</v>
      </c>
      <c r="C674" s="3" t="s">
        <v>22</v>
      </c>
      <c r="D674" s="3" t="s">
        <v>31</v>
      </c>
      <c r="E674" s="6">
        <v>44640</v>
      </c>
      <c r="F674" s="3" t="s">
        <v>19</v>
      </c>
      <c r="G674" s="3">
        <v>5273</v>
      </c>
      <c r="H674" s="3">
        <v>9237</v>
      </c>
      <c r="I674" s="3">
        <v>2.59</v>
      </c>
      <c r="J674" s="3">
        <v>95</v>
      </c>
      <c r="K674" s="15" t="str">
        <f ca="1">IF(F674="Enrolled",TODAY()-E674,"0")</f>
        <v>0</v>
      </c>
      <c r="L674" s="3" t="str">
        <f>IF(I674&gt;=3.5,"Excellent",IF(I674&gt;=3,"Good",IF(I674&gt;=2,"Average","Poor")))</f>
        <v>Average</v>
      </c>
      <c r="M674" s="3" t="str">
        <v>Dr.Sharma</v>
      </c>
      <c r="N674" s="3" t="str">
        <f>IF(H674 &gt; (G674*50%), "Yes", "No")</f>
        <v>Yes</v>
      </c>
      <c r="O674" s="16">
        <f>G674-H674</f>
        <v>-3964</v>
      </c>
      <c r="P674" s="16">
        <f>SUMIFS(O674:O674,E674:E674,"Science",F674:F674,"Completed")</f>
        <v>0</v>
      </c>
      <c r="Q674" s="3" t="str">
        <f>IF(MONTH(E674)&gt;=7, YEAR(E674)&amp;"-"&amp;YEAR(E674)+1, YEAR(E674)-1&amp;"-"&amp;YEAR(E674))</f>
        <v>2021-2022</v>
      </c>
      <c r="R674" s="3"/>
      <c r="S674" s="3"/>
      <c r="T674" s="15">
        <f t="shared" ca="1" si="10"/>
        <v>1414</v>
      </c>
      <c r="U674" s="3"/>
    </row>
    <row r="675" spans="1:21" x14ac:dyDescent="0.35">
      <c r="A675" s="3" t="s">
        <v>1371</v>
      </c>
      <c r="B675" s="3" t="s">
        <v>1372</v>
      </c>
      <c r="C675" s="3" t="s">
        <v>54</v>
      </c>
      <c r="D675" s="3" t="s">
        <v>18</v>
      </c>
      <c r="E675" s="6">
        <v>45190</v>
      </c>
      <c r="F675" s="3" t="s">
        <v>14</v>
      </c>
      <c r="G675" s="3">
        <v>10298</v>
      </c>
      <c r="H675" s="3">
        <v>1382</v>
      </c>
      <c r="I675" s="3">
        <v>2.67</v>
      </c>
      <c r="J675" s="3">
        <v>88</v>
      </c>
      <c r="K675" s="15">
        <f ca="1">IF(F675="Enrolled",TODAY()-E675,"0")</f>
        <v>864</v>
      </c>
      <c r="L675" s="3" t="str">
        <f>IF(I675&gt;=3.5,"Excellent",IF(I675&gt;=3,"Good",IF(I675&gt;=2,"Average","Poor")))</f>
        <v>Average</v>
      </c>
      <c r="M675" s="3" t="str">
        <v>Dr.Roy</v>
      </c>
      <c r="N675" s="3" t="str">
        <f>IF(H675 &gt; (G675*50%), "Yes", "No")</f>
        <v>No</v>
      </c>
      <c r="O675" s="16">
        <f>G675-H675</f>
        <v>8916</v>
      </c>
      <c r="P675" s="16">
        <f>SUMIFS(O675:O675,E675:E675,"Science",F675:F675,"Completed")</f>
        <v>0</v>
      </c>
      <c r="Q675" s="3" t="str">
        <f>IF(MONTH(E675)&gt;=7, YEAR(E675)&amp;"-"&amp;YEAR(E675)+1, YEAR(E675)-1&amp;"-"&amp;YEAR(E675))</f>
        <v>2023-2024</v>
      </c>
      <c r="R675" s="3"/>
      <c r="S675" s="3"/>
      <c r="T675" s="15" t="str">
        <f t="shared" ca="1" si="10"/>
        <v>0</v>
      </c>
      <c r="U675" s="3"/>
    </row>
    <row r="676" spans="1:21" x14ac:dyDescent="0.35">
      <c r="A676" s="3" t="s">
        <v>1373</v>
      </c>
      <c r="B676" s="3" t="s">
        <v>1374</v>
      </c>
      <c r="C676" s="3" t="s">
        <v>36</v>
      </c>
      <c r="D676" s="3" t="s">
        <v>13</v>
      </c>
      <c r="E676" s="6">
        <v>44599</v>
      </c>
      <c r="F676" s="3" t="s">
        <v>14</v>
      </c>
      <c r="G676" s="3">
        <v>9592</v>
      </c>
      <c r="H676" s="3">
        <v>944</v>
      </c>
      <c r="I676" s="3">
        <v>2.1</v>
      </c>
      <c r="J676" s="3">
        <v>71</v>
      </c>
      <c r="K676" s="15">
        <f ca="1">IF(F676="Enrolled",TODAY()-E676,"0")</f>
        <v>1455</v>
      </c>
      <c r="L676" s="3" t="str">
        <f>IF(I676&gt;=3.5,"Excellent",IF(I676&gt;=3,"Good",IF(I676&gt;=2,"Average","Poor")))</f>
        <v>Average</v>
      </c>
      <c r="M676" s="3" t="str">
        <v>Dr.Mehta</v>
      </c>
      <c r="N676" s="3" t="str">
        <f>IF(H676 &gt; (G676*50%), "Yes", "No")</f>
        <v>No</v>
      </c>
      <c r="O676" s="16">
        <f>G676-H676</f>
        <v>8648</v>
      </c>
      <c r="P676" s="16">
        <f>SUMIFS(O676:O676,E676:E676,"Science",F676:F676,"Completed")</f>
        <v>0</v>
      </c>
      <c r="Q676" s="3" t="str">
        <f>IF(MONTH(E676)&gt;=7, YEAR(E676)&amp;"-"&amp;YEAR(E676)+1, YEAR(E676)-1&amp;"-"&amp;YEAR(E676))</f>
        <v>2021-2022</v>
      </c>
      <c r="R676" s="3"/>
      <c r="S676" s="3"/>
      <c r="T676" s="15" t="str">
        <f t="shared" ca="1" si="10"/>
        <v>0</v>
      </c>
      <c r="U676" s="3"/>
    </row>
    <row r="677" spans="1:21" x14ac:dyDescent="0.35">
      <c r="A677" s="3" t="s">
        <v>1375</v>
      </c>
      <c r="B677" s="3" t="s">
        <v>1376</v>
      </c>
      <c r="C677" s="3" t="s">
        <v>36</v>
      </c>
      <c r="D677" s="3" t="s">
        <v>13</v>
      </c>
      <c r="E677" s="6">
        <v>44817</v>
      </c>
      <c r="F677" s="3" t="s">
        <v>14</v>
      </c>
      <c r="G677" s="3">
        <v>12383</v>
      </c>
      <c r="H677" s="3">
        <v>6864</v>
      </c>
      <c r="I677" s="3">
        <v>2.78</v>
      </c>
      <c r="J677" s="3">
        <v>38</v>
      </c>
      <c r="K677" s="15">
        <f ca="1">IF(F677="Enrolled",TODAY()-E677,"0")</f>
        <v>1237</v>
      </c>
      <c r="L677" s="3" t="str">
        <f>IF(I677&gt;=3.5,"Excellent",IF(I677&gt;=3,"Good",IF(I677&gt;=2,"Average","Poor")))</f>
        <v>Average</v>
      </c>
      <c r="M677" s="3" t="str">
        <v>Dr.Mehta</v>
      </c>
      <c r="N677" s="3" t="str">
        <f>IF(H677 &gt; (G677*50%), "Yes", "No")</f>
        <v>Yes</v>
      </c>
      <c r="O677" s="16">
        <f>G677-H677</f>
        <v>5519</v>
      </c>
      <c r="P677" s="16">
        <f>SUMIFS(O677:O677,E677:E677,"Science",F677:F677,"Completed")</f>
        <v>0</v>
      </c>
      <c r="Q677" s="3" t="str">
        <f>IF(MONTH(E677)&gt;=7, YEAR(E677)&amp;"-"&amp;YEAR(E677)+1, YEAR(E677)-1&amp;"-"&amp;YEAR(E677))</f>
        <v>2022-2023</v>
      </c>
      <c r="R677" s="3"/>
      <c r="S677" s="3"/>
      <c r="T677" s="15" t="str">
        <f t="shared" ca="1" si="10"/>
        <v>0</v>
      </c>
      <c r="U677" s="3"/>
    </row>
    <row r="678" spans="1:21" x14ac:dyDescent="0.35">
      <c r="A678" s="3" t="s">
        <v>1377</v>
      </c>
      <c r="B678" s="3" t="s">
        <v>1378</v>
      </c>
      <c r="C678" s="3" t="s">
        <v>25</v>
      </c>
      <c r="D678" s="3" t="s">
        <v>62</v>
      </c>
      <c r="E678" s="6">
        <v>44783</v>
      </c>
      <c r="F678" s="3" t="s">
        <v>14</v>
      </c>
      <c r="G678" s="3">
        <v>10703</v>
      </c>
      <c r="H678" s="3">
        <v>1138</v>
      </c>
      <c r="I678" s="3">
        <v>3.49</v>
      </c>
      <c r="J678" s="3">
        <v>107</v>
      </c>
      <c r="K678" s="15">
        <f ca="1">IF(F678="Enrolled",TODAY()-E678,"0")</f>
        <v>1271</v>
      </c>
      <c r="L678" s="3" t="str">
        <f>IF(I678&gt;=3.5,"Excellent",IF(I678&gt;=3,"Good",IF(I678&gt;=2,"Average","Poor")))</f>
        <v>Good</v>
      </c>
      <c r="M678" s="3" t="str">
        <v>Dr.Sinha</v>
      </c>
      <c r="N678" s="3" t="str">
        <f>IF(H678 &gt; (G678*50%), "Yes", "No")</f>
        <v>No</v>
      </c>
      <c r="O678" s="16">
        <f>G678-H678</f>
        <v>9565</v>
      </c>
      <c r="P678" s="16">
        <f>SUMIFS(O678:O678,E678:E678,"Science",F678:F678,"Completed")</f>
        <v>0</v>
      </c>
      <c r="Q678" s="3" t="str">
        <f>IF(MONTH(E678)&gt;=7, YEAR(E678)&amp;"-"&amp;YEAR(E678)+1, YEAR(E678)-1&amp;"-"&amp;YEAR(E678))</f>
        <v>2022-2023</v>
      </c>
      <c r="R678" s="3"/>
      <c r="S678" s="3"/>
      <c r="T678" s="15" t="str">
        <f t="shared" ca="1" si="10"/>
        <v>0</v>
      </c>
      <c r="U678" s="3"/>
    </row>
    <row r="679" spans="1:21" x14ac:dyDescent="0.35">
      <c r="A679" s="3" t="s">
        <v>1379</v>
      </c>
      <c r="B679" s="3" t="s">
        <v>1380</v>
      </c>
      <c r="C679" s="3" t="s">
        <v>36</v>
      </c>
      <c r="D679" s="3" t="s">
        <v>13</v>
      </c>
      <c r="E679" s="6">
        <v>44990</v>
      </c>
      <c r="F679" s="3" t="s">
        <v>14</v>
      </c>
      <c r="G679" s="3">
        <v>12060</v>
      </c>
      <c r="H679" s="3">
        <v>6306</v>
      </c>
      <c r="I679" s="3">
        <v>3.77</v>
      </c>
      <c r="J679" s="3">
        <v>48</v>
      </c>
      <c r="K679" s="15">
        <f ca="1">IF(F679="Enrolled",TODAY()-E679,"0")</f>
        <v>1064</v>
      </c>
      <c r="L679" s="3" t="str">
        <f>IF(I679&gt;=3.5,"Excellent",IF(I679&gt;=3,"Good",IF(I679&gt;=2,"Average","Poor")))</f>
        <v>Excellent</v>
      </c>
      <c r="M679" s="3" t="str">
        <v>Dr.Mehta</v>
      </c>
      <c r="N679" s="3" t="str">
        <f>IF(H679 &gt; (G679*50%), "Yes", "No")</f>
        <v>Yes</v>
      </c>
      <c r="O679" s="16">
        <f>G679-H679</f>
        <v>5754</v>
      </c>
      <c r="P679" s="16">
        <f>SUMIFS(O679:O679,E679:E679,"Science",F679:F679,"Completed")</f>
        <v>0</v>
      </c>
      <c r="Q679" s="3" t="str">
        <f>IF(MONTH(E679)&gt;=7, YEAR(E679)&amp;"-"&amp;YEAR(E679)+1, YEAR(E679)-1&amp;"-"&amp;YEAR(E679))</f>
        <v>2022-2023</v>
      </c>
      <c r="R679" s="3"/>
      <c r="S679" s="3"/>
      <c r="T679" s="15" t="str">
        <f t="shared" ca="1" si="10"/>
        <v>0</v>
      </c>
      <c r="U679" s="3"/>
    </row>
    <row r="680" spans="1:21" x14ac:dyDescent="0.35">
      <c r="A680" s="3" t="s">
        <v>1381</v>
      </c>
      <c r="B680" s="3" t="s">
        <v>1382</v>
      </c>
      <c r="C680" s="3" t="s">
        <v>57</v>
      </c>
      <c r="D680" s="3" t="s">
        <v>62</v>
      </c>
      <c r="E680" s="6">
        <v>45460</v>
      </c>
      <c r="F680" s="3" t="s">
        <v>14</v>
      </c>
      <c r="G680" s="3">
        <v>5192</v>
      </c>
      <c r="H680" s="3">
        <v>7911</v>
      </c>
      <c r="I680" s="3">
        <v>2.4700000000000002</v>
      </c>
      <c r="J680" s="3">
        <v>88</v>
      </c>
      <c r="K680" s="15">
        <f ca="1">IF(F680="Enrolled",TODAY()-E680,"0")</f>
        <v>594</v>
      </c>
      <c r="L680" s="3" t="str">
        <f>IF(I680&gt;=3.5,"Excellent",IF(I680&gt;=3,"Good",IF(I680&gt;=2,"Average","Poor")))</f>
        <v>Average</v>
      </c>
      <c r="M680" s="3" t="str">
        <v>Dr.Sinha</v>
      </c>
      <c r="N680" s="3" t="str">
        <f>IF(H680 &gt; (G680*50%), "Yes", "No")</f>
        <v>Yes</v>
      </c>
      <c r="O680" s="16">
        <f>G680-H680</f>
        <v>-2719</v>
      </c>
      <c r="P680" s="16">
        <f>SUMIFS(O680:O680,E680:E680,"Science",F680:F680,"Completed")</f>
        <v>0</v>
      </c>
      <c r="Q680" s="3" t="str">
        <f>IF(MONTH(E680)&gt;=7, YEAR(E680)&amp;"-"&amp;YEAR(E680)+1, YEAR(E680)-1&amp;"-"&amp;YEAR(E680))</f>
        <v>2023-2024</v>
      </c>
      <c r="R680" s="3"/>
      <c r="S680" s="3"/>
      <c r="T680" s="15" t="str">
        <f t="shared" ca="1" si="10"/>
        <v>0</v>
      </c>
      <c r="U680" s="3"/>
    </row>
    <row r="681" spans="1:21" x14ac:dyDescent="0.35">
      <c r="A681" s="3" t="s">
        <v>1383</v>
      </c>
      <c r="B681" s="3" t="s">
        <v>1384</v>
      </c>
      <c r="C681" s="3" t="s">
        <v>28</v>
      </c>
      <c r="D681" s="3" t="s">
        <v>31</v>
      </c>
      <c r="E681" s="6">
        <v>44636</v>
      </c>
      <c r="F681" s="3" t="s">
        <v>14</v>
      </c>
      <c r="G681" s="3">
        <v>3356</v>
      </c>
      <c r="H681" s="3">
        <v>4096</v>
      </c>
      <c r="I681" s="3">
        <v>2.74</v>
      </c>
      <c r="J681" s="3">
        <v>98</v>
      </c>
      <c r="K681" s="15">
        <f ca="1">IF(F681="Enrolled",TODAY()-E681,"0")</f>
        <v>1418</v>
      </c>
      <c r="L681" s="3" t="str">
        <f>IF(I681&gt;=3.5,"Excellent",IF(I681&gt;=3,"Good",IF(I681&gt;=2,"Average","Poor")))</f>
        <v>Average</v>
      </c>
      <c r="M681" s="3" t="str">
        <v>Dr.Sharma</v>
      </c>
      <c r="N681" s="3" t="str">
        <f>IF(H681 &gt; (G681*50%), "Yes", "No")</f>
        <v>Yes</v>
      </c>
      <c r="O681" s="16">
        <f>G681-H681</f>
        <v>-740</v>
      </c>
      <c r="P681" s="16">
        <f>SUMIFS(O681:O681,E681:E681,"Science",F681:F681,"Completed")</f>
        <v>0</v>
      </c>
      <c r="Q681" s="3" t="str">
        <f>IF(MONTH(E681)&gt;=7, YEAR(E681)&amp;"-"&amp;YEAR(E681)+1, YEAR(E681)-1&amp;"-"&amp;YEAR(E681))</f>
        <v>2021-2022</v>
      </c>
      <c r="R681" s="3"/>
      <c r="S681" s="3"/>
      <c r="T681" s="15" t="str">
        <f t="shared" ca="1" si="10"/>
        <v>0</v>
      </c>
      <c r="U681" s="3"/>
    </row>
    <row r="682" spans="1:21" x14ac:dyDescent="0.35">
      <c r="A682" s="3" t="s">
        <v>1385</v>
      </c>
      <c r="B682" s="3" t="s">
        <v>1386</v>
      </c>
      <c r="C682" s="3" t="s">
        <v>17</v>
      </c>
      <c r="D682" s="3" t="s">
        <v>31</v>
      </c>
      <c r="E682" s="6">
        <v>45002</v>
      </c>
      <c r="F682" s="3" t="s">
        <v>19</v>
      </c>
      <c r="G682" s="3">
        <v>6141</v>
      </c>
      <c r="H682" s="3">
        <v>1714</v>
      </c>
      <c r="I682" s="3">
        <v>2.58</v>
      </c>
      <c r="J682" s="3">
        <v>100</v>
      </c>
      <c r="K682" s="15" t="str">
        <f ca="1">IF(F682="Enrolled",TODAY()-E682,"0")</f>
        <v>0</v>
      </c>
      <c r="L682" s="3" t="str">
        <f>IF(I682&gt;=3.5,"Excellent",IF(I682&gt;=3,"Good",IF(I682&gt;=2,"Average","Poor")))</f>
        <v>Average</v>
      </c>
      <c r="M682" s="3" t="str">
        <v>Dr.Sharma</v>
      </c>
      <c r="N682" s="3" t="str">
        <f>IF(H682 &gt; (G682*50%), "Yes", "No")</f>
        <v>No</v>
      </c>
      <c r="O682" s="16">
        <f>G682-H682</f>
        <v>4427</v>
      </c>
      <c r="P682" s="16">
        <f>SUMIFS(O682:O682,E682:E682,"Science",F682:F682,"Completed")</f>
        <v>0</v>
      </c>
      <c r="Q682" s="3" t="str">
        <f>IF(MONTH(E682)&gt;=7, YEAR(E682)&amp;"-"&amp;YEAR(E682)+1, YEAR(E682)-1&amp;"-"&amp;YEAR(E682))</f>
        <v>2022-2023</v>
      </c>
      <c r="R682" s="3"/>
      <c r="S682" s="3"/>
      <c r="T682" s="15">
        <f t="shared" ca="1" si="10"/>
        <v>1052</v>
      </c>
      <c r="U682" s="3"/>
    </row>
    <row r="683" spans="1:21" x14ac:dyDescent="0.35">
      <c r="A683" s="3" t="s">
        <v>1387</v>
      </c>
      <c r="B683" s="3" t="s">
        <v>1388</v>
      </c>
      <c r="C683" s="3" t="s">
        <v>12</v>
      </c>
      <c r="D683" s="3" t="s">
        <v>18</v>
      </c>
      <c r="E683" s="6">
        <v>45389</v>
      </c>
      <c r="F683" s="3" t="s">
        <v>14</v>
      </c>
      <c r="G683" s="3">
        <v>5110</v>
      </c>
      <c r="H683" s="3">
        <v>1350</v>
      </c>
      <c r="I683" s="3">
        <v>3.06</v>
      </c>
      <c r="J683" s="3">
        <v>77</v>
      </c>
      <c r="K683" s="15">
        <f ca="1">IF(F683="Enrolled",TODAY()-E683,"0")</f>
        <v>665</v>
      </c>
      <c r="L683" s="3" t="str">
        <f>IF(I683&gt;=3.5,"Excellent",IF(I683&gt;=3,"Good",IF(I683&gt;=2,"Average","Poor")))</f>
        <v>Good</v>
      </c>
      <c r="M683" s="3" t="str">
        <v>Dr.Roy</v>
      </c>
      <c r="N683" s="3" t="str">
        <f>IF(H683 &gt; (G683*50%), "Yes", "No")</f>
        <v>No</v>
      </c>
      <c r="O683" s="16">
        <f>G683-H683</f>
        <v>3760</v>
      </c>
      <c r="P683" s="16">
        <f>SUMIFS(O683:O683,E683:E683,"Science",F683:F683,"Completed")</f>
        <v>0</v>
      </c>
      <c r="Q683" s="3" t="str">
        <f>IF(MONTH(E683)&gt;=7, YEAR(E683)&amp;"-"&amp;YEAR(E683)+1, YEAR(E683)-1&amp;"-"&amp;YEAR(E683))</f>
        <v>2023-2024</v>
      </c>
      <c r="R683" s="3"/>
      <c r="S683" s="3"/>
      <c r="T683" s="15" t="str">
        <f t="shared" ca="1" si="10"/>
        <v>0</v>
      </c>
      <c r="U683" s="3"/>
    </row>
    <row r="684" spans="1:21" x14ac:dyDescent="0.35">
      <c r="A684" s="3" t="s">
        <v>1389</v>
      </c>
      <c r="B684" s="3" t="s">
        <v>1390</v>
      </c>
      <c r="C684" s="3" t="s">
        <v>28</v>
      </c>
      <c r="D684" s="3" t="s">
        <v>18</v>
      </c>
      <c r="E684" s="6">
        <v>45340</v>
      </c>
      <c r="F684" s="3" t="s">
        <v>14</v>
      </c>
      <c r="G684" s="3">
        <v>10080</v>
      </c>
      <c r="H684" s="3">
        <v>4930</v>
      </c>
      <c r="I684" s="3">
        <v>3.17</v>
      </c>
      <c r="J684" s="3">
        <v>73</v>
      </c>
      <c r="K684" s="15">
        <f ca="1">IF(F684="Enrolled",TODAY()-E684,"0")</f>
        <v>714</v>
      </c>
      <c r="L684" s="3" t="str">
        <f>IF(I684&gt;=3.5,"Excellent",IF(I684&gt;=3,"Good",IF(I684&gt;=2,"Average","Poor")))</f>
        <v>Good</v>
      </c>
      <c r="M684" s="3" t="str">
        <v>Dr.Roy</v>
      </c>
      <c r="N684" s="3" t="str">
        <f>IF(H684 &gt; (G684*50%), "Yes", "No")</f>
        <v>No</v>
      </c>
      <c r="O684" s="16">
        <f>G684-H684</f>
        <v>5150</v>
      </c>
      <c r="P684" s="16">
        <f>SUMIFS(O684:O684,E684:E684,"Science",F684:F684,"Completed")</f>
        <v>0</v>
      </c>
      <c r="Q684" s="3" t="str">
        <f>IF(MONTH(E684)&gt;=7, YEAR(E684)&amp;"-"&amp;YEAR(E684)+1, YEAR(E684)-1&amp;"-"&amp;YEAR(E684))</f>
        <v>2023-2024</v>
      </c>
      <c r="R684" s="3"/>
      <c r="S684" s="3"/>
      <c r="T684" s="15" t="str">
        <f t="shared" ca="1" si="10"/>
        <v>0</v>
      </c>
      <c r="U684" s="3"/>
    </row>
    <row r="685" spans="1:21" x14ac:dyDescent="0.35">
      <c r="A685" s="3" t="s">
        <v>1391</v>
      </c>
      <c r="B685" s="3" t="s">
        <v>1392</v>
      </c>
      <c r="C685" s="3" t="s">
        <v>17</v>
      </c>
      <c r="D685" s="3" t="s">
        <v>18</v>
      </c>
      <c r="E685" s="6">
        <v>44596</v>
      </c>
      <c r="F685" s="3" t="s">
        <v>14</v>
      </c>
      <c r="G685" s="3">
        <v>7513</v>
      </c>
      <c r="H685" s="3">
        <v>1653</v>
      </c>
      <c r="I685" s="3">
        <v>3.05</v>
      </c>
      <c r="J685" s="3">
        <v>73</v>
      </c>
      <c r="K685" s="15">
        <f ca="1">IF(F685="Enrolled",TODAY()-E685,"0")</f>
        <v>1458</v>
      </c>
      <c r="L685" s="3" t="str">
        <f>IF(I685&gt;=3.5,"Excellent",IF(I685&gt;=3,"Good",IF(I685&gt;=2,"Average","Poor")))</f>
        <v>Good</v>
      </c>
      <c r="M685" s="3" t="str">
        <v>Dr.Roy</v>
      </c>
      <c r="N685" s="3" t="str">
        <f>IF(H685 &gt; (G685*50%), "Yes", "No")</f>
        <v>No</v>
      </c>
      <c r="O685" s="16">
        <f>G685-H685</f>
        <v>5860</v>
      </c>
      <c r="P685" s="16">
        <f>SUMIFS(O685:O685,E685:E685,"Science",F685:F685,"Completed")</f>
        <v>0</v>
      </c>
      <c r="Q685" s="3" t="str">
        <f>IF(MONTH(E685)&gt;=7, YEAR(E685)&amp;"-"&amp;YEAR(E685)+1, YEAR(E685)-1&amp;"-"&amp;YEAR(E685))</f>
        <v>2021-2022</v>
      </c>
      <c r="R685" s="3"/>
      <c r="S685" s="3"/>
      <c r="T685" s="15" t="str">
        <f t="shared" ca="1" si="10"/>
        <v>0</v>
      </c>
      <c r="U685" s="3"/>
    </row>
    <row r="686" spans="1:21" x14ac:dyDescent="0.35">
      <c r="A686" s="3" t="s">
        <v>1393</v>
      </c>
      <c r="B686" s="3" t="s">
        <v>1394</v>
      </c>
      <c r="C686" s="3" t="s">
        <v>28</v>
      </c>
      <c r="D686" s="3" t="s">
        <v>18</v>
      </c>
      <c r="E686" s="6">
        <v>45285</v>
      </c>
      <c r="F686" s="3" t="s">
        <v>14</v>
      </c>
      <c r="G686" s="3">
        <v>8227</v>
      </c>
      <c r="H686" s="3">
        <v>4734</v>
      </c>
      <c r="I686" s="3">
        <v>3.1</v>
      </c>
      <c r="J686" s="3">
        <v>50</v>
      </c>
      <c r="K686" s="15">
        <f ca="1">IF(F686="Enrolled",TODAY()-E686,"0")</f>
        <v>769</v>
      </c>
      <c r="L686" s="3" t="str">
        <f>IF(I686&gt;=3.5,"Excellent",IF(I686&gt;=3,"Good",IF(I686&gt;=2,"Average","Poor")))</f>
        <v>Good</v>
      </c>
      <c r="M686" s="3" t="str">
        <v>Dr.Roy</v>
      </c>
      <c r="N686" s="3" t="str">
        <f>IF(H686 &gt; (G686*50%), "Yes", "No")</f>
        <v>Yes</v>
      </c>
      <c r="O686" s="16">
        <f>G686-H686</f>
        <v>3493</v>
      </c>
      <c r="P686" s="16">
        <f>SUMIFS(O686:O686,E686:E686,"Science",F686:F686,"Completed")</f>
        <v>0</v>
      </c>
      <c r="Q686" s="3" t="str">
        <f>IF(MONTH(E686)&gt;=7, YEAR(E686)&amp;"-"&amp;YEAR(E686)+1, YEAR(E686)-1&amp;"-"&amp;YEAR(E686))</f>
        <v>2023-2024</v>
      </c>
      <c r="R686" s="3"/>
      <c r="S686" s="3"/>
      <c r="T686" s="15" t="str">
        <f t="shared" ca="1" si="10"/>
        <v>0</v>
      </c>
      <c r="U686" s="3"/>
    </row>
    <row r="687" spans="1:21" x14ac:dyDescent="0.35">
      <c r="A687" s="3" t="s">
        <v>1395</v>
      </c>
      <c r="B687" s="3" t="s">
        <v>1396</v>
      </c>
      <c r="C687" s="3" t="s">
        <v>54</v>
      </c>
      <c r="D687" s="3" t="s">
        <v>13</v>
      </c>
      <c r="E687" s="6">
        <v>45285</v>
      </c>
      <c r="F687" s="3" t="s">
        <v>14</v>
      </c>
      <c r="G687" s="3">
        <v>13129</v>
      </c>
      <c r="H687" s="3">
        <v>7800</v>
      </c>
      <c r="I687" s="3">
        <v>3.5</v>
      </c>
      <c r="J687" s="3">
        <v>116</v>
      </c>
      <c r="K687" s="15">
        <f ca="1">IF(F687="Enrolled",TODAY()-E687,"0")</f>
        <v>769</v>
      </c>
      <c r="L687" s="3" t="str">
        <f>IF(I687&gt;=3.5,"Excellent",IF(I687&gt;=3,"Good",IF(I687&gt;=2,"Average","Poor")))</f>
        <v>Excellent</v>
      </c>
      <c r="M687" s="3" t="str">
        <v>Dr.Mehta</v>
      </c>
      <c r="N687" s="3" t="str">
        <f>IF(H687 &gt; (G687*50%), "Yes", "No")</f>
        <v>Yes</v>
      </c>
      <c r="O687" s="16">
        <f>G687-H687</f>
        <v>5329</v>
      </c>
      <c r="P687" s="16">
        <f>SUMIFS(O687:O687,E687:E687,"Science",F687:F687,"Completed")</f>
        <v>0</v>
      </c>
      <c r="Q687" s="3" t="str">
        <f>IF(MONTH(E687)&gt;=7, YEAR(E687)&amp;"-"&amp;YEAR(E687)+1, YEAR(E687)-1&amp;"-"&amp;YEAR(E687))</f>
        <v>2023-2024</v>
      </c>
      <c r="R687" s="3"/>
      <c r="S687" s="3"/>
      <c r="T687" s="15" t="str">
        <f t="shared" ca="1" si="10"/>
        <v>0</v>
      </c>
      <c r="U687" s="3"/>
    </row>
    <row r="688" spans="1:21" x14ac:dyDescent="0.35">
      <c r="A688" s="3" t="s">
        <v>1397</v>
      </c>
      <c r="B688" s="3" t="s">
        <v>1398</v>
      </c>
      <c r="C688" s="3" t="s">
        <v>28</v>
      </c>
      <c r="D688" s="3" t="s">
        <v>18</v>
      </c>
      <c r="E688" s="6">
        <v>44905</v>
      </c>
      <c r="F688" s="3" t="s">
        <v>39</v>
      </c>
      <c r="G688" s="3">
        <v>10408</v>
      </c>
      <c r="H688" s="3">
        <v>1245</v>
      </c>
      <c r="I688" s="3">
        <v>2.78</v>
      </c>
      <c r="J688" s="3">
        <v>72</v>
      </c>
      <c r="K688" s="15" t="str">
        <f ca="1">IF(F688="Enrolled",TODAY()-E688,"0")</f>
        <v>0</v>
      </c>
      <c r="L688" s="3" t="str">
        <f>IF(I688&gt;=3.5,"Excellent",IF(I688&gt;=3,"Good",IF(I688&gt;=2,"Average","Poor")))</f>
        <v>Average</v>
      </c>
      <c r="M688" s="3" t="str">
        <v>Dr.Roy</v>
      </c>
      <c r="N688" s="3" t="str">
        <f>IF(H688 &gt; (G688*50%), "Yes", "No")</f>
        <v>No</v>
      </c>
      <c r="O688" s="16">
        <f>G688-H688</f>
        <v>9163</v>
      </c>
      <c r="P688" s="16">
        <f>SUMIFS(O688:O688,E688:E688,"Science",F688:F688,"Completed")</f>
        <v>0</v>
      </c>
      <c r="Q688" s="3" t="str">
        <f>IF(MONTH(E688)&gt;=7, YEAR(E688)&amp;"-"&amp;YEAR(E688)+1, YEAR(E688)-1&amp;"-"&amp;YEAR(E688))</f>
        <v>2022-2023</v>
      </c>
      <c r="R688" s="3"/>
      <c r="S688" s="3"/>
      <c r="T688" s="15" t="str">
        <f t="shared" ca="1" si="10"/>
        <v>0</v>
      </c>
      <c r="U688" s="3"/>
    </row>
    <row r="689" spans="1:21" x14ac:dyDescent="0.35">
      <c r="A689" s="3" t="s">
        <v>1399</v>
      </c>
      <c r="B689" s="3" t="s">
        <v>1400</v>
      </c>
      <c r="C689" s="3" t="s">
        <v>28</v>
      </c>
      <c r="D689" s="3" t="s">
        <v>13</v>
      </c>
      <c r="E689" s="6">
        <v>45216</v>
      </c>
      <c r="F689" s="3" t="s">
        <v>19</v>
      </c>
      <c r="G689" s="3">
        <v>7270</v>
      </c>
      <c r="H689" s="3">
        <v>4035</v>
      </c>
      <c r="I689" s="3">
        <v>2.2000000000000002</v>
      </c>
      <c r="J689" s="3">
        <v>10</v>
      </c>
      <c r="K689" s="15" t="str">
        <f ca="1">IF(F689="Enrolled",TODAY()-E689,"0")</f>
        <v>0</v>
      </c>
      <c r="L689" s="3" t="str">
        <f>IF(I689&gt;=3.5,"Excellent",IF(I689&gt;=3,"Good",IF(I689&gt;=2,"Average","Poor")))</f>
        <v>Average</v>
      </c>
      <c r="M689" s="3" t="str">
        <v>Dr.Mehta</v>
      </c>
      <c r="N689" s="3" t="str">
        <f>IF(H689 &gt; (G689*50%), "Yes", "No")</f>
        <v>Yes</v>
      </c>
      <c r="O689" s="16">
        <f>G689-H689</f>
        <v>3235</v>
      </c>
      <c r="P689" s="16">
        <f>SUMIFS(O689:O689,E689:E689,"Science",F689:F689,"Completed")</f>
        <v>0</v>
      </c>
      <c r="Q689" s="3" t="str">
        <f>IF(MONTH(E689)&gt;=7, YEAR(E689)&amp;"-"&amp;YEAR(E689)+1, YEAR(E689)-1&amp;"-"&amp;YEAR(E689))</f>
        <v>2023-2024</v>
      </c>
      <c r="R689" s="3"/>
      <c r="S689" s="3"/>
      <c r="T689" s="15">
        <f t="shared" ca="1" si="10"/>
        <v>838</v>
      </c>
      <c r="U689" s="3"/>
    </row>
    <row r="690" spans="1:21" x14ac:dyDescent="0.35">
      <c r="A690" s="3" t="s">
        <v>1401</v>
      </c>
      <c r="B690" s="3" t="s">
        <v>1402</v>
      </c>
      <c r="C690" s="3" t="s">
        <v>36</v>
      </c>
      <c r="D690" s="3" t="s">
        <v>18</v>
      </c>
      <c r="E690" s="6">
        <v>44648</v>
      </c>
      <c r="F690" s="3" t="s">
        <v>14</v>
      </c>
      <c r="G690" s="3">
        <v>2730</v>
      </c>
      <c r="H690" s="3">
        <v>6097</v>
      </c>
      <c r="I690" s="3">
        <v>2.09</v>
      </c>
      <c r="J690" s="3">
        <v>70</v>
      </c>
      <c r="K690" s="15">
        <f ca="1">IF(F690="Enrolled",TODAY()-E690,"0")</f>
        <v>1406</v>
      </c>
      <c r="L690" s="3" t="str">
        <f>IF(I690&gt;=3.5,"Excellent",IF(I690&gt;=3,"Good",IF(I690&gt;=2,"Average","Poor")))</f>
        <v>Average</v>
      </c>
      <c r="M690" s="3" t="str">
        <v>Dr.Roy</v>
      </c>
      <c r="N690" s="3" t="str">
        <f>IF(H690 &gt; (G690*50%), "Yes", "No")</f>
        <v>Yes</v>
      </c>
      <c r="O690" s="16">
        <f>G690-H690</f>
        <v>-3367</v>
      </c>
      <c r="P690" s="16">
        <f>SUMIFS(O690:O690,E690:E690,"Science",F690:F690,"Completed")</f>
        <v>0</v>
      </c>
      <c r="Q690" s="3" t="str">
        <f>IF(MONTH(E690)&gt;=7, YEAR(E690)&amp;"-"&amp;YEAR(E690)+1, YEAR(E690)-1&amp;"-"&amp;YEAR(E690))</f>
        <v>2021-2022</v>
      </c>
      <c r="R690" s="3"/>
      <c r="S690" s="3"/>
      <c r="T690" s="15" t="str">
        <f t="shared" ca="1" si="10"/>
        <v>0</v>
      </c>
      <c r="U690" s="3"/>
    </row>
    <row r="691" spans="1:21" x14ac:dyDescent="0.35">
      <c r="A691" s="3" t="s">
        <v>1403</v>
      </c>
      <c r="B691" s="3" t="s">
        <v>1404</v>
      </c>
      <c r="C691" s="3" t="s">
        <v>28</v>
      </c>
      <c r="D691" s="3" t="s">
        <v>18</v>
      </c>
      <c r="E691" s="6">
        <v>44715</v>
      </c>
      <c r="F691" s="3" t="s">
        <v>19</v>
      </c>
      <c r="G691" s="3">
        <v>11096</v>
      </c>
      <c r="H691" s="3">
        <v>3961</v>
      </c>
      <c r="I691" s="3">
        <v>3.9</v>
      </c>
      <c r="J691" s="3">
        <v>48</v>
      </c>
      <c r="K691" s="15" t="str">
        <f ca="1">IF(F691="Enrolled",TODAY()-E691,"0")</f>
        <v>0</v>
      </c>
      <c r="L691" s="3" t="str">
        <f>IF(I691&gt;=3.5,"Excellent",IF(I691&gt;=3,"Good",IF(I691&gt;=2,"Average","Poor")))</f>
        <v>Excellent</v>
      </c>
      <c r="M691" s="3" t="str">
        <v>Dr.Roy</v>
      </c>
      <c r="N691" s="3" t="str">
        <f>IF(H691 &gt; (G691*50%), "Yes", "No")</f>
        <v>No</v>
      </c>
      <c r="O691" s="16">
        <f>G691-H691</f>
        <v>7135</v>
      </c>
      <c r="P691" s="16">
        <f>SUMIFS(O691:O691,E691:E691,"Science",F691:F691,"Completed")</f>
        <v>0</v>
      </c>
      <c r="Q691" s="3" t="str">
        <f>IF(MONTH(E691)&gt;=7, YEAR(E691)&amp;"-"&amp;YEAR(E691)+1, YEAR(E691)-1&amp;"-"&amp;YEAR(E691))</f>
        <v>2021-2022</v>
      </c>
      <c r="R691" s="3"/>
      <c r="S691" s="3"/>
      <c r="T691" s="15">
        <f t="shared" ca="1" si="10"/>
        <v>1339</v>
      </c>
      <c r="U691" s="3"/>
    </row>
    <row r="692" spans="1:21" x14ac:dyDescent="0.35">
      <c r="A692" s="3" t="s">
        <v>1405</v>
      </c>
      <c r="B692" s="3" t="s">
        <v>1406</v>
      </c>
      <c r="C692" s="3" t="s">
        <v>36</v>
      </c>
      <c r="D692" s="3" t="s">
        <v>18</v>
      </c>
      <c r="E692" s="6">
        <v>45362</v>
      </c>
      <c r="F692" s="3" t="s">
        <v>19</v>
      </c>
      <c r="G692" s="3">
        <v>14406</v>
      </c>
      <c r="H692" s="3">
        <v>3386</v>
      </c>
      <c r="I692" s="3">
        <v>3.04</v>
      </c>
      <c r="J692" s="3">
        <v>109</v>
      </c>
      <c r="K692" s="15" t="str">
        <f ca="1">IF(F692="Enrolled",TODAY()-E692,"0")</f>
        <v>0</v>
      </c>
      <c r="L692" s="3" t="str">
        <f>IF(I692&gt;=3.5,"Excellent",IF(I692&gt;=3,"Good",IF(I692&gt;=2,"Average","Poor")))</f>
        <v>Good</v>
      </c>
      <c r="M692" s="3" t="str">
        <v>Dr.Roy</v>
      </c>
      <c r="N692" s="3" t="str">
        <f>IF(H692 &gt; (G692*50%), "Yes", "No")</f>
        <v>No</v>
      </c>
      <c r="O692" s="16">
        <f>G692-H692</f>
        <v>11020</v>
      </c>
      <c r="P692" s="16">
        <f>SUMIFS(O692:O692,E692:E692,"Science",F692:F692,"Completed")</f>
        <v>0</v>
      </c>
      <c r="Q692" s="3" t="str">
        <f>IF(MONTH(E692)&gt;=7, YEAR(E692)&amp;"-"&amp;YEAR(E692)+1, YEAR(E692)-1&amp;"-"&amp;YEAR(E692))</f>
        <v>2023-2024</v>
      </c>
      <c r="R692" s="3"/>
      <c r="S692" s="3"/>
      <c r="T692" s="15">
        <f t="shared" ca="1" si="10"/>
        <v>692</v>
      </c>
      <c r="U692" s="3"/>
    </row>
    <row r="693" spans="1:21" x14ac:dyDescent="0.35">
      <c r="A693" s="3" t="s">
        <v>1407</v>
      </c>
      <c r="B693" s="3" t="s">
        <v>1408</v>
      </c>
      <c r="C693" s="3" t="s">
        <v>17</v>
      </c>
      <c r="D693" s="3" t="s">
        <v>31</v>
      </c>
      <c r="E693" s="6">
        <v>45251</v>
      </c>
      <c r="F693" s="3" t="s">
        <v>19</v>
      </c>
      <c r="G693" s="3">
        <v>11296</v>
      </c>
      <c r="H693" s="3">
        <v>6755</v>
      </c>
      <c r="I693" s="3">
        <v>2.86</v>
      </c>
      <c r="J693" s="3">
        <v>112</v>
      </c>
      <c r="K693" s="15" t="str">
        <f ca="1">IF(F693="Enrolled",TODAY()-E693,"0")</f>
        <v>0</v>
      </c>
      <c r="L693" s="3" t="str">
        <f>IF(I693&gt;=3.5,"Excellent",IF(I693&gt;=3,"Good",IF(I693&gt;=2,"Average","Poor")))</f>
        <v>Average</v>
      </c>
      <c r="M693" s="3" t="str">
        <v>Dr.Sharma</v>
      </c>
      <c r="N693" s="3" t="str">
        <f>IF(H693 &gt; (G693*50%), "Yes", "No")</f>
        <v>Yes</v>
      </c>
      <c r="O693" s="16">
        <f>G693-H693</f>
        <v>4541</v>
      </c>
      <c r="P693" s="16">
        <f>SUMIFS(O693:O693,E693:E693,"Science",F693:F693,"Completed")</f>
        <v>0</v>
      </c>
      <c r="Q693" s="3" t="str">
        <f>IF(MONTH(E693)&gt;=7, YEAR(E693)&amp;"-"&amp;YEAR(E693)+1, YEAR(E693)-1&amp;"-"&amp;YEAR(E693))</f>
        <v>2023-2024</v>
      </c>
      <c r="R693" s="3"/>
      <c r="S693" s="3"/>
      <c r="T693" s="15">
        <f t="shared" ca="1" si="10"/>
        <v>803</v>
      </c>
      <c r="U693" s="3"/>
    </row>
    <row r="694" spans="1:21" x14ac:dyDescent="0.35">
      <c r="A694" s="3" t="s">
        <v>1409</v>
      </c>
      <c r="B694" s="3" t="s">
        <v>1410</v>
      </c>
      <c r="C694" s="3" t="s">
        <v>25</v>
      </c>
      <c r="D694" s="3" t="s">
        <v>18</v>
      </c>
      <c r="E694" s="6">
        <v>45220</v>
      </c>
      <c r="F694" s="3" t="s">
        <v>39</v>
      </c>
      <c r="G694" s="3">
        <v>12851</v>
      </c>
      <c r="H694" s="3">
        <v>8600</v>
      </c>
      <c r="I694" s="3">
        <v>3.36</v>
      </c>
      <c r="J694" s="3">
        <v>15</v>
      </c>
      <c r="K694" s="15" t="str">
        <f ca="1">IF(F694="Enrolled",TODAY()-E694,"0")</f>
        <v>0</v>
      </c>
      <c r="L694" s="3" t="str">
        <f>IF(I694&gt;=3.5,"Excellent",IF(I694&gt;=3,"Good",IF(I694&gt;=2,"Average","Poor")))</f>
        <v>Good</v>
      </c>
      <c r="M694" s="3" t="str">
        <v>Dr.Roy</v>
      </c>
      <c r="N694" s="3" t="str">
        <f>IF(H694 &gt; (G694*50%), "Yes", "No")</f>
        <v>Yes</v>
      </c>
      <c r="O694" s="16">
        <f>G694-H694</f>
        <v>4251</v>
      </c>
      <c r="P694" s="16">
        <f>SUMIFS(O694:O694,E694:E694,"Science",F694:F694,"Completed")</f>
        <v>0</v>
      </c>
      <c r="Q694" s="3" t="str">
        <f>IF(MONTH(E694)&gt;=7, YEAR(E694)&amp;"-"&amp;YEAR(E694)+1, YEAR(E694)-1&amp;"-"&amp;YEAR(E694))</f>
        <v>2023-2024</v>
      </c>
      <c r="R694" s="3"/>
      <c r="S694" s="3"/>
      <c r="T694" s="15" t="str">
        <f t="shared" ca="1" si="10"/>
        <v>0</v>
      </c>
      <c r="U694" s="3"/>
    </row>
    <row r="695" spans="1:21" x14ac:dyDescent="0.35">
      <c r="A695" s="3" t="s">
        <v>1411</v>
      </c>
      <c r="B695" s="3" t="s">
        <v>1412</v>
      </c>
      <c r="C695" s="3" t="s">
        <v>36</v>
      </c>
      <c r="D695" s="3" t="s">
        <v>31</v>
      </c>
      <c r="E695" s="6">
        <v>45134</v>
      </c>
      <c r="F695" s="3" t="s">
        <v>19</v>
      </c>
      <c r="G695" s="3">
        <v>6804</v>
      </c>
      <c r="H695" s="3">
        <v>4521</v>
      </c>
      <c r="I695" s="3">
        <v>3.77</v>
      </c>
      <c r="J695" s="3">
        <v>2</v>
      </c>
      <c r="K695" s="15" t="str">
        <f ca="1">IF(F695="Enrolled",TODAY()-E695,"0")</f>
        <v>0</v>
      </c>
      <c r="L695" s="3" t="str">
        <f>IF(I695&gt;=3.5,"Excellent",IF(I695&gt;=3,"Good",IF(I695&gt;=2,"Average","Poor")))</f>
        <v>Excellent</v>
      </c>
      <c r="M695" s="3" t="str">
        <v>Dr.Sharma</v>
      </c>
      <c r="N695" s="3" t="str">
        <f>IF(H695 &gt; (G695*50%), "Yes", "No")</f>
        <v>Yes</v>
      </c>
      <c r="O695" s="16">
        <f>G695-H695</f>
        <v>2283</v>
      </c>
      <c r="P695" s="16">
        <f>SUMIFS(O695:O695,E695:E695,"Science",F695:F695,"Completed")</f>
        <v>0</v>
      </c>
      <c r="Q695" s="3" t="str">
        <f>IF(MONTH(E695)&gt;=7, YEAR(E695)&amp;"-"&amp;YEAR(E695)+1, YEAR(E695)-1&amp;"-"&amp;YEAR(E695))</f>
        <v>2023-2024</v>
      </c>
      <c r="R695" s="3"/>
      <c r="S695" s="3"/>
      <c r="T695" s="15">
        <f t="shared" ca="1" si="10"/>
        <v>920</v>
      </c>
      <c r="U695" s="3"/>
    </row>
    <row r="696" spans="1:21" x14ac:dyDescent="0.35">
      <c r="A696" s="3" t="s">
        <v>1413</v>
      </c>
      <c r="B696" s="3" t="s">
        <v>1414</v>
      </c>
      <c r="C696" s="3" t="s">
        <v>25</v>
      </c>
      <c r="D696" s="3" t="s">
        <v>62</v>
      </c>
      <c r="E696" s="6">
        <v>44637</v>
      </c>
      <c r="F696" s="3" t="s">
        <v>14</v>
      </c>
      <c r="G696" s="3">
        <v>3504</v>
      </c>
      <c r="H696" s="3">
        <v>7053</v>
      </c>
      <c r="I696" s="3">
        <v>2.31</v>
      </c>
      <c r="J696" s="3">
        <v>101</v>
      </c>
      <c r="K696" s="15">
        <f ca="1">IF(F696="Enrolled",TODAY()-E696,"0")</f>
        <v>1417</v>
      </c>
      <c r="L696" s="3" t="str">
        <f>IF(I696&gt;=3.5,"Excellent",IF(I696&gt;=3,"Good",IF(I696&gt;=2,"Average","Poor")))</f>
        <v>Average</v>
      </c>
      <c r="M696" s="3" t="str">
        <v>Dr.Sinha</v>
      </c>
      <c r="N696" s="3" t="str">
        <f>IF(H696 &gt; (G696*50%), "Yes", "No")</f>
        <v>Yes</v>
      </c>
      <c r="O696" s="16">
        <f>G696-H696</f>
        <v>-3549</v>
      </c>
      <c r="P696" s="16">
        <f>SUMIFS(O696:O696,E696:E696,"Science",F696:F696,"Completed")</f>
        <v>0</v>
      </c>
      <c r="Q696" s="3" t="str">
        <f>IF(MONTH(E696)&gt;=7, YEAR(E696)&amp;"-"&amp;YEAR(E696)+1, YEAR(E696)-1&amp;"-"&amp;YEAR(E696))</f>
        <v>2021-2022</v>
      </c>
      <c r="R696" s="3"/>
      <c r="S696" s="3"/>
      <c r="T696" s="15" t="str">
        <f t="shared" ca="1" si="10"/>
        <v>0</v>
      </c>
      <c r="U696" s="3"/>
    </row>
    <row r="697" spans="1:21" x14ac:dyDescent="0.35">
      <c r="A697" s="3" t="s">
        <v>1415</v>
      </c>
      <c r="B697" s="3" t="s">
        <v>1416</v>
      </c>
      <c r="C697" s="3" t="s">
        <v>54</v>
      </c>
      <c r="D697" s="3" t="s">
        <v>31</v>
      </c>
      <c r="E697" s="6">
        <v>44874</v>
      </c>
      <c r="F697" s="3" t="s">
        <v>19</v>
      </c>
      <c r="G697" s="3">
        <v>13244</v>
      </c>
      <c r="H697" s="3">
        <v>5499</v>
      </c>
      <c r="I697" s="3">
        <v>2.0299999999999998</v>
      </c>
      <c r="J697" s="3">
        <v>44</v>
      </c>
      <c r="K697" s="15" t="str">
        <f ca="1">IF(F697="Enrolled",TODAY()-E697,"0")</f>
        <v>0</v>
      </c>
      <c r="L697" s="3" t="str">
        <f>IF(I697&gt;=3.5,"Excellent",IF(I697&gt;=3,"Good",IF(I697&gt;=2,"Average","Poor")))</f>
        <v>Average</v>
      </c>
      <c r="M697" s="3" t="str">
        <v>Dr.Sharma</v>
      </c>
      <c r="N697" s="3" t="str">
        <f>IF(H697 &gt; (G697*50%), "Yes", "No")</f>
        <v>No</v>
      </c>
      <c r="O697" s="16">
        <f>G697-H697</f>
        <v>7745</v>
      </c>
      <c r="P697" s="16">
        <f>SUMIFS(O697:O697,E697:E697,"Science",F697:F697,"Completed")</f>
        <v>0</v>
      </c>
      <c r="Q697" s="3" t="str">
        <f>IF(MONTH(E697)&gt;=7, YEAR(E697)&amp;"-"&amp;YEAR(E697)+1, YEAR(E697)-1&amp;"-"&amp;YEAR(E697))</f>
        <v>2022-2023</v>
      </c>
      <c r="R697" s="3"/>
      <c r="S697" s="3"/>
      <c r="T697" s="15">
        <f t="shared" ca="1" si="10"/>
        <v>1180</v>
      </c>
      <c r="U697" s="3"/>
    </row>
    <row r="698" spans="1:21" x14ac:dyDescent="0.35">
      <c r="A698" s="3" t="s">
        <v>1417</v>
      </c>
      <c r="B698" s="3" t="s">
        <v>1418</v>
      </c>
      <c r="C698" s="3" t="s">
        <v>12</v>
      </c>
      <c r="D698" s="3" t="s">
        <v>18</v>
      </c>
      <c r="E698" s="6">
        <v>44897</v>
      </c>
      <c r="F698" s="3" t="s">
        <v>19</v>
      </c>
      <c r="G698" s="3">
        <v>14717</v>
      </c>
      <c r="H698" s="3">
        <v>290</v>
      </c>
      <c r="I698" s="3">
        <v>3.78</v>
      </c>
      <c r="J698" s="3">
        <v>97</v>
      </c>
      <c r="K698" s="15" t="str">
        <f ca="1">IF(F698="Enrolled",TODAY()-E698,"0")</f>
        <v>0</v>
      </c>
      <c r="L698" s="3" t="str">
        <f>IF(I698&gt;=3.5,"Excellent",IF(I698&gt;=3,"Good",IF(I698&gt;=2,"Average","Poor")))</f>
        <v>Excellent</v>
      </c>
      <c r="M698" s="3" t="str">
        <v>Dr.Roy</v>
      </c>
      <c r="N698" s="3" t="str">
        <f>IF(H698 &gt; (G698*50%), "Yes", "No")</f>
        <v>No</v>
      </c>
      <c r="O698" s="16">
        <f>G698-H698</f>
        <v>14427</v>
      </c>
      <c r="P698" s="16">
        <f>SUMIFS(O698:O698,E698:E698,"Science",F698:F698,"Completed")</f>
        <v>0</v>
      </c>
      <c r="Q698" s="3" t="str">
        <f>IF(MONTH(E698)&gt;=7, YEAR(E698)&amp;"-"&amp;YEAR(E698)+1, YEAR(E698)-1&amp;"-"&amp;YEAR(E698))</f>
        <v>2022-2023</v>
      </c>
      <c r="R698" s="3"/>
      <c r="S698" s="3"/>
      <c r="T698" s="15">
        <f t="shared" ca="1" si="10"/>
        <v>1157</v>
      </c>
      <c r="U698" s="3"/>
    </row>
    <row r="699" spans="1:21" x14ac:dyDescent="0.35">
      <c r="A699" s="3" t="s">
        <v>1419</v>
      </c>
      <c r="B699" s="3" t="s">
        <v>1420</v>
      </c>
      <c r="C699" s="3" t="s">
        <v>57</v>
      </c>
      <c r="D699" s="3" t="s">
        <v>18</v>
      </c>
      <c r="E699" s="6">
        <v>45244</v>
      </c>
      <c r="F699" s="3" t="s">
        <v>14</v>
      </c>
      <c r="G699" s="3">
        <v>9722</v>
      </c>
      <c r="H699" s="3">
        <v>7356</v>
      </c>
      <c r="I699" s="3">
        <v>2.5</v>
      </c>
      <c r="J699" s="3">
        <v>53</v>
      </c>
      <c r="K699" s="15">
        <f ca="1">IF(F699="Enrolled",TODAY()-E699,"0")</f>
        <v>810</v>
      </c>
      <c r="L699" s="3" t="str">
        <f>IF(I699&gt;=3.5,"Excellent",IF(I699&gt;=3,"Good",IF(I699&gt;=2,"Average","Poor")))</f>
        <v>Average</v>
      </c>
      <c r="M699" s="3" t="str">
        <v>Dr.Roy</v>
      </c>
      <c r="N699" s="3" t="str">
        <f>IF(H699 &gt; (G699*50%), "Yes", "No")</f>
        <v>Yes</v>
      </c>
      <c r="O699" s="16">
        <f>G699-H699</f>
        <v>2366</v>
      </c>
      <c r="P699" s="16">
        <f>SUMIFS(O699:O699,E699:E699,"Science",F699:F699,"Completed")</f>
        <v>0</v>
      </c>
      <c r="Q699" s="3" t="str">
        <f>IF(MONTH(E699)&gt;=7, YEAR(E699)&amp;"-"&amp;YEAR(E699)+1, YEAR(E699)-1&amp;"-"&amp;YEAR(E699))</f>
        <v>2023-2024</v>
      </c>
      <c r="R699" s="3"/>
      <c r="S699" s="3"/>
      <c r="T699" s="15" t="str">
        <f t="shared" ca="1" si="10"/>
        <v>0</v>
      </c>
      <c r="U699" s="3"/>
    </row>
    <row r="700" spans="1:21" x14ac:dyDescent="0.35">
      <c r="A700" s="3" t="s">
        <v>1421</v>
      </c>
      <c r="B700" s="3" t="s">
        <v>1422</v>
      </c>
      <c r="C700" s="3" t="s">
        <v>28</v>
      </c>
      <c r="D700" s="3" t="s">
        <v>13</v>
      </c>
      <c r="E700" s="6">
        <v>45330</v>
      </c>
      <c r="F700" s="3" t="s">
        <v>14</v>
      </c>
      <c r="G700" s="3">
        <v>12801</v>
      </c>
      <c r="H700" s="3">
        <v>8270</v>
      </c>
      <c r="I700" s="3">
        <v>2.58</v>
      </c>
      <c r="J700" s="3">
        <v>57</v>
      </c>
      <c r="K700" s="15">
        <f ca="1">IF(F700="Enrolled",TODAY()-E700,"0")</f>
        <v>724</v>
      </c>
      <c r="L700" s="3" t="str">
        <f>IF(I700&gt;=3.5,"Excellent",IF(I700&gt;=3,"Good",IF(I700&gt;=2,"Average","Poor")))</f>
        <v>Average</v>
      </c>
      <c r="M700" s="3" t="str">
        <v>Dr.Mehta</v>
      </c>
      <c r="N700" s="3" t="str">
        <f>IF(H700 &gt; (G700*50%), "Yes", "No")</f>
        <v>Yes</v>
      </c>
      <c r="O700" s="16">
        <f>G700-H700</f>
        <v>4531</v>
      </c>
      <c r="P700" s="16">
        <f>SUMIFS(O700:O700,E700:E700,"Science",F700:F700,"Completed")</f>
        <v>0</v>
      </c>
      <c r="Q700" s="3" t="str">
        <f>IF(MONTH(E700)&gt;=7, YEAR(E700)&amp;"-"&amp;YEAR(E700)+1, YEAR(E700)-1&amp;"-"&amp;YEAR(E700))</f>
        <v>2023-2024</v>
      </c>
      <c r="R700" s="3"/>
      <c r="S700" s="3"/>
      <c r="T700" s="15" t="str">
        <f t="shared" ca="1" si="10"/>
        <v>0</v>
      </c>
      <c r="U700" s="3"/>
    </row>
    <row r="701" spans="1:21" x14ac:dyDescent="0.35">
      <c r="A701" s="3" t="s">
        <v>1423</v>
      </c>
      <c r="B701" s="3" t="s">
        <v>1424</v>
      </c>
      <c r="C701" s="3" t="s">
        <v>12</v>
      </c>
      <c r="D701" s="3" t="s">
        <v>18</v>
      </c>
      <c r="E701" s="6">
        <v>44745</v>
      </c>
      <c r="F701" s="3" t="s">
        <v>14</v>
      </c>
      <c r="G701" s="3">
        <v>3650</v>
      </c>
      <c r="H701" s="3">
        <v>137</v>
      </c>
      <c r="I701" s="3">
        <v>2.64</v>
      </c>
      <c r="J701" s="3">
        <v>4</v>
      </c>
      <c r="K701" s="15">
        <f ca="1">IF(F701="Enrolled",TODAY()-E701,"0")</f>
        <v>1309</v>
      </c>
      <c r="L701" s="3" t="str">
        <f>IF(I701&gt;=3.5,"Excellent",IF(I701&gt;=3,"Good",IF(I701&gt;=2,"Average","Poor")))</f>
        <v>Average</v>
      </c>
      <c r="M701" s="3" t="str">
        <v>Dr.Roy</v>
      </c>
      <c r="N701" s="3" t="str">
        <f>IF(H701 &gt; (G701*50%), "Yes", "No")</f>
        <v>No</v>
      </c>
      <c r="O701" s="16">
        <f>G701-H701</f>
        <v>3513</v>
      </c>
      <c r="P701" s="16">
        <f>SUMIFS(O701:O701,E701:E701,"Science",F701:F701,"Completed")</f>
        <v>0</v>
      </c>
      <c r="Q701" s="3" t="str">
        <f>IF(MONTH(E701)&gt;=7, YEAR(E701)&amp;"-"&amp;YEAR(E701)+1, YEAR(E701)-1&amp;"-"&amp;YEAR(E701))</f>
        <v>2022-2023</v>
      </c>
      <c r="R701" s="3"/>
      <c r="S701" s="3"/>
      <c r="T701" s="15" t="str">
        <f t="shared" ca="1" si="10"/>
        <v>0</v>
      </c>
      <c r="U701" s="3"/>
    </row>
    <row r="702" spans="1:21" x14ac:dyDescent="0.35">
      <c r="A702" s="3" t="s">
        <v>1425</v>
      </c>
      <c r="B702" s="3" t="s">
        <v>1426</v>
      </c>
      <c r="C702" s="3" t="s">
        <v>57</v>
      </c>
      <c r="D702" s="3" t="s">
        <v>31</v>
      </c>
      <c r="E702" s="6">
        <v>45078</v>
      </c>
      <c r="F702" s="3" t="s">
        <v>39</v>
      </c>
      <c r="G702" s="3">
        <v>8042</v>
      </c>
      <c r="H702" s="3">
        <v>5884</v>
      </c>
      <c r="I702" s="3">
        <v>3.91</v>
      </c>
      <c r="J702" s="3">
        <v>37</v>
      </c>
      <c r="K702" s="15" t="str">
        <f ca="1">IF(F702="Enrolled",TODAY()-E702,"0")</f>
        <v>0</v>
      </c>
      <c r="L702" s="3" t="str">
        <f>IF(I702&gt;=3.5,"Excellent",IF(I702&gt;=3,"Good",IF(I702&gt;=2,"Average","Poor")))</f>
        <v>Excellent</v>
      </c>
      <c r="M702" s="3" t="str">
        <v>Dr.Sharma</v>
      </c>
      <c r="N702" s="3" t="str">
        <f>IF(H702 &gt; (G702*50%), "Yes", "No")</f>
        <v>Yes</v>
      </c>
      <c r="O702" s="16">
        <f>G702-H702</f>
        <v>2158</v>
      </c>
      <c r="P702" s="16">
        <f>SUMIFS(O702:O702,E702:E702,"Science",F702:F702,"Completed")</f>
        <v>0</v>
      </c>
      <c r="Q702" s="3" t="str">
        <f>IF(MONTH(E702)&gt;=7, YEAR(E702)&amp;"-"&amp;YEAR(E702)+1, YEAR(E702)-1&amp;"-"&amp;YEAR(E702))</f>
        <v>2022-2023</v>
      </c>
      <c r="R702" s="3"/>
      <c r="S702" s="3"/>
      <c r="T702" s="15" t="str">
        <f t="shared" ca="1" si="10"/>
        <v>0</v>
      </c>
      <c r="U702" s="3"/>
    </row>
    <row r="703" spans="1:21" x14ac:dyDescent="0.35">
      <c r="A703" s="3" t="s">
        <v>1427</v>
      </c>
      <c r="B703" s="3" t="s">
        <v>1428</v>
      </c>
      <c r="C703" s="3" t="s">
        <v>25</v>
      </c>
      <c r="D703" s="3" t="s">
        <v>13</v>
      </c>
      <c r="E703" s="6">
        <v>44636</v>
      </c>
      <c r="F703" s="3" t="s">
        <v>19</v>
      </c>
      <c r="G703" s="3">
        <v>4253</v>
      </c>
      <c r="H703" s="3">
        <v>7291</v>
      </c>
      <c r="I703" s="3">
        <v>3.66</v>
      </c>
      <c r="J703" s="3">
        <v>113</v>
      </c>
      <c r="K703" s="15" t="str">
        <f ca="1">IF(F703="Enrolled",TODAY()-E703,"0")</f>
        <v>0</v>
      </c>
      <c r="L703" s="3" t="str">
        <f>IF(I703&gt;=3.5,"Excellent",IF(I703&gt;=3,"Good",IF(I703&gt;=2,"Average","Poor")))</f>
        <v>Excellent</v>
      </c>
      <c r="M703" s="3" t="str">
        <v>Dr.Mehta</v>
      </c>
      <c r="N703" s="3" t="str">
        <f>IF(H703 &gt; (G703*50%), "Yes", "No")</f>
        <v>Yes</v>
      </c>
      <c r="O703" s="16">
        <f>G703-H703</f>
        <v>-3038</v>
      </c>
      <c r="P703" s="16">
        <f>SUMIFS(O703:O703,E703:E703,"Science",F703:F703,"Completed")</f>
        <v>0</v>
      </c>
      <c r="Q703" s="3" t="str">
        <f>IF(MONTH(E703)&gt;=7, YEAR(E703)&amp;"-"&amp;YEAR(E703)+1, YEAR(E703)-1&amp;"-"&amp;YEAR(E703))</f>
        <v>2021-2022</v>
      </c>
      <c r="R703" s="3"/>
      <c r="S703" s="3"/>
      <c r="T703" s="15">
        <f t="shared" ca="1" si="10"/>
        <v>1418</v>
      </c>
      <c r="U703" s="3"/>
    </row>
    <row r="704" spans="1:21" x14ac:dyDescent="0.35">
      <c r="A704" s="3" t="s">
        <v>1429</v>
      </c>
      <c r="B704" s="3" t="s">
        <v>1430</v>
      </c>
      <c r="C704" s="3" t="s">
        <v>36</v>
      </c>
      <c r="D704" s="3" t="s">
        <v>13</v>
      </c>
      <c r="E704" s="6">
        <v>45212</v>
      </c>
      <c r="F704" s="3" t="s">
        <v>14</v>
      </c>
      <c r="G704" s="3">
        <v>7568</v>
      </c>
      <c r="H704" s="3">
        <v>6300</v>
      </c>
      <c r="I704" s="3">
        <v>3.11</v>
      </c>
      <c r="J704" s="3">
        <v>25</v>
      </c>
      <c r="K704" s="15">
        <f ca="1">IF(F704="Enrolled",TODAY()-E704,"0")</f>
        <v>842</v>
      </c>
      <c r="L704" s="3" t="str">
        <f>IF(I704&gt;=3.5,"Excellent",IF(I704&gt;=3,"Good",IF(I704&gt;=2,"Average","Poor")))</f>
        <v>Good</v>
      </c>
      <c r="M704" s="3" t="str">
        <v>Dr.Mehta</v>
      </c>
      <c r="N704" s="3" t="str">
        <f>IF(H704 &gt; (G704*50%), "Yes", "No")</f>
        <v>Yes</v>
      </c>
      <c r="O704" s="16">
        <f>G704-H704</f>
        <v>1268</v>
      </c>
      <c r="P704" s="16">
        <f>SUMIFS(O704:O704,E704:E704,"Science",F704:F704,"Completed")</f>
        <v>0</v>
      </c>
      <c r="Q704" s="3" t="str">
        <f>IF(MONTH(E704)&gt;=7, YEAR(E704)&amp;"-"&amp;YEAR(E704)+1, YEAR(E704)-1&amp;"-"&amp;YEAR(E704))</f>
        <v>2023-2024</v>
      </c>
      <c r="R704" s="3"/>
      <c r="S704" s="3"/>
      <c r="T704" s="15" t="str">
        <f t="shared" ca="1" si="10"/>
        <v>0</v>
      </c>
      <c r="U704" s="3"/>
    </row>
    <row r="705" spans="1:21" x14ac:dyDescent="0.35">
      <c r="A705" s="3" t="s">
        <v>1431</v>
      </c>
      <c r="B705" s="3" t="s">
        <v>1432</v>
      </c>
      <c r="C705" s="3" t="s">
        <v>36</v>
      </c>
      <c r="D705" s="3" t="s">
        <v>18</v>
      </c>
      <c r="E705" s="6">
        <v>44944</v>
      </c>
      <c r="F705" s="3" t="s">
        <v>14</v>
      </c>
      <c r="G705" s="3">
        <v>12595</v>
      </c>
      <c r="H705" s="3">
        <v>5062</v>
      </c>
      <c r="I705" s="3">
        <v>2.6</v>
      </c>
      <c r="J705" s="3">
        <v>66</v>
      </c>
      <c r="K705" s="15">
        <f ca="1">IF(F705="Enrolled",TODAY()-E705,"0")</f>
        <v>1110</v>
      </c>
      <c r="L705" s="3" t="str">
        <f>IF(I705&gt;=3.5,"Excellent",IF(I705&gt;=3,"Good",IF(I705&gt;=2,"Average","Poor")))</f>
        <v>Average</v>
      </c>
      <c r="M705" s="3" t="str">
        <v>Dr.Roy</v>
      </c>
      <c r="N705" s="3" t="str">
        <f>IF(H705 &gt; (G705*50%), "Yes", "No")</f>
        <v>No</v>
      </c>
      <c r="O705" s="16">
        <f>G705-H705</f>
        <v>7533</v>
      </c>
      <c r="P705" s="16">
        <f>SUMIFS(O705:O705,E705:E705,"Science",F705:F705,"Completed")</f>
        <v>0</v>
      </c>
      <c r="Q705" s="3" t="str">
        <f>IF(MONTH(E705)&gt;=7, YEAR(E705)&amp;"-"&amp;YEAR(E705)+1, YEAR(E705)-1&amp;"-"&amp;YEAR(E705))</f>
        <v>2022-2023</v>
      </c>
      <c r="R705" s="3"/>
      <c r="S705" s="3"/>
      <c r="T705" s="15" t="str">
        <f t="shared" ca="1" si="10"/>
        <v>0</v>
      </c>
      <c r="U705" s="3"/>
    </row>
    <row r="706" spans="1:21" x14ac:dyDescent="0.35">
      <c r="A706" s="3" t="s">
        <v>1433</v>
      </c>
      <c r="B706" s="3" t="s">
        <v>1434</v>
      </c>
      <c r="C706" s="3" t="s">
        <v>36</v>
      </c>
      <c r="D706" s="3" t="s">
        <v>62</v>
      </c>
      <c r="E706" s="6">
        <v>45166</v>
      </c>
      <c r="F706" s="3" t="s">
        <v>14</v>
      </c>
      <c r="G706" s="3">
        <v>13552</v>
      </c>
      <c r="H706" s="3">
        <v>9582</v>
      </c>
      <c r="I706" s="3">
        <v>2.4300000000000002</v>
      </c>
      <c r="J706" s="3">
        <v>10</v>
      </c>
      <c r="K706" s="15">
        <f ca="1">IF(F706="Enrolled",TODAY()-E706,"0")</f>
        <v>888</v>
      </c>
      <c r="L706" s="3" t="str">
        <f>IF(I706&gt;=3.5,"Excellent",IF(I706&gt;=3,"Good",IF(I706&gt;=2,"Average","Poor")))</f>
        <v>Average</v>
      </c>
      <c r="M706" s="3" t="str">
        <v>Dr.Sinha</v>
      </c>
      <c r="N706" s="3" t="str">
        <f>IF(H706 &gt; (G706*50%), "Yes", "No")</f>
        <v>Yes</v>
      </c>
      <c r="O706" s="16">
        <f>G706-H706</f>
        <v>3970</v>
      </c>
      <c r="P706" s="16">
        <f>SUMIFS(O706:O706,E706:E706,"Science",F706:F706,"Completed")</f>
        <v>0</v>
      </c>
      <c r="Q706" s="3" t="str">
        <f>IF(MONTH(E706)&gt;=7, YEAR(E706)&amp;"-"&amp;YEAR(E706)+1, YEAR(E706)-1&amp;"-"&amp;YEAR(E706))</f>
        <v>2023-2024</v>
      </c>
      <c r="R706" s="3"/>
      <c r="S706" s="3"/>
      <c r="T706" s="15" t="str">
        <f t="shared" ca="1" si="10"/>
        <v>0</v>
      </c>
      <c r="U706" s="3"/>
    </row>
    <row r="707" spans="1:21" x14ac:dyDescent="0.35">
      <c r="A707" s="3" t="s">
        <v>1435</v>
      </c>
      <c r="B707" s="3" t="s">
        <v>1436</v>
      </c>
      <c r="C707" s="3" t="s">
        <v>25</v>
      </c>
      <c r="D707" s="3" t="s">
        <v>62</v>
      </c>
      <c r="E707" s="6">
        <v>45184</v>
      </c>
      <c r="F707" s="3" t="s">
        <v>14</v>
      </c>
      <c r="G707" s="3">
        <v>12316</v>
      </c>
      <c r="H707" s="3">
        <v>5027</v>
      </c>
      <c r="I707" s="3">
        <v>2.77</v>
      </c>
      <c r="J707" s="3">
        <v>23</v>
      </c>
      <c r="K707" s="15">
        <f ca="1">IF(F707="Enrolled",TODAY()-E707,"0")</f>
        <v>870</v>
      </c>
      <c r="L707" s="3" t="str">
        <f>IF(I707&gt;=3.5,"Excellent",IF(I707&gt;=3,"Good",IF(I707&gt;=2,"Average","Poor")))</f>
        <v>Average</v>
      </c>
      <c r="M707" s="3" t="str">
        <v>Dr.Sinha</v>
      </c>
      <c r="N707" s="3" t="str">
        <f>IF(H707 &gt; (G707*50%), "Yes", "No")</f>
        <v>No</v>
      </c>
      <c r="O707" s="16">
        <f>G707-H707</f>
        <v>7289</v>
      </c>
      <c r="P707" s="16">
        <f>SUMIFS(O707:O707,E707:E707,"Science",F707:F707,"Completed")</f>
        <v>0</v>
      </c>
      <c r="Q707" s="3" t="str">
        <f>IF(MONTH(E707)&gt;=7, YEAR(E707)&amp;"-"&amp;YEAR(E707)+1, YEAR(E707)-1&amp;"-"&amp;YEAR(E707))</f>
        <v>2023-2024</v>
      </c>
      <c r="R707" s="3"/>
      <c r="S707" s="3"/>
      <c r="T707" s="15" t="str">
        <f t="shared" ref="T707:T770" ca="1" si="11">IF(F707="Completed",TODAY()-E707,"0")</f>
        <v>0</v>
      </c>
      <c r="U707" s="3"/>
    </row>
    <row r="708" spans="1:21" x14ac:dyDescent="0.35">
      <c r="A708" s="3" t="s">
        <v>1437</v>
      </c>
      <c r="B708" s="3" t="s">
        <v>1438</v>
      </c>
      <c r="C708" s="3" t="s">
        <v>28</v>
      </c>
      <c r="D708" s="3" t="s">
        <v>31</v>
      </c>
      <c r="E708" s="6">
        <v>45050</v>
      </c>
      <c r="F708" s="3" t="s">
        <v>14</v>
      </c>
      <c r="G708" s="3">
        <v>13723</v>
      </c>
      <c r="H708" s="3">
        <v>8461</v>
      </c>
      <c r="I708" s="3">
        <v>2.46</v>
      </c>
      <c r="J708" s="3">
        <v>58</v>
      </c>
      <c r="K708" s="15">
        <f ca="1">IF(F708="Enrolled",TODAY()-E708,"0")</f>
        <v>1004</v>
      </c>
      <c r="L708" s="3" t="str">
        <f>IF(I708&gt;=3.5,"Excellent",IF(I708&gt;=3,"Good",IF(I708&gt;=2,"Average","Poor")))</f>
        <v>Average</v>
      </c>
      <c r="M708" s="3" t="str">
        <v>Dr.Sharma</v>
      </c>
      <c r="N708" s="3" t="str">
        <f>IF(H708 &gt; (G708*50%), "Yes", "No")</f>
        <v>Yes</v>
      </c>
      <c r="O708" s="16">
        <f>G708-H708</f>
        <v>5262</v>
      </c>
      <c r="P708" s="16">
        <f>SUMIFS(O708:O708,E708:E708,"Science",F708:F708,"Completed")</f>
        <v>0</v>
      </c>
      <c r="Q708" s="3" t="str">
        <f>IF(MONTH(E708)&gt;=7, YEAR(E708)&amp;"-"&amp;YEAR(E708)+1, YEAR(E708)-1&amp;"-"&amp;YEAR(E708))</f>
        <v>2022-2023</v>
      </c>
      <c r="R708" s="3"/>
      <c r="S708" s="3"/>
      <c r="T708" s="15" t="str">
        <f t="shared" ca="1" si="11"/>
        <v>0</v>
      </c>
      <c r="U708" s="3"/>
    </row>
    <row r="709" spans="1:21" x14ac:dyDescent="0.35">
      <c r="A709" s="3" t="s">
        <v>1439</v>
      </c>
      <c r="B709" s="3" t="s">
        <v>1440</v>
      </c>
      <c r="C709" s="3" t="s">
        <v>12</v>
      </c>
      <c r="D709" s="3" t="s">
        <v>13</v>
      </c>
      <c r="E709" s="6">
        <v>44921</v>
      </c>
      <c r="F709" s="3" t="s">
        <v>14</v>
      </c>
      <c r="G709" s="3">
        <v>7398</v>
      </c>
      <c r="H709" s="3">
        <v>5789</v>
      </c>
      <c r="I709" s="3">
        <v>3.81</v>
      </c>
      <c r="J709" s="3">
        <v>90</v>
      </c>
      <c r="K709" s="15">
        <f ca="1">IF(F709="Enrolled",TODAY()-E709,"0")</f>
        <v>1133</v>
      </c>
      <c r="L709" s="3" t="str">
        <f>IF(I709&gt;=3.5,"Excellent",IF(I709&gt;=3,"Good",IF(I709&gt;=2,"Average","Poor")))</f>
        <v>Excellent</v>
      </c>
      <c r="M709" s="3" t="str">
        <v>Dr.Mehta</v>
      </c>
      <c r="N709" s="3" t="str">
        <f>IF(H709 &gt; (G709*50%), "Yes", "No")</f>
        <v>Yes</v>
      </c>
      <c r="O709" s="16">
        <f>G709-H709</f>
        <v>1609</v>
      </c>
      <c r="P709" s="16">
        <f>SUMIFS(O709:O709,E709:E709,"Science",F709:F709,"Completed")</f>
        <v>0</v>
      </c>
      <c r="Q709" s="3" t="str">
        <f>IF(MONTH(E709)&gt;=7, YEAR(E709)&amp;"-"&amp;YEAR(E709)+1, YEAR(E709)-1&amp;"-"&amp;YEAR(E709))</f>
        <v>2022-2023</v>
      </c>
      <c r="R709" s="3"/>
      <c r="S709" s="3"/>
      <c r="T709" s="15" t="str">
        <f t="shared" ca="1" si="11"/>
        <v>0</v>
      </c>
      <c r="U709" s="3"/>
    </row>
    <row r="710" spans="1:21" x14ac:dyDescent="0.35">
      <c r="A710" s="3" t="s">
        <v>1441</v>
      </c>
      <c r="B710" s="3" t="s">
        <v>1442</v>
      </c>
      <c r="C710" s="3" t="s">
        <v>54</v>
      </c>
      <c r="D710" s="3" t="s">
        <v>31</v>
      </c>
      <c r="E710" s="6">
        <v>45261</v>
      </c>
      <c r="F710" s="3" t="s">
        <v>19</v>
      </c>
      <c r="G710" s="3">
        <v>11190</v>
      </c>
      <c r="H710" s="3">
        <v>33</v>
      </c>
      <c r="I710" s="3">
        <v>2.81</v>
      </c>
      <c r="J710" s="3">
        <v>79</v>
      </c>
      <c r="K710" s="15" t="str">
        <f ca="1">IF(F710="Enrolled",TODAY()-E710,"0")</f>
        <v>0</v>
      </c>
      <c r="L710" s="3" t="str">
        <f>IF(I710&gt;=3.5,"Excellent",IF(I710&gt;=3,"Good",IF(I710&gt;=2,"Average","Poor")))</f>
        <v>Average</v>
      </c>
      <c r="M710" s="3" t="str">
        <v>Dr.Sharma</v>
      </c>
      <c r="N710" s="3" t="str">
        <f>IF(H710 &gt; (G710*50%), "Yes", "No")</f>
        <v>No</v>
      </c>
      <c r="O710" s="16">
        <f>G710-H710</f>
        <v>11157</v>
      </c>
      <c r="P710" s="16">
        <f>SUMIFS(O710:O710,E710:E710,"Science",F710:F710,"Completed")</f>
        <v>0</v>
      </c>
      <c r="Q710" s="3" t="str">
        <f>IF(MONTH(E710)&gt;=7, YEAR(E710)&amp;"-"&amp;YEAR(E710)+1, YEAR(E710)-1&amp;"-"&amp;YEAR(E710))</f>
        <v>2023-2024</v>
      </c>
      <c r="R710" s="3"/>
      <c r="S710" s="3"/>
      <c r="T710" s="15">
        <f t="shared" ca="1" si="11"/>
        <v>793</v>
      </c>
      <c r="U710" s="3"/>
    </row>
    <row r="711" spans="1:21" x14ac:dyDescent="0.35">
      <c r="A711" s="3" t="s">
        <v>1443</v>
      </c>
      <c r="B711" s="3" t="s">
        <v>1444</v>
      </c>
      <c r="C711" s="3" t="s">
        <v>57</v>
      </c>
      <c r="D711" s="3" t="s">
        <v>18</v>
      </c>
      <c r="E711" s="6">
        <v>44632</v>
      </c>
      <c r="F711" s="3" t="s">
        <v>19</v>
      </c>
      <c r="G711" s="3">
        <v>11686</v>
      </c>
      <c r="H711" s="3">
        <v>869</v>
      </c>
      <c r="I711" s="3">
        <v>3.04</v>
      </c>
      <c r="J711" s="3">
        <v>25</v>
      </c>
      <c r="K711" s="15" t="str">
        <f ca="1">IF(F711="Enrolled",TODAY()-E711,"0")</f>
        <v>0</v>
      </c>
      <c r="L711" s="3" t="str">
        <f>IF(I711&gt;=3.5,"Excellent",IF(I711&gt;=3,"Good",IF(I711&gt;=2,"Average","Poor")))</f>
        <v>Good</v>
      </c>
      <c r="M711" s="3" t="str">
        <v>Dr.Roy</v>
      </c>
      <c r="N711" s="3" t="str">
        <f>IF(H711 &gt; (G711*50%), "Yes", "No")</f>
        <v>No</v>
      </c>
      <c r="O711" s="16">
        <f>G711-H711</f>
        <v>10817</v>
      </c>
      <c r="P711" s="16">
        <f>SUMIFS(O711:O711,E711:E711,"Science",F711:F711,"Completed")</f>
        <v>0</v>
      </c>
      <c r="Q711" s="3" t="str">
        <f>IF(MONTH(E711)&gt;=7, YEAR(E711)&amp;"-"&amp;YEAR(E711)+1, YEAR(E711)-1&amp;"-"&amp;YEAR(E711))</f>
        <v>2021-2022</v>
      </c>
      <c r="R711" s="3"/>
      <c r="S711" s="3"/>
      <c r="T711" s="15">
        <f t="shared" ca="1" si="11"/>
        <v>1422</v>
      </c>
      <c r="U711" s="3"/>
    </row>
    <row r="712" spans="1:21" x14ac:dyDescent="0.35">
      <c r="A712" s="3" t="s">
        <v>1445</v>
      </c>
      <c r="B712" s="3" t="s">
        <v>1446</v>
      </c>
      <c r="C712" s="3" t="s">
        <v>28</v>
      </c>
      <c r="D712" s="3" t="s">
        <v>31</v>
      </c>
      <c r="E712" s="6">
        <v>45273</v>
      </c>
      <c r="F712" s="3" t="s">
        <v>14</v>
      </c>
      <c r="G712" s="3">
        <v>10158</v>
      </c>
      <c r="H712" s="3">
        <v>9319</v>
      </c>
      <c r="I712" s="3">
        <v>3</v>
      </c>
      <c r="J712" s="3">
        <v>19</v>
      </c>
      <c r="K712" s="15">
        <f ca="1">IF(F712="Enrolled",TODAY()-E712,"0")</f>
        <v>781</v>
      </c>
      <c r="L712" s="3" t="str">
        <f>IF(I712&gt;=3.5,"Excellent",IF(I712&gt;=3,"Good",IF(I712&gt;=2,"Average","Poor")))</f>
        <v>Good</v>
      </c>
      <c r="M712" s="3" t="str">
        <v>Dr.Sharma</v>
      </c>
      <c r="N712" s="3" t="str">
        <f>IF(H712 &gt; (G712*50%), "Yes", "No")</f>
        <v>Yes</v>
      </c>
      <c r="O712" s="16">
        <f>G712-H712</f>
        <v>839</v>
      </c>
      <c r="P712" s="16">
        <f>SUMIFS(O712:O712,E712:E712,"Science",F712:F712,"Completed")</f>
        <v>0</v>
      </c>
      <c r="Q712" s="3" t="str">
        <f>IF(MONTH(E712)&gt;=7, YEAR(E712)&amp;"-"&amp;YEAR(E712)+1, YEAR(E712)-1&amp;"-"&amp;YEAR(E712))</f>
        <v>2023-2024</v>
      </c>
      <c r="R712" s="3"/>
      <c r="S712" s="3"/>
      <c r="T712" s="15" t="str">
        <f t="shared" ca="1" si="11"/>
        <v>0</v>
      </c>
      <c r="U712" s="3"/>
    </row>
    <row r="713" spans="1:21" x14ac:dyDescent="0.35">
      <c r="A713" s="3" t="s">
        <v>1447</v>
      </c>
      <c r="B713" s="3" t="s">
        <v>1448</v>
      </c>
      <c r="C713" s="3" t="s">
        <v>25</v>
      </c>
      <c r="D713" s="3" t="s">
        <v>13</v>
      </c>
      <c r="E713" s="6">
        <v>44633</v>
      </c>
      <c r="F713" s="3" t="s">
        <v>39</v>
      </c>
      <c r="G713" s="3">
        <v>3088</v>
      </c>
      <c r="H713" s="3">
        <v>2439</v>
      </c>
      <c r="I713" s="3">
        <v>2.4700000000000002</v>
      </c>
      <c r="J713" s="3">
        <v>113</v>
      </c>
      <c r="K713" s="15" t="str">
        <f ca="1">IF(F713="Enrolled",TODAY()-E713,"0")</f>
        <v>0</v>
      </c>
      <c r="L713" s="3" t="str">
        <f>IF(I713&gt;=3.5,"Excellent",IF(I713&gt;=3,"Good",IF(I713&gt;=2,"Average","Poor")))</f>
        <v>Average</v>
      </c>
      <c r="M713" s="3" t="str">
        <v>Dr.Mehta</v>
      </c>
      <c r="N713" s="3" t="str">
        <f>IF(H713 &gt; (G713*50%), "Yes", "No")</f>
        <v>Yes</v>
      </c>
      <c r="O713" s="16">
        <f>G713-H713</f>
        <v>649</v>
      </c>
      <c r="P713" s="16">
        <f>SUMIFS(O713:O713,E713:E713,"Science",F713:F713,"Completed")</f>
        <v>0</v>
      </c>
      <c r="Q713" s="3" t="str">
        <f>IF(MONTH(E713)&gt;=7, YEAR(E713)&amp;"-"&amp;YEAR(E713)+1, YEAR(E713)-1&amp;"-"&amp;YEAR(E713))</f>
        <v>2021-2022</v>
      </c>
      <c r="R713" s="3"/>
      <c r="S713" s="3"/>
      <c r="T713" s="15" t="str">
        <f t="shared" ca="1" si="11"/>
        <v>0</v>
      </c>
      <c r="U713" s="3"/>
    </row>
    <row r="714" spans="1:21" x14ac:dyDescent="0.35">
      <c r="A714" s="3" t="s">
        <v>1449</v>
      </c>
      <c r="B714" s="3" t="s">
        <v>1450</v>
      </c>
      <c r="C714" s="3" t="s">
        <v>12</v>
      </c>
      <c r="D714" s="3" t="s">
        <v>18</v>
      </c>
      <c r="E714" s="6">
        <v>45153</v>
      </c>
      <c r="F714" s="3" t="s">
        <v>14</v>
      </c>
      <c r="G714" s="3">
        <v>2510</v>
      </c>
      <c r="H714" s="3">
        <v>8919</v>
      </c>
      <c r="I714" s="3">
        <v>3.72</v>
      </c>
      <c r="J714" s="3">
        <v>98</v>
      </c>
      <c r="K714" s="15">
        <f ca="1">IF(F714="Enrolled",TODAY()-E714,"0")</f>
        <v>901</v>
      </c>
      <c r="L714" s="3" t="str">
        <f>IF(I714&gt;=3.5,"Excellent",IF(I714&gt;=3,"Good",IF(I714&gt;=2,"Average","Poor")))</f>
        <v>Excellent</v>
      </c>
      <c r="M714" s="3" t="str">
        <v>Dr.Roy</v>
      </c>
      <c r="N714" s="3" t="str">
        <f>IF(H714 &gt; (G714*50%), "Yes", "No")</f>
        <v>Yes</v>
      </c>
      <c r="O714" s="16">
        <f>G714-H714</f>
        <v>-6409</v>
      </c>
      <c r="P714" s="16">
        <f>SUMIFS(O714:O714,E714:E714,"Science",F714:F714,"Completed")</f>
        <v>0</v>
      </c>
      <c r="Q714" s="3" t="str">
        <f>IF(MONTH(E714)&gt;=7, YEAR(E714)&amp;"-"&amp;YEAR(E714)+1, YEAR(E714)-1&amp;"-"&amp;YEAR(E714))</f>
        <v>2023-2024</v>
      </c>
      <c r="R714" s="3"/>
      <c r="S714" s="3"/>
      <c r="T714" s="15" t="str">
        <f t="shared" ca="1" si="11"/>
        <v>0</v>
      </c>
      <c r="U714" s="3"/>
    </row>
    <row r="715" spans="1:21" x14ac:dyDescent="0.35">
      <c r="A715" s="3" t="s">
        <v>1451</v>
      </c>
      <c r="B715" s="3" t="s">
        <v>1452</v>
      </c>
      <c r="C715" s="3" t="s">
        <v>54</v>
      </c>
      <c r="D715" s="3" t="s">
        <v>31</v>
      </c>
      <c r="E715" s="6">
        <v>44921</v>
      </c>
      <c r="F715" s="3" t="s">
        <v>39</v>
      </c>
      <c r="G715" s="3">
        <v>2925</v>
      </c>
      <c r="H715" s="3">
        <v>3209</v>
      </c>
      <c r="I715" s="3">
        <v>2.88</v>
      </c>
      <c r="J715" s="3">
        <v>59</v>
      </c>
      <c r="K715" s="15" t="str">
        <f ca="1">IF(F715="Enrolled",TODAY()-E715,"0")</f>
        <v>0</v>
      </c>
      <c r="L715" s="3" t="str">
        <f>IF(I715&gt;=3.5,"Excellent",IF(I715&gt;=3,"Good",IF(I715&gt;=2,"Average","Poor")))</f>
        <v>Average</v>
      </c>
      <c r="M715" s="3" t="str">
        <v>Dr.Sharma</v>
      </c>
      <c r="N715" s="3" t="str">
        <f>IF(H715 &gt; (G715*50%), "Yes", "No")</f>
        <v>Yes</v>
      </c>
      <c r="O715" s="16">
        <f>G715-H715</f>
        <v>-284</v>
      </c>
      <c r="P715" s="16">
        <f>SUMIFS(O715:O715,E715:E715,"Science",F715:F715,"Completed")</f>
        <v>0</v>
      </c>
      <c r="Q715" s="3" t="str">
        <f>IF(MONTH(E715)&gt;=7, YEAR(E715)&amp;"-"&amp;YEAR(E715)+1, YEAR(E715)-1&amp;"-"&amp;YEAR(E715))</f>
        <v>2022-2023</v>
      </c>
      <c r="R715" s="3"/>
      <c r="S715" s="3"/>
      <c r="T715" s="15" t="str">
        <f t="shared" ca="1" si="11"/>
        <v>0</v>
      </c>
      <c r="U715" s="3"/>
    </row>
    <row r="716" spans="1:21" x14ac:dyDescent="0.35">
      <c r="A716" s="3" t="s">
        <v>1453</v>
      </c>
      <c r="B716" s="3" t="s">
        <v>1454</v>
      </c>
      <c r="C716" s="3" t="s">
        <v>28</v>
      </c>
      <c r="D716" s="3" t="s">
        <v>13</v>
      </c>
      <c r="E716" s="6">
        <v>44599</v>
      </c>
      <c r="F716" s="3" t="s">
        <v>14</v>
      </c>
      <c r="G716" s="3">
        <v>10388</v>
      </c>
      <c r="H716" s="3">
        <v>2667</v>
      </c>
      <c r="I716" s="3">
        <v>3.62</v>
      </c>
      <c r="J716" s="3">
        <v>35</v>
      </c>
      <c r="K716" s="15">
        <f ca="1">IF(F716="Enrolled",TODAY()-E716,"0")</f>
        <v>1455</v>
      </c>
      <c r="L716" s="3" t="str">
        <f>IF(I716&gt;=3.5,"Excellent",IF(I716&gt;=3,"Good",IF(I716&gt;=2,"Average","Poor")))</f>
        <v>Excellent</v>
      </c>
      <c r="M716" s="3" t="str">
        <v>Dr.Mehta</v>
      </c>
      <c r="N716" s="3" t="str">
        <f>IF(H716 &gt; (G716*50%), "Yes", "No")</f>
        <v>No</v>
      </c>
      <c r="O716" s="16">
        <f>G716-H716</f>
        <v>7721</v>
      </c>
      <c r="P716" s="16">
        <f>SUMIFS(O716:O716,E716:E716,"Science",F716:F716,"Completed")</f>
        <v>0</v>
      </c>
      <c r="Q716" s="3" t="str">
        <f>IF(MONTH(E716)&gt;=7, YEAR(E716)&amp;"-"&amp;YEAR(E716)+1, YEAR(E716)-1&amp;"-"&amp;YEAR(E716))</f>
        <v>2021-2022</v>
      </c>
      <c r="R716" s="3"/>
      <c r="S716" s="3"/>
      <c r="T716" s="15" t="str">
        <f t="shared" ca="1" si="11"/>
        <v>0</v>
      </c>
      <c r="U716" s="3"/>
    </row>
    <row r="717" spans="1:21" x14ac:dyDescent="0.35">
      <c r="A717" s="3" t="s">
        <v>1455</v>
      </c>
      <c r="B717" s="3" t="s">
        <v>1456</v>
      </c>
      <c r="C717" s="3" t="s">
        <v>17</v>
      </c>
      <c r="D717" s="3" t="s">
        <v>62</v>
      </c>
      <c r="E717" s="6">
        <v>44880</v>
      </c>
      <c r="F717" s="3" t="s">
        <v>19</v>
      </c>
      <c r="G717" s="3">
        <v>7318</v>
      </c>
      <c r="H717" s="3">
        <v>8381</v>
      </c>
      <c r="I717" s="3">
        <v>2.86</v>
      </c>
      <c r="J717" s="3">
        <v>88</v>
      </c>
      <c r="K717" s="15" t="str">
        <f ca="1">IF(F717="Enrolled",TODAY()-E717,"0")</f>
        <v>0</v>
      </c>
      <c r="L717" s="3" t="str">
        <f>IF(I717&gt;=3.5,"Excellent",IF(I717&gt;=3,"Good",IF(I717&gt;=2,"Average","Poor")))</f>
        <v>Average</v>
      </c>
      <c r="M717" s="3" t="str">
        <v>Dr.Sinha</v>
      </c>
      <c r="N717" s="3" t="str">
        <f>IF(H717 &gt; (G717*50%), "Yes", "No")</f>
        <v>Yes</v>
      </c>
      <c r="O717" s="16">
        <f>G717-H717</f>
        <v>-1063</v>
      </c>
      <c r="P717" s="16">
        <f>SUMIFS(O717:O717,E717:E717,"Science",F717:F717,"Completed")</f>
        <v>0</v>
      </c>
      <c r="Q717" s="3" t="str">
        <f>IF(MONTH(E717)&gt;=7, YEAR(E717)&amp;"-"&amp;YEAR(E717)+1, YEAR(E717)-1&amp;"-"&amp;YEAR(E717))</f>
        <v>2022-2023</v>
      </c>
      <c r="R717" s="3"/>
      <c r="S717" s="3"/>
      <c r="T717" s="15">
        <f t="shared" ca="1" si="11"/>
        <v>1174</v>
      </c>
      <c r="U717" s="3"/>
    </row>
    <row r="718" spans="1:21" x14ac:dyDescent="0.35">
      <c r="A718" s="3" t="s">
        <v>1457</v>
      </c>
      <c r="B718" s="3" t="s">
        <v>1458</v>
      </c>
      <c r="C718" s="3" t="s">
        <v>36</v>
      </c>
      <c r="D718" s="3" t="s">
        <v>31</v>
      </c>
      <c r="E718" s="6">
        <v>45195</v>
      </c>
      <c r="F718" s="3" t="s">
        <v>19</v>
      </c>
      <c r="G718" s="3">
        <v>9113</v>
      </c>
      <c r="H718" s="3">
        <v>5810</v>
      </c>
      <c r="I718" s="3">
        <v>3.84</v>
      </c>
      <c r="J718" s="3">
        <v>86</v>
      </c>
      <c r="K718" s="15" t="str">
        <f ca="1">IF(F718="Enrolled",TODAY()-E718,"0")</f>
        <v>0</v>
      </c>
      <c r="L718" s="3" t="str">
        <f>IF(I718&gt;=3.5,"Excellent",IF(I718&gt;=3,"Good",IF(I718&gt;=2,"Average","Poor")))</f>
        <v>Excellent</v>
      </c>
      <c r="M718" s="3" t="str">
        <v>Dr.Sharma</v>
      </c>
      <c r="N718" s="3" t="str">
        <f>IF(H718 &gt; (G718*50%), "Yes", "No")</f>
        <v>Yes</v>
      </c>
      <c r="O718" s="16">
        <f>G718-H718</f>
        <v>3303</v>
      </c>
      <c r="P718" s="16">
        <f>SUMIFS(O718:O718,E718:E718,"Science",F718:F718,"Completed")</f>
        <v>0</v>
      </c>
      <c r="Q718" s="3" t="str">
        <f>IF(MONTH(E718)&gt;=7, YEAR(E718)&amp;"-"&amp;YEAR(E718)+1, YEAR(E718)-1&amp;"-"&amp;YEAR(E718))</f>
        <v>2023-2024</v>
      </c>
      <c r="R718" s="3"/>
      <c r="S718" s="3"/>
      <c r="T718" s="15">
        <f t="shared" ca="1" si="11"/>
        <v>859</v>
      </c>
      <c r="U718" s="3"/>
    </row>
    <row r="719" spans="1:21" x14ac:dyDescent="0.35">
      <c r="A719" s="3" t="s">
        <v>1459</v>
      </c>
      <c r="B719" s="3" t="s">
        <v>1460</v>
      </c>
      <c r="C719" s="3" t="s">
        <v>36</v>
      </c>
      <c r="D719" s="3" t="s">
        <v>62</v>
      </c>
      <c r="E719" s="6">
        <v>44652</v>
      </c>
      <c r="F719" s="3" t="s">
        <v>14</v>
      </c>
      <c r="G719" s="3">
        <v>6712</v>
      </c>
      <c r="H719" s="3">
        <v>1250</v>
      </c>
      <c r="I719" s="3">
        <v>2.1800000000000002</v>
      </c>
      <c r="J719" s="3">
        <v>10</v>
      </c>
      <c r="K719" s="15">
        <f ca="1">IF(F719="Enrolled",TODAY()-E719,"0")</f>
        <v>1402</v>
      </c>
      <c r="L719" s="3" t="str">
        <f>IF(I719&gt;=3.5,"Excellent",IF(I719&gt;=3,"Good",IF(I719&gt;=2,"Average","Poor")))</f>
        <v>Average</v>
      </c>
      <c r="M719" s="3" t="str">
        <v>Dr.Sinha</v>
      </c>
      <c r="N719" s="3" t="str">
        <f>IF(H719 &gt; (G719*50%), "Yes", "No")</f>
        <v>No</v>
      </c>
      <c r="O719" s="16">
        <f>G719-H719</f>
        <v>5462</v>
      </c>
      <c r="P719" s="16">
        <f>SUMIFS(O719:O719,E719:E719,"Science",F719:F719,"Completed")</f>
        <v>0</v>
      </c>
      <c r="Q719" s="3" t="str">
        <f>IF(MONTH(E719)&gt;=7, YEAR(E719)&amp;"-"&amp;YEAR(E719)+1, YEAR(E719)-1&amp;"-"&amp;YEAR(E719))</f>
        <v>2021-2022</v>
      </c>
      <c r="R719" s="3"/>
      <c r="S719" s="3"/>
      <c r="T719" s="15" t="str">
        <f t="shared" ca="1" si="11"/>
        <v>0</v>
      </c>
      <c r="U719" s="3"/>
    </row>
    <row r="720" spans="1:21" x14ac:dyDescent="0.35">
      <c r="A720" s="3" t="s">
        <v>1461</v>
      </c>
      <c r="B720" s="3" t="s">
        <v>1462</v>
      </c>
      <c r="C720" s="3" t="s">
        <v>57</v>
      </c>
      <c r="D720" s="3" t="s">
        <v>62</v>
      </c>
      <c r="E720" s="6">
        <v>45180</v>
      </c>
      <c r="F720" s="3" t="s">
        <v>14</v>
      </c>
      <c r="G720" s="3">
        <v>3350</v>
      </c>
      <c r="H720" s="3">
        <v>107</v>
      </c>
      <c r="I720" s="3">
        <v>2.92</v>
      </c>
      <c r="J720" s="3">
        <v>109</v>
      </c>
      <c r="K720" s="15">
        <f ca="1">IF(F720="Enrolled",TODAY()-E720,"0")</f>
        <v>874</v>
      </c>
      <c r="L720" s="3" t="str">
        <f>IF(I720&gt;=3.5,"Excellent",IF(I720&gt;=3,"Good",IF(I720&gt;=2,"Average","Poor")))</f>
        <v>Average</v>
      </c>
      <c r="M720" s="3" t="str">
        <v>Dr.Sinha</v>
      </c>
      <c r="N720" s="3" t="str">
        <f>IF(H720 &gt; (G720*50%), "Yes", "No")</f>
        <v>No</v>
      </c>
      <c r="O720" s="16">
        <f>G720-H720</f>
        <v>3243</v>
      </c>
      <c r="P720" s="16">
        <f>SUMIFS(O720:O720,E720:E720,"Science",F720:F720,"Completed")</f>
        <v>0</v>
      </c>
      <c r="Q720" s="3" t="str">
        <f>IF(MONTH(E720)&gt;=7, YEAR(E720)&amp;"-"&amp;YEAR(E720)+1, YEAR(E720)-1&amp;"-"&amp;YEAR(E720))</f>
        <v>2023-2024</v>
      </c>
      <c r="R720" s="3"/>
      <c r="S720" s="3"/>
      <c r="T720" s="15" t="str">
        <f t="shared" ca="1" si="11"/>
        <v>0</v>
      </c>
      <c r="U720" s="3"/>
    </row>
    <row r="721" spans="1:21" x14ac:dyDescent="0.35">
      <c r="A721" s="3" t="s">
        <v>1463</v>
      </c>
      <c r="B721" s="3" t="s">
        <v>1464</v>
      </c>
      <c r="C721" s="3" t="s">
        <v>36</v>
      </c>
      <c r="D721" s="3" t="s">
        <v>31</v>
      </c>
      <c r="E721" s="6">
        <v>44906</v>
      </c>
      <c r="F721" s="3" t="s">
        <v>19</v>
      </c>
      <c r="G721" s="3">
        <v>2209</v>
      </c>
      <c r="H721" s="3">
        <v>2392</v>
      </c>
      <c r="I721" s="3">
        <v>3.49</v>
      </c>
      <c r="J721" s="3">
        <v>66</v>
      </c>
      <c r="K721" s="15" t="str">
        <f ca="1">IF(F721="Enrolled",TODAY()-E721,"0")</f>
        <v>0</v>
      </c>
      <c r="L721" s="3" t="str">
        <f>IF(I721&gt;=3.5,"Excellent",IF(I721&gt;=3,"Good",IF(I721&gt;=2,"Average","Poor")))</f>
        <v>Good</v>
      </c>
      <c r="M721" s="3" t="str">
        <v>Dr.Sharma</v>
      </c>
      <c r="N721" s="3" t="str">
        <f>IF(H721 &gt; (G721*50%), "Yes", "No")</f>
        <v>Yes</v>
      </c>
      <c r="O721" s="16">
        <f>G721-H721</f>
        <v>-183</v>
      </c>
      <c r="P721" s="16">
        <f>SUMIFS(O721:O721,E721:E721,"Science",F721:F721,"Completed")</f>
        <v>0</v>
      </c>
      <c r="Q721" s="3" t="str">
        <f>IF(MONTH(E721)&gt;=7, YEAR(E721)&amp;"-"&amp;YEAR(E721)+1, YEAR(E721)-1&amp;"-"&amp;YEAR(E721))</f>
        <v>2022-2023</v>
      </c>
      <c r="R721" s="3"/>
      <c r="S721" s="3"/>
      <c r="T721" s="15">
        <f t="shared" ca="1" si="11"/>
        <v>1148</v>
      </c>
      <c r="U721" s="3"/>
    </row>
    <row r="722" spans="1:21" x14ac:dyDescent="0.35">
      <c r="A722" s="3" t="s">
        <v>1465</v>
      </c>
      <c r="B722" s="3" t="s">
        <v>1466</v>
      </c>
      <c r="C722" s="3" t="s">
        <v>28</v>
      </c>
      <c r="D722" s="3" t="s">
        <v>31</v>
      </c>
      <c r="E722" s="6">
        <v>44828</v>
      </c>
      <c r="F722" s="3" t="s">
        <v>14</v>
      </c>
      <c r="G722" s="3">
        <v>13928</v>
      </c>
      <c r="H722" s="3">
        <v>6933</v>
      </c>
      <c r="I722" s="3">
        <v>3.37</v>
      </c>
      <c r="J722" s="3">
        <v>64</v>
      </c>
      <c r="K722" s="15">
        <f ca="1">IF(F722="Enrolled",TODAY()-E722,"0")</f>
        <v>1226</v>
      </c>
      <c r="L722" s="3" t="str">
        <f>IF(I722&gt;=3.5,"Excellent",IF(I722&gt;=3,"Good",IF(I722&gt;=2,"Average","Poor")))</f>
        <v>Good</v>
      </c>
      <c r="M722" s="3" t="str">
        <v>Dr.Sharma</v>
      </c>
      <c r="N722" s="3" t="str">
        <f>IF(H722 &gt; (G722*50%), "Yes", "No")</f>
        <v>No</v>
      </c>
      <c r="O722" s="16">
        <f>G722-H722</f>
        <v>6995</v>
      </c>
      <c r="P722" s="16">
        <f>SUMIFS(O722:O722,E722:E722,"Science",F722:F722,"Completed")</f>
        <v>0</v>
      </c>
      <c r="Q722" s="3" t="str">
        <f>IF(MONTH(E722)&gt;=7, YEAR(E722)&amp;"-"&amp;YEAR(E722)+1, YEAR(E722)-1&amp;"-"&amp;YEAR(E722))</f>
        <v>2022-2023</v>
      </c>
      <c r="R722" s="3"/>
      <c r="S722" s="3"/>
      <c r="T722" s="15" t="str">
        <f t="shared" ca="1" si="11"/>
        <v>0</v>
      </c>
      <c r="U722" s="3"/>
    </row>
    <row r="723" spans="1:21" x14ac:dyDescent="0.35">
      <c r="A723" s="3" t="s">
        <v>1467</v>
      </c>
      <c r="B723" s="3" t="s">
        <v>1468</v>
      </c>
      <c r="C723" s="3" t="s">
        <v>12</v>
      </c>
      <c r="D723" s="3" t="s">
        <v>31</v>
      </c>
      <c r="E723" s="6">
        <v>45227</v>
      </c>
      <c r="F723" s="3" t="s">
        <v>14</v>
      </c>
      <c r="G723" s="3">
        <v>9516</v>
      </c>
      <c r="H723" s="3">
        <v>729</v>
      </c>
      <c r="I723" s="3">
        <v>3.16</v>
      </c>
      <c r="J723" s="3">
        <v>96</v>
      </c>
      <c r="K723" s="15">
        <f ca="1">IF(F723="Enrolled",TODAY()-E723,"0")</f>
        <v>827</v>
      </c>
      <c r="L723" s="3" t="str">
        <f>IF(I723&gt;=3.5,"Excellent",IF(I723&gt;=3,"Good",IF(I723&gt;=2,"Average","Poor")))</f>
        <v>Good</v>
      </c>
      <c r="M723" s="3" t="str">
        <v>Dr.Sharma</v>
      </c>
      <c r="N723" s="3" t="str">
        <f>IF(H723 &gt; (G723*50%), "Yes", "No")</f>
        <v>No</v>
      </c>
      <c r="O723" s="16">
        <f>G723-H723</f>
        <v>8787</v>
      </c>
      <c r="P723" s="16">
        <f>SUMIFS(O723:O723,E723:E723,"Science",F723:F723,"Completed")</f>
        <v>0</v>
      </c>
      <c r="Q723" s="3" t="str">
        <f>IF(MONTH(E723)&gt;=7, YEAR(E723)&amp;"-"&amp;YEAR(E723)+1, YEAR(E723)-1&amp;"-"&amp;YEAR(E723))</f>
        <v>2023-2024</v>
      </c>
      <c r="R723" s="3"/>
      <c r="S723" s="3"/>
      <c r="T723" s="15" t="str">
        <f t="shared" ca="1" si="11"/>
        <v>0</v>
      </c>
      <c r="U723" s="3"/>
    </row>
    <row r="724" spans="1:21" x14ac:dyDescent="0.35">
      <c r="A724" s="3" t="s">
        <v>1469</v>
      </c>
      <c r="B724" s="3" t="s">
        <v>1470</v>
      </c>
      <c r="C724" s="3" t="s">
        <v>36</v>
      </c>
      <c r="D724" s="3" t="s">
        <v>62</v>
      </c>
      <c r="E724" s="6">
        <v>44591</v>
      </c>
      <c r="F724" s="3" t="s">
        <v>14</v>
      </c>
      <c r="G724" s="3">
        <v>5145</v>
      </c>
      <c r="H724" s="3">
        <v>6014</v>
      </c>
      <c r="I724" s="3">
        <v>2.98</v>
      </c>
      <c r="J724" s="3">
        <v>32</v>
      </c>
      <c r="K724" s="15">
        <f ca="1">IF(F724="Enrolled",TODAY()-E724,"0")</f>
        <v>1463</v>
      </c>
      <c r="L724" s="3" t="str">
        <f>IF(I724&gt;=3.5,"Excellent",IF(I724&gt;=3,"Good",IF(I724&gt;=2,"Average","Poor")))</f>
        <v>Average</v>
      </c>
      <c r="M724" s="3" t="str">
        <v>Dr.Sinha</v>
      </c>
      <c r="N724" s="3" t="str">
        <f>IF(H724 &gt; (G724*50%), "Yes", "No")</f>
        <v>Yes</v>
      </c>
      <c r="O724" s="16">
        <f>G724-H724</f>
        <v>-869</v>
      </c>
      <c r="P724" s="16">
        <f>SUMIFS(O724:O724,E724:E724,"Science",F724:F724,"Completed")</f>
        <v>0</v>
      </c>
      <c r="Q724" s="3" t="str">
        <f>IF(MONTH(E724)&gt;=7, YEAR(E724)&amp;"-"&amp;YEAR(E724)+1, YEAR(E724)-1&amp;"-"&amp;YEAR(E724))</f>
        <v>2021-2022</v>
      </c>
      <c r="R724" s="3"/>
      <c r="S724" s="3"/>
      <c r="T724" s="15" t="str">
        <f t="shared" ca="1" si="11"/>
        <v>0</v>
      </c>
      <c r="U724" s="3"/>
    </row>
    <row r="725" spans="1:21" x14ac:dyDescent="0.35">
      <c r="A725" s="3" t="s">
        <v>1471</v>
      </c>
      <c r="B725" s="3" t="s">
        <v>1472</v>
      </c>
      <c r="C725" s="3" t="s">
        <v>28</v>
      </c>
      <c r="D725" s="3" t="s">
        <v>13</v>
      </c>
      <c r="E725" s="6">
        <v>44755</v>
      </c>
      <c r="F725" s="3" t="s">
        <v>19</v>
      </c>
      <c r="G725" s="3">
        <v>6799</v>
      </c>
      <c r="H725" s="3">
        <v>1246</v>
      </c>
      <c r="I725" s="3">
        <v>3.07</v>
      </c>
      <c r="J725" s="3">
        <v>45</v>
      </c>
      <c r="K725" s="15" t="str">
        <f ca="1">IF(F725="Enrolled",TODAY()-E725,"0")</f>
        <v>0</v>
      </c>
      <c r="L725" s="3" t="str">
        <f>IF(I725&gt;=3.5,"Excellent",IF(I725&gt;=3,"Good",IF(I725&gt;=2,"Average","Poor")))</f>
        <v>Good</v>
      </c>
      <c r="M725" s="3" t="str">
        <v>Dr.Mehta</v>
      </c>
      <c r="N725" s="3" t="str">
        <f>IF(H725 &gt; (G725*50%), "Yes", "No")</f>
        <v>No</v>
      </c>
      <c r="O725" s="16">
        <f>G725-H725</f>
        <v>5553</v>
      </c>
      <c r="P725" s="16">
        <f>SUMIFS(O725:O725,E725:E725,"Science",F725:F725,"Completed")</f>
        <v>0</v>
      </c>
      <c r="Q725" s="3" t="str">
        <f>IF(MONTH(E725)&gt;=7, YEAR(E725)&amp;"-"&amp;YEAR(E725)+1, YEAR(E725)-1&amp;"-"&amp;YEAR(E725))</f>
        <v>2022-2023</v>
      </c>
      <c r="R725" s="3"/>
      <c r="S725" s="3"/>
      <c r="T725" s="15">
        <f t="shared" ca="1" si="11"/>
        <v>1299</v>
      </c>
      <c r="U725" s="3"/>
    </row>
    <row r="726" spans="1:21" x14ac:dyDescent="0.35">
      <c r="A726" s="3" t="s">
        <v>1473</v>
      </c>
      <c r="B726" s="3" t="s">
        <v>1474</v>
      </c>
      <c r="C726" s="3" t="s">
        <v>54</v>
      </c>
      <c r="D726" s="3" t="s">
        <v>18</v>
      </c>
      <c r="E726" s="6">
        <v>44956</v>
      </c>
      <c r="F726" s="3" t="s">
        <v>14</v>
      </c>
      <c r="G726" s="3">
        <v>7388</v>
      </c>
      <c r="H726" s="3">
        <v>9272</v>
      </c>
      <c r="I726" s="3">
        <v>3.7</v>
      </c>
      <c r="J726" s="3">
        <v>118</v>
      </c>
      <c r="K726" s="15">
        <f ca="1">IF(F726="Enrolled",TODAY()-E726,"0")</f>
        <v>1098</v>
      </c>
      <c r="L726" s="3" t="str">
        <f>IF(I726&gt;=3.5,"Excellent",IF(I726&gt;=3,"Good",IF(I726&gt;=2,"Average","Poor")))</f>
        <v>Excellent</v>
      </c>
      <c r="M726" s="3" t="str">
        <v>Dr.Roy</v>
      </c>
      <c r="N726" s="3" t="str">
        <f>IF(H726 &gt; (G726*50%), "Yes", "No")</f>
        <v>Yes</v>
      </c>
      <c r="O726" s="16">
        <f>G726-H726</f>
        <v>-1884</v>
      </c>
      <c r="P726" s="16">
        <f>SUMIFS(O726:O726,E726:E726,"Science",F726:F726,"Completed")</f>
        <v>0</v>
      </c>
      <c r="Q726" s="3" t="str">
        <f>IF(MONTH(E726)&gt;=7, YEAR(E726)&amp;"-"&amp;YEAR(E726)+1, YEAR(E726)-1&amp;"-"&amp;YEAR(E726))</f>
        <v>2022-2023</v>
      </c>
      <c r="R726" s="3"/>
      <c r="S726" s="3"/>
      <c r="T726" s="15" t="str">
        <f t="shared" ca="1" si="11"/>
        <v>0</v>
      </c>
      <c r="U726" s="3"/>
    </row>
    <row r="727" spans="1:21" x14ac:dyDescent="0.35">
      <c r="A727" s="3" t="s">
        <v>1475</v>
      </c>
      <c r="B727" s="3" t="s">
        <v>1476</v>
      </c>
      <c r="C727" s="3" t="s">
        <v>12</v>
      </c>
      <c r="D727" s="3" t="s">
        <v>31</v>
      </c>
      <c r="E727" s="6">
        <v>45289</v>
      </c>
      <c r="F727" s="3" t="s">
        <v>14</v>
      </c>
      <c r="G727" s="3">
        <v>2383</v>
      </c>
      <c r="H727" s="3">
        <v>1670</v>
      </c>
      <c r="I727" s="3">
        <v>2.82</v>
      </c>
      <c r="J727" s="3">
        <v>8</v>
      </c>
      <c r="K727" s="15">
        <f ca="1">IF(F727="Enrolled",TODAY()-E727,"0")</f>
        <v>765</v>
      </c>
      <c r="L727" s="3" t="str">
        <f>IF(I727&gt;=3.5,"Excellent",IF(I727&gt;=3,"Good",IF(I727&gt;=2,"Average","Poor")))</f>
        <v>Average</v>
      </c>
      <c r="M727" s="3" t="str">
        <v>Dr.Sharma</v>
      </c>
      <c r="N727" s="3" t="str">
        <f>IF(H727 &gt; (G727*50%), "Yes", "No")</f>
        <v>Yes</v>
      </c>
      <c r="O727" s="16">
        <f>G727-H727</f>
        <v>713</v>
      </c>
      <c r="P727" s="16">
        <f>SUMIFS(O727:O727,E727:E727,"Science",F727:F727,"Completed")</f>
        <v>0</v>
      </c>
      <c r="Q727" s="3" t="str">
        <f>IF(MONTH(E727)&gt;=7, YEAR(E727)&amp;"-"&amp;YEAR(E727)+1, YEAR(E727)-1&amp;"-"&amp;YEAR(E727))</f>
        <v>2023-2024</v>
      </c>
      <c r="R727" s="3"/>
      <c r="S727" s="3"/>
      <c r="T727" s="15" t="str">
        <f t="shared" ca="1" si="11"/>
        <v>0</v>
      </c>
      <c r="U727" s="3"/>
    </row>
    <row r="728" spans="1:21" x14ac:dyDescent="0.35">
      <c r="A728" s="3" t="s">
        <v>1477</v>
      </c>
      <c r="B728" s="3" t="s">
        <v>1478</v>
      </c>
      <c r="C728" s="3" t="s">
        <v>54</v>
      </c>
      <c r="D728" s="3" t="s">
        <v>18</v>
      </c>
      <c r="E728" s="6">
        <v>44605</v>
      </c>
      <c r="F728" s="3" t="s">
        <v>19</v>
      </c>
      <c r="G728" s="3">
        <v>7853</v>
      </c>
      <c r="H728" s="3">
        <v>8847</v>
      </c>
      <c r="I728" s="3">
        <v>2.4300000000000002</v>
      </c>
      <c r="J728" s="3">
        <v>4</v>
      </c>
      <c r="K728" s="15" t="str">
        <f ca="1">IF(F728="Enrolled",TODAY()-E728,"0")</f>
        <v>0</v>
      </c>
      <c r="L728" s="3" t="str">
        <f>IF(I728&gt;=3.5,"Excellent",IF(I728&gt;=3,"Good",IF(I728&gt;=2,"Average","Poor")))</f>
        <v>Average</v>
      </c>
      <c r="M728" s="3" t="str">
        <v>Dr.Roy</v>
      </c>
      <c r="N728" s="3" t="str">
        <f>IF(H728 &gt; (G728*50%), "Yes", "No")</f>
        <v>Yes</v>
      </c>
      <c r="O728" s="16">
        <f>G728-H728</f>
        <v>-994</v>
      </c>
      <c r="P728" s="16">
        <f>SUMIFS(O728:O728,E728:E728,"Science",F728:F728,"Completed")</f>
        <v>0</v>
      </c>
      <c r="Q728" s="3" t="str">
        <f>IF(MONTH(E728)&gt;=7, YEAR(E728)&amp;"-"&amp;YEAR(E728)+1, YEAR(E728)-1&amp;"-"&amp;YEAR(E728))</f>
        <v>2021-2022</v>
      </c>
      <c r="R728" s="3"/>
      <c r="S728" s="3"/>
      <c r="T728" s="15">
        <f t="shared" ca="1" si="11"/>
        <v>1449</v>
      </c>
      <c r="U728" s="3"/>
    </row>
    <row r="729" spans="1:21" x14ac:dyDescent="0.35">
      <c r="A729" s="3" t="s">
        <v>1479</v>
      </c>
      <c r="B729" s="3" t="s">
        <v>1480</v>
      </c>
      <c r="C729" s="3" t="s">
        <v>36</v>
      </c>
      <c r="D729" s="3" t="s">
        <v>13</v>
      </c>
      <c r="E729" s="6">
        <v>45383</v>
      </c>
      <c r="F729" s="3" t="s">
        <v>14</v>
      </c>
      <c r="G729" s="3">
        <v>12713</v>
      </c>
      <c r="H729" s="3">
        <v>352</v>
      </c>
      <c r="I729" s="3">
        <v>3.92</v>
      </c>
      <c r="J729" s="3">
        <v>95</v>
      </c>
      <c r="K729" s="15">
        <f ca="1">IF(F729="Enrolled",TODAY()-E729,"0")</f>
        <v>671</v>
      </c>
      <c r="L729" s="3" t="str">
        <f>IF(I729&gt;=3.5,"Excellent",IF(I729&gt;=3,"Good",IF(I729&gt;=2,"Average","Poor")))</f>
        <v>Excellent</v>
      </c>
      <c r="M729" s="3" t="str">
        <v>Dr.Mehta</v>
      </c>
      <c r="N729" s="3" t="str">
        <f>IF(H729 &gt; (G729*50%), "Yes", "No")</f>
        <v>No</v>
      </c>
      <c r="O729" s="16">
        <f>G729-H729</f>
        <v>12361</v>
      </c>
      <c r="P729" s="16">
        <f>SUMIFS(O729:O729,E729:E729,"Science",F729:F729,"Completed")</f>
        <v>0</v>
      </c>
      <c r="Q729" s="3" t="str">
        <f>IF(MONTH(E729)&gt;=7, YEAR(E729)&amp;"-"&amp;YEAR(E729)+1, YEAR(E729)-1&amp;"-"&amp;YEAR(E729))</f>
        <v>2023-2024</v>
      </c>
      <c r="R729" s="3"/>
      <c r="S729" s="3"/>
      <c r="T729" s="15" t="str">
        <f t="shared" ca="1" si="11"/>
        <v>0</v>
      </c>
      <c r="U729" s="3"/>
    </row>
    <row r="730" spans="1:21" x14ac:dyDescent="0.35">
      <c r="A730" s="3" t="s">
        <v>1481</v>
      </c>
      <c r="B730" s="3" t="s">
        <v>1482</v>
      </c>
      <c r="C730" s="3" t="s">
        <v>57</v>
      </c>
      <c r="D730" s="3" t="s">
        <v>62</v>
      </c>
      <c r="E730" s="6">
        <v>44821</v>
      </c>
      <c r="F730" s="3" t="s">
        <v>19</v>
      </c>
      <c r="G730" s="3">
        <v>4256</v>
      </c>
      <c r="H730" s="3">
        <v>1159</v>
      </c>
      <c r="I730" s="3">
        <v>2.89</v>
      </c>
      <c r="J730" s="3">
        <v>32</v>
      </c>
      <c r="K730" s="15" t="str">
        <f ca="1">IF(F730="Enrolled",TODAY()-E730,"0")</f>
        <v>0</v>
      </c>
      <c r="L730" s="3" t="str">
        <f>IF(I730&gt;=3.5,"Excellent",IF(I730&gt;=3,"Good",IF(I730&gt;=2,"Average","Poor")))</f>
        <v>Average</v>
      </c>
      <c r="M730" s="3" t="str">
        <v>Dr.Sinha</v>
      </c>
      <c r="N730" s="3" t="str">
        <f>IF(H730 &gt; (G730*50%), "Yes", "No")</f>
        <v>No</v>
      </c>
      <c r="O730" s="16">
        <f>G730-H730</f>
        <v>3097</v>
      </c>
      <c r="P730" s="16">
        <f>SUMIFS(O730:O730,E730:E730,"Science",F730:F730,"Completed")</f>
        <v>0</v>
      </c>
      <c r="Q730" s="3" t="str">
        <f>IF(MONTH(E730)&gt;=7, YEAR(E730)&amp;"-"&amp;YEAR(E730)+1, YEAR(E730)-1&amp;"-"&amp;YEAR(E730))</f>
        <v>2022-2023</v>
      </c>
      <c r="R730" s="3"/>
      <c r="S730" s="3"/>
      <c r="T730" s="15">
        <f t="shared" ca="1" si="11"/>
        <v>1233</v>
      </c>
      <c r="U730" s="3"/>
    </row>
    <row r="731" spans="1:21" x14ac:dyDescent="0.35">
      <c r="A731" s="3" t="s">
        <v>1483</v>
      </c>
      <c r="B731" s="3" t="s">
        <v>1484</v>
      </c>
      <c r="C731" s="3" t="s">
        <v>36</v>
      </c>
      <c r="D731" s="3" t="s">
        <v>31</v>
      </c>
      <c r="E731" s="6">
        <v>44831</v>
      </c>
      <c r="F731" s="3" t="s">
        <v>14</v>
      </c>
      <c r="G731" s="3">
        <v>9110</v>
      </c>
      <c r="H731" s="3">
        <v>7109</v>
      </c>
      <c r="I731" s="3">
        <v>3.07</v>
      </c>
      <c r="J731" s="3">
        <v>103</v>
      </c>
      <c r="K731" s="15">
        <f ca="1">IF(F731="Enrolled",TODAY()-E731,"0")</f>
        <v>1223</v>
      </c>
      <c r="L731" s="3" t="str">
        <f>IF(I731&gt;=3.5,"Excellent",IF(I731&gt;=3,"Good",IF(I731&gt;=2,"Average","Poor")))</f>
        <v>Good</v>
      </c>
      <c r="M731" s="3" t="str">
        <v>Dr.Sharma</v>
      </c>
      <c r="N731" s="3" t="str">
        <f>IF(H731 &gt; (G731*50%), "Yes", "No")</f>
        <v>Yes</v>
      </c>
      <c r="O731" s="16">
        <f>G731-H731</f>
        <v>2001</v>
      </c>
      <c r="P731" s="16">
        <f>SUMIFS(O731:O731,E731:E731,"Science",F731:F731,"Completed")</f>
        <v>0</v>
      </c>
      <c r="Q731" s="3" t="str">
        <f>IF(MONTH(E731)&gt;=7, YEAR(E731)&amp;"-"&amp;YEAR(E731)+1, YEAR(E731)-1&amp;"-"&amp;YEAR(E731))</f>
        <v>2022-2023</v>
      </c>
      <c r="R731" s="3"/>
      <c r="S731" s="3"/>
      <c r="T731" s="15" t="str">
        <f t="shared" ca="1" si="11"/>
        <v>0</v>
      </c>
      <c r="U731" s="3"/>
    </row>
    <row r="732" spans="1:21" x14ac:dyDescent="0.35">
      <c r="A732" s="3" t="s">
        <v>1485</v>
      </c>
      <c r="B732" s="3" t="s">
        <v>1486</v>
      </c>
      <c r="C732" s="3" t="s">
        <v>28</v>
      </c>
      <c r="D732" s="3" t="s">
        <v>18</v>
      </c>
      <c r="E732" s="6">
        <v>44949</v>
      </c>
      <c r="F732" s="3" t="s">
        <v>39</v>
      </c>
      <c r="G732" s="3">
        <v>3316</v>
      </c>
      <c r="H732" s="3">
        <v>7822</v>
      </c>
      <c r="I732" s="3">
        <v>2.2799999999999998</v>
      </c>
      <c r="J732" s="3">
        <v>110</v>
      </c>
      <c r="K732" s="15" t="str">
        <f ca="1">IF(F732="Enrolled",TODAY()-E732,"0")</f>
        <v>0</v>
      </c>
      <c r="L732" s="3" t="str">
        <f>IF(I732&gt;=3.5,"Excellent",IF(I732&gt;=3,"Good",IF(I732&gt;=2,"Average","Poor")))</f>
        <v>Average</v>
      </c>
      <c r="M732" s="3" t="str">
        <v>Dr.Roy</v>
      </c>
      <c r="N732" s="3" t="str">
        <f>IF(H732 &gt; (G732*50%), "Yes", "No")</f>
        <v>Yes</v>
      </c>
      <c r="O732" s="16">
        <f>G732-H732</f>
        <v>-4506</v>
      </c>
      <c r="P732" s="16">
        <f>SUMIFS(O732:O732,E732:E732,"Science",F732:F732,"Completed")</f>
        <v>0</v>
      </c>
      <c r="Q732" s="3" t="str">
        <f>IF(MONTH(E732)&gt;=7, YEAR(E732)&amp;"-"&amp;YEAR(E732)+1, YEAR(E732)-1&amp;"-"&amp;YEAR(E732))</f>
        <v>2022-2023</v>
      </c>
      <c r="R732" s="3"/>
      <c r="S732" s="3"/>
      <c r="T732" s="15" t="str">
        <f t="shared" ca="1" si="11"/>
        <v>0</v>
      </c>
      <c r="U732" s="3"/>
    </row>
    <row r="733" spans="1:21" x14ac:dyDescent="0.35">
      <c r="A733" s="3" t="s">
        <v>1487</v>
      </c>
      <c r="B733" s="3" t="s">
        <v>1488</v>
      </c>
      <c r="C733" s="3" t="s">
        <v>17</v>
      </c>
      <c r="D733" s="3" t="s">
        <v>62</v>
      </c>
      <c r="E733" s="6">
        <v>45300</v>
      </c>
      <c r="F733" s="3" t="s">
        <v>14</v>
      </c>
      <c r="G733" s="3">
        <v>5395</v>
      </c>
      <c r="H733" s="3">
        <v>4845</v>
      </c>
      <c r="I733" s="3">
        <v>3.29</v>
      </c>
      <c r="J733" s="3">
        <v>50</v>
      </c>
      <c r="K733" s="15">
        <f ca="1">IF(F733="Enrolled",TODAY()-E733,"0")</f>
        <v>754</v>
      </c>
      <c r="L733" s="3" t="str">
        <f>IF(I733&gt;=3.5,"Excellent",IF(I733&gt;=3,"Good",IF(I733&gt;=2,"Average","Poor")))</f>
        <v>Good</v>
      </c>
      <c r="M733" s="3" t="str">
        <v>Dr.Sinha</v>
      </c>
      <c r="N733" s="3" t="str">
        <f>IF(H733 &gt; (G733*50%), "Yes", "No")</f>
        <v>Yes</v>
      </c>
      <c r="O733" s="16">
        <f>G733-H733</f>
        <v>550</v>
      </c>
      <c r="P733" s="16">
        <f>SUMIFS(O733:O733,E733:E733,"Science",F733:F733,"Completed")</f>
        <v>0</v>
      </c>
      <c r="Q733" s="3" t="str">
        <f>IF(MONTH(E733)&gt;=7, YEAR(E733)&amp;"-"&amp;YEAR(E733)+1, YEAR(E733)-1&amp;"-"&amp;YEAR(E733))</f>
        <v>2023-2024</v>
      </c>
      <c r="R733" s="3"/>
      <c r="S733" s="3"/>
      <c r="T733" s="15" t="str">
        <f t="shared" ca="1" si="11"/>
        <v>0</v>
      </c>
      <c r="U733" s="3"/>
    </row>
    <row r="734" spans="1:21" x14ac:dyDescent="0.35">
      <c r="A734" s="3" t="s">
        <v>1489</v>
      </c>
      <c r="B734" s="3" t="s">
        <v>1490</v>
      </c>
      <c r="C734" s="3" t="s">
        <v>12</v>
      </c>
      <c r="D734" s="3" t="s">
        <v>62</v>
      </c>
      <c r="E734" s="6">
        <v>45323</v>
      </c>
      <c r="F734" s="3" t="s">
        <v>14</v>
      </c>
      <c r="G734" s="3">
        <v>13318</v>
      </c>
      <c r="H734" s="3">
        <v>4842</v>
      </c>
      <c r="I734" s="3">
        <v>3.79</v>
      </c>
      <c r="J734" s="3">
        <v>45</v>
      </c>
      <c r="K734" s="15">
        <f ca="1">IF(F734="Enrolled",TODAY()-E734,"0")</f>
        <v>731</v>
      </c>
      <c r="L734" s="3" t="str">
        <f>IF(I734&gt;=3.5,"Excellent",IF(I734&gt;=3,"Good",IF(I734&gt;=2,"Average","Poor")))</f>
        <v>Excellent</v>
      </c>
      <c r="M734" s="3" t="str">
        <v>Dr.Sinha</v>
      </c>
      <c r="N734" s="3" t="str">
        <f>IF(H734 &gt; (G734*50%), "Yes", "No")</f>
        <v>No</v>
      </c>
      <c r="O734" s="16">
        <f>G734-H734</f>
        <v>8476</v>
      </c>
      <c r="P734" s="16">
        <f>SUMIFS(O734:O734,E734:E734,"Science",F734:F734,"Completed")</f>
        <v>0</v>
      </c>
      <c r="Q734" s="3" t="str">
        <f>IF(MONTH(E734)&gt;=7, YEAR(E734)&amp;"-"&amp;YEAR(E734)+1, YEAR(E734)-1&amp;"-"&amp;YEAR(E734))</f>
        <v>2023-2024</v>
      </c>
      <c r="R734" s="3"/>
      <c r="S734" s="3"/>
      <c r="T734" s="15" t="str">
        <f t="shared" ca="1" si="11"/>
        <v>0</v>
      </c>
      <c r="U734" s="3"/>
    </row>
    <row r="735" spans="1:21" x14ac:dyDescent="0.35">
      <c r="A735" s="3" t="s">
        <v>1491</v>
      </c>
      <c r="B735" s="3" t="s">
        <v>1492</v>
      </c>
      <c r="C735" s="3" t="s">
        <v>28</v>
      </c>
      <c r="D735" s="3" t="s">
        <v>13</v>
      </c>
      <c r="E735" s="6">
        <v>44800</v>
      </c>
      <c r="F735" s="3" t="s">
        <v>19</v>
      </c>
      <c r="G735" s="3">
        <v>6241</v>
      </c>
      <c r="H735" s="3">
        <v>5128</v>
      </c>
      <c r="I735" s="3">
        <v>3.92</v>
      </c>
      <c r="J735" s="3">
        <v>111</v>
      </c>
      <c r="K735" s="15" t="str">
        <f ca="1">IF(F735="Enrolled",TODAY()-E735,"0")</f>
        <v>0</v>
      </c>
      <c r="L735" s="3" t="str">
        <f>IF(I735&gt;=3.5,"Excellent",IF(I735&gt;=3,"Good",IF(I735&gt;=2,"Average","Poor")))</f>
        <v>Excellent</v>
      </c>
      <c r="M735" s="3" t="str">
        <v>Dr.Mehta</v>
      </c>
      <c r="N735" s="3" t="str">
        <f>IF(H735 &gt; (G735*50%), "Yes", "No")</f>
        <v>Yes</v>
      </c>
      <c r="O735" s="16">
        <f>G735-H735</f>
        <v>1113</v>
      </c>
      <c r="P735" s="16">
        <f>SUMIFS(O735:O735,E735:E735,"Science",F735:F735,"Completed")</f>
        <v>0</v>
      </c>
      <c r="Q735" s="3" t="str">
        <f>IF(MONTH(E735)&gt;=7, YEAR(E735)&amp;"-"&amp;YEAR(E735)+1, YEAR(E735)-1&amp;"-"&amp;YEAR(E735))</f>
        <v>2022-2023</v>
      </c>
      <c r="R735" s="3"/>
      <c r="S735" s="3"/>
      <c r="T735" s="15">
        <f t="shared" ca="1" si="11"/>
        <v>1254</v>
      </c>
      <c r="U735" s="3"/>
    </row>
    <row r="736" spans="1:21" x14ac:dyDescent="0.35">
      <c r="A736" s="3" t="s">
        <v>1493</v>
      </c>
      <c r="B736" s="3" t="s">
        <v>1494</v>
      </c>
      <c r="C736" s="3" t="s">
        <v>57</v>
      </c>
      <c r="D736" s="3" t="s">
        <v>18</v>
      </c>
      <c r="E736" s="6">
        <v>44578</v>
      </c>
      <c r="F736" s="3" t="s">
        <v>14</v>
      </c>
      <c r="G736" s="3">
        <v>8037</v>
      </c>
      <c r="H736" s="3">
        <v>3076</v>
      </c>
      <c r="I736" s="3">
        <v>2.75</v>
      </c>
      <c r="J736" s="3">
        <v>28</v>
      </c>
      <c r="K736" s="15">
        <f ca="1">IF(F736="Enrolled",TODAY()-E736,"0")</f>
        <v>1476</v>
      </c>
      <c r="L736" s="3" t="str">
        <f>IF(I736&gt;=3.5,"Excellent",IF(I736&gt;=3,"Good",IF(I736&gt;=2,"Average","Poor")))</f>
        <v>Average</v>
      </c>
      <c r="M736" s="3" t="str">
        <v>Dr.Roy</v>
      </c>
      <c r="N736" s="3" t="str">
        <f>IF(H736 &gt; (G736*50%), "Yes", "No")</f>
        <v>No</v>
      </c>
      <c r="O736" s="16">
        <f>G736-H736</f>
        <v>4961</v>
      </c>
      <c r="P736" s="16">
        <f>SUMIFS(O736:O736,E736:E736,"Science",F736:F736,"Completed")</f>
        <v>0</v>
      </c>
      <c r="Q736" s="3" t="str">
        <f>IF(MONTH(E736)&gt;=7, YEAR(E736)&amp;"-"&amp;YEAR(E736)+1, YEAR(E736)-1&amp;"-"&amp;YEAR(E736))</f>
        <v>2021-2022</v>
      </c>
      <c r="R736" s="3"/>
      <c r="S736" s="3"/>
      <c r="T736" s="15" t="str">
        <f t="shared" ca="1" si="11"/>
        <v>0</v>
      </c>
      <c r="U736" s="3"/>
    </row>
    <row r="737" spans="1:21" x14ac:dyDescent="0.35">
      <c r="A737" s="3" t="s">
        <v>1495</v>
      </c>
      <c r="B737" s="3" t="s">
        <v>1496</v>
      </c>
      <c r="C737" s="3" t="s">
        <v>54</v>
      </c>
      <c r="D737" s="3" t="s">
        <v>18</v>
      </c>
      <c r="E737" s="6">
        <v>44731</v>
      </c>
      <c r="F737" s="3" t="s">
        <v>14</v>
      </c>
      <c r="G737" s="3">
        <v>10127</v>
      </c>
      <c r="H737" s="3">
        <v>4309</v>
      </c>
      <c r="I737" s="3">
        <v>3.84</v>
      </c>
      <c r="J737" s="3">
        <v>89</v>
      </c>
      <c r="K737" s="15">
        <f ca="1">IF(F737="Enrolled",TODAY()-E737,"0")</f>
        <v>1323</v>
      </c>
      <c r="L737" s="3" t="str">
        <f>IF(I737&gt;=3.5,"Excellent",IF(I737&gt;=3,"Good",IF(I737&gt;=2,"Average","Poor")))</f>
        <v>Excellent</v>
      </c>
      <c r="M737" s="3" t="str">
        <v>Dr.Roy</v>
      </c>
      <c r="N737" s="3" t="str">
        <f>IF(H737 &gt; (G737*50%), "Yes", "No")</f>
        <v>No</v>
      </c>
      <c r="O737" s="16">
        <f>G737-H737</f>
        <v>5818</v>
      </c>
      <c r="P737" s="16">
        <f>SUMIFS(O737:O737,E737:E737,"Science",F737:F737,"Completed")</f>
        <v>0</v>
      </c>
      <c r="Q737" s="3" t="str">
        <f>IF(MONTH(E737)&gt;=7, YEAR(E737)&amp;"-"&amp;YEAR(E737)+1, YEAR(E737)-1&amp;"-"&amp;YEAR(E737))</f>
        <v>2021-2022</v>
      </c>
      <c r="R737" s="3"/>
      <c r="S737" s="3"/>
      <c r="T737" s="15" t="str">
        <f t="shared" ca="1" si="11"/>
        <v>0</v>
      </c>
      <c r="U737" s="3"/>
    </row>
    <row r="738" spans="1:21" x14ac:dyDescent="0.35">
      <c r="A738" s="3" t="s">
        <v>1497</v>
      </c>
      <c r="B738" s="3" t="s">
        <v>1498</v>
      </c>
      <c r="C738" s="3" t="s">
        <v>12</v>
      </c>
      <c r="D738" s="3" t="s">
        <v>62</v>
      </c>
      <c r="E738" s="6">
        <v>44975</v>
      </c>
      <c r="F738" s="3" t="s">
        <v>14</v>
      </c>
      <c r="G738" s="3">
        <v>12789</v>
      </c>
      <c r="H738" s="3">
        <v>311</v>
      </c>
      <c r="I738" s="3">
        <v>2.92</v>
      </c>
      <c r="J738" s="3">
        <v>90</v>
      </c>
      <c r="K738" s="15">
        <f ca="1">IF(F738="Enrolled",TODAY()-E738,"0")</f>
        <v>1079</v>
      </c>
      <c r="L738" s="3" t="str">
        <f>IF(I738&gt;=3.5,"Excellent",IF(I738&gt;=3,"Good",IF(I738&gt;=2,"Average","Poor")))</f>
        <v>Average</v>
      </c>
      <c r="M738" s="3" t="str">
        <v>Dr.Sinha</v>
      </c>
      <c r="N738" s="3" t="str">
        <f>IF(H738 &gt; (G738*50%), "Yes", "No")</f>
        <v>No</v>
      </c>
      <c r="O738" s="16">
        <f>G738-H738</f>
        <v>12478</v>
      </c>
      <c r="P738" s="16">
        <f>SUMIFS(O738:O738,E738:E738,"Science",F738:F738,"Completed")</f>
        <v>0</v>
      </c>
      <c r="Q738" s="3" t="str">
        <f>IF(MONTH(E738)&gt;=7, YEAR(E738)&amp;"-"&amp;YEAR(E738)+1, YEAR(E738)-1&amp;"-"&amp;YEAR(E738))</f>
        <v>2022-2023</v>
      </c>
      <c r="R738" s="3"/>
      <c r="S738" s="3"/>
      <c r="T738" s="15" t="str">
        <f t="shared" ca="1" si="11"/>
        <v>0</v>
      </c>
      <c r="U738" s="3"/>
    </row>
    <row r="739" spans="1:21" x14ac:dyDescent="0.35">
      <c r="A739" s="3" t="s">
        <v>1499</v>
      </c>
      <c r="B739" s="3" t="s">
        <v>1500</v>
      </c>
      <c r="C739" s="3" t="s">
        <v>57</v>
      </c>
      <c r="D739" s="3" t="s">
        <v>13</v>
      </c>
      <c r="E739" s="6">
        <v>44719</v>
      </c>
      <c r="F739" s="3" t="s">
        <v>14</v>
      </c>
      <c r="G739" s="3">
        <v>10155</v>
      </c>
      <c r="H739" s="3">
        <v>9072</v>
      </c>
      <c r="I739" s="3">
        <v>3.99</v>
      </c>
      <c r="J739" s="3">
        <v>38</v>
      </c>
      <c r="K739" s="15">
        <f ca="1">IF(F739="Enrolled",TODAY()-E739,"0")</f>
        <v>1335</v>
      </c>
      <c r="L739" s="3" t="str">
        <f>IF(I739&gt;=3.5,"Excellent",IF(I739&gt;=3,"Good",IF(I739&gt;=2,"Average","Poor")))</f>
        <v>Excellent</v>
      </c>
      <c r="M739" s="3" t="str">
        <v>Dr.Mehta</v>
      </c>
      <c r="N739" s="3" t="str">
        <f>IF(H739 &gt; (G739*50%), "Yes", "No")</f>
        <v>Yes</v>
      </c>
      <c r="O739" s="16">
        <f>G739-H739</f>
        <v>1083</v>
      </c>
      <c r="P739" s="16">
        <f>SUMIFS(O739:O739,E739:E739,"Science",F739:F739,"Completed")</f>
        <v>0</v>
      </c>
      <c r="Q739" s="3" t="str">
        <f>IF(MONTH(E739)&gt;=7, YEAR(E739)&amp;"-"&amp;YEAR(E739)+1, YEAR(E739)-1&amp;"-"&amp;YEAR(E739))</f>
        <v>2021-2022</v>
      </c>
      <c r="R739" s="3"/>
      <c r="S739" s="3"/>
      <c r="T739" s="15" t="str">
        <f t="shared" ca="1" si="11"/>
        <v>0</v>
      </c>
      <c r="U739" s="3"/>
    </row>
    <row r="740" spans="1:21" x14ac:dyDescent="0.35">
      <c r="A740" s="3" t="s">
        <v>1501</v>
      </c>
      <c r="B740" s="3" t="s">
        <v>1502</v>
      </c>
      <c r="C740" s="3" t="s">
        <v>57</v>
      </c>
      <c r="D740" s="3" t="s">
        <v>31</v>
      </c>
      <c r="E740" s="6">
        <v>44975</v>
      </c>
      <c r="F740" s="3" t="s">
        <v>14</v>
      </c>
      <c r="G740" s="3">
        <v>6971</v>
      </c>
      <c r="H740" s="3">
        <v>6639</v>
      </c>
      <c r="I740" s="3">
        <v>2.6</v>
      </c>
      <c r="J740" s="3">
        <v>54</v>
      </c>
      <c r="K740" s="15">
        <f ca="1">IF(F740="Enrolled",TODAY()-E740,"0")</f>
        <v>1079</v>
      </c>
      <c r="L740" s="3" t="str">
        <f>IF(I740&gt;=3.5,"Excellent",IF(I740&gt;=3,"Good",IF(I740&gt;=2,"Average","Poor")))</f>
        <v>Average</v>
      </c>
      <c r="M740" s="3" t="str">
        <v>Dr.Sharma</v>
      </c>
      <c r="N740" s="3" t="str">
        <f>IF(H740 &gt; (G740*50%), "Yes", "No")</f>
        <v>Yes</v>
      </c>
      <c r="O740" s="16">
        <f>G740-H740</f>
        <v>332</v>
      </c>
      <c r="P740" s="16">
        <f>SUMIFS(O740:O740,E740:E740,"Science",F740:F740,"Completed")</f>
        <v>0</v>
      </c>
      <c r="Q740" s="3" t="str">
        <f>IF(MONTH(E740)&gt;=7, YEAR(E740)&amp;"-"&amp;YEAR(E740)+1, YEAR(E740)-1&amp;"-"&amp;YEAR(E740))</f>
        <v>2022-2023</v>
      </c>
      <c r="R740" s="3"/>
      <c r="S740" s="3"/>
      <c r="T740" s="15" t="str">
        <f t="shared" ca="1" si="11"/>
        <v>0</v>
      </c>
      <c r="U740" s="3"/>
    </row>
    <row r="741" spans="1:21" x14ac:dyDescent="0.35">
      <c r="A741" s="3" t="s">
        <v>1503</v>
      </c>
      <c r="B741" s="3" t="s">
        <v>1504</v>
      </c>
      <c r="C741" s="3" t="s">
        <v>57</v>
      </c>
      <c r="D741" s="3" t="s">
        <v>13</v>
      </c>
      <c r="E741" s="6">
        <v>44596</v>
      </c>
      <c r="F741" s="3" t="s">
        <v>14</v>
      </c>
      <c r="G741" s="3">
        <v>9877</v>
      </c>
      <c r="H741" s="3">
        <v>1236</v>
      </c>
      <c r="I741" s="3">
        <v>3.69</v>
      </c>
      <c r="J741" s="3">
        <v>25</v>
      </c>
      <c r="K741" s="15">
        <f ca="1">IF(F741="Enrolled",TODAY()-E741,"0")</f>
        <v>1458</v>
      </c>
      <c r="L741" s="3" t="str">
        <f>IF(I741&gt;=3.5,"Excellent",IF(I741&gt;=3,"Good",IF(I741&gt;=2,"Average","Poor")))</f>
        <v>Excellent</v>
      </c>
      <c r="M741" s="3" t="str">
        <v>Dr.Mehta</v>
      </c>
      <c r="N741" s="3" t="str">
        <f>IF(H741 &gt; (G741*50%), "Yes", "No")</f>
        <v>No</v>
      </c>
      <c r="O741" s="16">
        <f>G741-H741</f>
        <v>8641</v>
      </c>
      <c r="P741" s="16">
        <f>SUMIFS(O741:O741,E741:E741,"Science",F741:F741,"Completed")</f>
        <v>0</v>
      </c>
      <c r="Q741" s="3" t="str">
        <f>IF(MONTH(E741)&gt;=7, YEAR(E741)&amp;"-"&amp;YEAR(E741)+1, YEAR(E741)-1&amp;"-"&amp;YEAR(E741))</f>
        <v>2021-2022</v>
      </c>
      <c r="R741" s="3"/>
      <c r="S741" s="3"/>
      <c r="T741" s="15" t="str">
        <f t="shared" ca="1" si="11"/>
        <v>0</v>
      </c>
      <c r="U741" s="3"/>
    </row>
    <row r="742" spans="1:21" x14ac:dyDescent="0.35">
      <c r="A742" s="3" t="s">
        <v>1505</v>
      </c>
      <c r="B742" s="3" t="s">
        <v>1506</v>
      </c>
      <c r="C742" s="3" t="s">
        <v>17</v>
      </c>
      <c r="D742" s="3" t="s">
        <v>18</v>
      </c>
      <c r="E742" s="6">
        <v>45116</v>
      </c>
      <c r="F742" s="3" t="s">
        <v>14</v>
      </c>
      <c r="G742" s="3">
        <v>9561</v>
      </c>
      <c r="H742" s="3">
        <v>5098</v>
      </c>
      <c r="I742" s="3">
        <v>3.79</v>
      </c>
      <c r="J742" s="3">
        <v>68</v>
      </c>
      <c r="K742" s="15">
        <f ca="1">IF(F742="Enrolled",TODAY()-E742,"0")</f>
        <v>938</v>
      </c>
      <c r="L742" s="3" t="str">
        <f>IF(I742&gt;=3.5,"Excellent",IF(I742&gt;=3,"Good",IF(I742&gt;=2,"Average","Poor")))</f>
        <v>Excellent</v>
      </c>
      <c r="M742" s="3" t="str">
        <v>Dr.Roy</v>
      </c>
      <c r="N742" s="3" t="str">
        <f>IF(H742 &gt; (G742*50%), "Yes", "No")</f>
        <v>Yes</v>
      </c>
      <c r="O742" s="16">
        <f>G742-H742</f>
        <v>4463</v>
      </c>
      <c r="P742" s="16">
        <f>SUMIFS(O742:O742,E742:E742,"Science",F742:F742,"Completed")</f>
        <v>0</v>
      </c>
      <c r="Q742" s="3" t="str">
        <f>IF(MONTH(E742)&gt;=7, YEAR(E742)&amp;"-"&amp;YEAR(E742)+1, YEAR(E742)-1&amp;"-"&amp;YEAR(E742))</f>
        <v>2023-2024</v>
      </c>
      <c r="R742" s="3"/>
      <c r="S742" s="3"/>
      <c r="T742" s="15" t="str">
        <f t="shared" ca="1" si="11"/>
        <v>0</v>
      </c>
      <c r="U742" s="3"/>
    </row>
    <row r="743" spans="1:21" x14ac:dyDescent="0.35">
      <c r="A743" s="3" t="s">
        <v>1507</v>
      </c>
      <c r="B743" s="3" t="s">
        <v>1508</v>
      </c>
      <c r="C743" s="3" t="s">
        <v>57</v>
      </c>
      <c r="D743" s="3" t="s">
        <v>13</v>
      </c>
      <c r="E743" s="6">
        <v>44697</v>
      </c>
      <c r="F743" s="3" t="s">
        <v>14</v>
      </c>
      <c r="G743" s="3">
        <v>6012</v>
      </c>
      <c r="H743" s="3">
        <v>965</v>
      </c>
      <c r="I743" s="3">
        <v>2.27</v>
      </c>
      <c r="J743" s="3">
        <v>50</v>
      </c>
      <c r="K743" s="15">
        <f ca="1">IF(F743="Enrolled",TODAY()-E743,"0")</f>
        <v>1357</v>
      </c>
      <c r="L743" s="3" t="str">
        <f>IF(I743&gt;=3.5,"Excellent",IF(I743&gt;=3,"Good",IF(I743&gt;=2,"Average","Poor")))</f>
        <v>Average</v>
      </c>
      <c r="M743" s="3" t="str">
        <v>Dr.Mehta</v>
      </c>
      <c r="N743" s="3" t="str">
        <f>IF(H743 &gt; (G743*50%), "Yes", "No")</f>
        <v>No</v>
      </c>
      <c r="O743" s="16">
        <f>G743-H743</f>
        <v>5047</v>
      </c>
      <c r="P743" s="16">
        <f>SUMIFS(O743:O743,E743:E743,"Science",F743:F743,"Completed")</f>
        <v>0</v>
      </c>
      <c r="Q743" s="3" t="str">
        <f>IF(MONTH(E743)&gt;=7, YEAR(E743)&amp;"-"&amp;YEAR(E743)+1, YEAR(E743)-1&amp;"-"&amp;YEAR(E743))</f>
        <v>2021-2022</v>
      </c>
      <c r="R743" s="3"/>
      <c r="S743" s="3"/>
      <c r="T743" s="15" t="str">
        <f t="shared" ca="1" si="11"/>
        <v>0</v>
      </c>
      <c r="U743" s="3"/>
    </row>
    <row r="744" spans="1:21" x14ac:dyDescent="0.35">
      <c r="A744" s="3" t="s">
        <v>1509</v>
      </c>
      <c r="B744" s="3" t="s">
        <v>1510</v>
      </c>
      <c r="C744" s="3" t="s">
        <v>25</v>
      </c>
      <c r="D744" s="3" t="s">
        <v>13</v>
      </c>
      <c r="E744" s="6">
        <v>45148</v>
      </c>
      <c r="F744" s="3" t="s">
        <v>14</v>
      </c>
      <c r="G744" s="3">
        <v>12717</v>
      </c>
      <c r="H744" s="3">
        <v>5005</v>
      </c>
      <c r="I744" s="3">
        <v>3.55</v>
      </c>
      <c r="J744" s="3">
        <v>61</v>
      </c>
      <c r="K744" s="15">
        <f ca="1">IF(F744="Enrolled",TODAY()-E744,"0")</f>
        <v>906</v>
      </c>
      <c r="L744" s="3" t="str">
        <f>IF(I744&gt;=3.5,"Excellent",IF(I744&gt;=3,"Good",IF(I744&gt;=2,"Average","Poor")))</f>
        <v>Excellent</v>
      </c>
      <c r="M744" s="3" t="str">
        <v>Dr.Mehta</v>
      </c>
      <c r="N744" s="3" t="str">
        <f>IF(H744 &gt; (G744*50%), "Yes", "No")</f>
        <v>No</v>
      </c>
      <c r="O744" s="16">
        <f>G744-H744</f>
        <v>7712</v>
      </c>
      <c r="P744" s="16">
        <f>SUMIFS(O744:O744,E744:E744,"Science",F744:F744,"Completed")</f>
        <v>0</v>
      </c>
      <c r="Q744" s="3" t="str">
        <f>IF(MONTH(E744)&gt;=7, YEAR(E744)&amp;"-"&amp;YEAR(E744)+1, YEAR(E744)-1&amp;"-"&amp;YEAR(E744))</f>
        <v>2023-2024</v>
      </c>
      <c r="R744" s="3"/>
      <c r="S744" s="3"/>
      <c r="T744" s="15" t="str">
        <f t="shared" ca="1" si="11"/>
        <v>0</v>
      </c>
      <c r="U744" s="3"/>
    </row>
    <row r="745" spans="1:21" x14ac:dyDescent="0.35">
      <c r="A745" s="3" t="s">
        <v>1511</v>
      </c>
      <c r="B745" s="3" t="s">
        <v>1512</v>
      </c>
      <c r="C745" s="3" t="s">
        <v>28</v>
      </c>
      <c r="D745" s="3" t="s">
        <v>18</v>
      </c>
      <c r="E745" s="6">
        <v>45062</v>
      </c>
      <c r="F745" s="3" t="s">
        <v>14</v>
      </c>
      <c r="G745" s="3">
        <v>5344</v>
      </c>
      <c r="H745" s="3">
        <v>2596</v>
      </c>
      <c r="I745" s="3">
        <v>2.97</v>
      </c>
      <c r="J745" s="3">
        <v>108</v>
      </c>
      <c r="K745" s="15">
        <f ca="1">IF(F745="Enrolled",TODAY()-E745,"0")</f>
        <v>992</v>
      </c>
      <c r="L745" s="3" t="str">
        <f>IF(I745&gt;=3.5,"Excellent",IF(I745&gt;=3,"Good",IF(I745&gt;=2,"Average","Poor")))</f>
        <v>Average</v>
      </c>
      <c r="M745" s="3" t="str">
        <v>Dr.Roy</v>
      </c>
      <c r="N745" s="3" t="str">
        <f>IF(H745 &gt; (G745*50%), "Yes", "No")</f>
        <v>No</v>
      </c>
      <c r="O745" s="16">
        <f>G745-H745</f>
        <v>2748</v>
      </c>
      <c r="P745" s="16">
        <f>SUMIFS(O745:O745,E745:E745,"Science",F745:F745,"Completed")</f>
        <v>0</v>
      </c>
      <c r="Q745" s="3" t="str">
        <f>IF(MONTH(E745)&gt;=7, YEAR(E745)&amp;"-"&amp;YEAR(E745)+1, YEAR(E745)-1&amp;"-"&amp;YEAR(E745))</f>
        <v>2022-2023</v>
      </c>
      <c r="R745" s="3"/>
      <c r="S745" s="3"/>
      <c r="T745" s="15" t="str">
        <f t="shared" ca="1" si="11"/>
        <v>0</v>
      </c>
      <c r="U745" s="3"/>
    </row>
    <row r="746" spans="1:21" x14ac:dyDescent="0.35">
      <c r="A746" s="3" t="s">
        <v>1513</v>
      </c>
      <c r="B746" s="3" t="s">
        <v>1514</v>
      </c>
      <c r="C746" s="3" t="s">
        <v>54</v>
      </c>
      <c r="D746" s="3" t="s">
        <v>62</v>
      </c>
      <c r="E746" s="6">
        <v>44804</v>
      </c>
      <c r="F746" s="3" t="s">
        <v>14</v>
      </c>
      <c r="G746" s="3">
        <v>2025</v>
      </c>
      <c r="H746" s="3">
        <v>1760</v>
      </c>
      <c r="I746" s="3">
        <v>3.27</v>
      </c>
      <c r="J746" s="3">
        <v>23</v>
      </c>
      <c r="K746" s="15">
        <f ca="1">IF(F746="Enrolled",TODAY()-E746,"0")</f>
        <v>1250</v>
      </c>
      <c r="L746" s="3" t="str">
        <f>IF(I746&gt;=3.5,"Excellent",IF(I746&gt;=3,"Good",IF(I746&gt;=2,"Average","Poor")))</f>
        <v>Good</v>
      </c>
      <c r="M746" s="3" t="str">
        <v>Dr.Sinha</v>
      </c>
      <c r="N746" s="3" t="str">
        <f>IF(H746 &gt; (G746*50%), "Yes", "No")</f>
        <v>Yes</v>
      </c>
      <c r="O746" s="16">
        <f>G746-H746</f>
        <v>265</v>
      </c>
      <c r="P746" s="16">
        <f>SUMIFS(O746:O746,E746:E746,"Science",F746:F746,"Completed")</f>
        <v>0</v>
      </c>
      <c r="Q746" s="3" t="str">
        <f>IF(MONTH(E746)&gt;=7, YEAR(E746)&amp;"-"&amp;YEAR(E746)+1, YEAR(E746)-1&amp;"-"&amp;YEAR(E746))</f>
        <v>2022-2023</v>
      </c>
      <c r="R746" s="3"/>
      <c r="S746" s="3"/>
      <c r="T746" s="15" t="str">
        <f t="shared" ca="1" si="11"/>
        <v>0</v>
      </c>
      <c r="U746" s="3"/>
    </row>
    <row r="747" spans="1:21" x14ac:dyDescent="0.35">
      <c r="A747" s="3" t="s">
        <v>1515</v>
      </c>
      <c r="B747" s="3" t="s">
        <v>1516</v>
      </c>
      <c r="C747" s="3" t="s">
        <v>17</v>
      </c>
      <c r="D747" s="3" t="s">
        <v>31</v>
      </c>
      <c r="E747" s="6">
        <v>44851</v>
      </c>
      <c r="F747" s="3" t="s">
        <v>14</v>
      </c>
      <c r="G747" s="3">
        <v>13185</v>
      </c>
      <c r="H747" s="3">
        <v>8241</v>
      </c>
      <c r="I747" s="3">
        <v>3.51</v>
      </c>
      <c r="J747" s="3">
        <v>55</v>
      </c>
      <c r="K747" s="15">
        <f ca="1">IF(F747="Enrolled",TODAY()-E747,"0")</f>
        <v>1203</v>
      </c>
      <c r="L747" s="3" t="str">
        <f>IF(I747&gt;=3.5,"Excellent",IF(I747&gt;=3,"Good",IF(I747&gt;=2,"Average","Poor")))</f>
        <v>Excellent</v>
      </c>
      <c r="M747" s="3" t="str">
        <v>Dr.Sharma</v>
      </c>
      <c r="N747" s="3" t="str">
        <f>IF(H747 &gt; (G747*50%), "Yes", "No")</f>
        <v>Yes</v>
      </c>
      <c r="O747" s="16">
        <f>G747-H747</f>
        <v>4944</v>
      </c>
      <c r="P747" s="16">
        <f>SUMIFS(O747:O747,E747:E747,"Science",F747:F747,"Completed")</f>
        <v>0</v>
      </c>
      <c r="Q747" s="3" t="str">
        <f>IF(MONTH(E747)&gt;=7, YEAR(E747)&amp;"-"&amp;YEAR(E747)+1, YEAR(E747)-1&amp;"-"&amp;YEAR(E747))</f>
        <v>2022-2023</v>
      </c>
      <c r="R747" s="3"/>
      <c r="S747" s="3"/>
      <c r="T747" s="15" t="str">
        <f t="shared" ca="1" si="11"/>
        <v>0</v>
      </c>
      <c r="U747" s="3"/>
    </row>
    <row r="748" spans="1:21" x14ac:dyDescent="0.35">
      <c r="A748" s="3" t="s">
        <v>1517</v>
      </c>
      <c r="B748" s="3" t="s">
        <v>1518</v>
      </c>
      <c r="C748" s="3" t="s">
        <v>57</v>
      </c>
      <c r="D748" s="3" t="s">
        <v>13</v>
      </c>
      <c r="E748" s="6">
        <v>45369</v>
      </c>
      <c r="F748" s="3" t="s">
        <v>14</v>
      </c>
      <c r="G748" s="3">
        <v>3683</v>
      </c>
      <c r="H748" s="3">
        <v>377</v>
      </c>
      <c r="I748" s="3">
        <v>2.8</v>
      </c>
      <c r="J748" s="3">
        <v>9</v>
      </c>
      <c r="K748" s="15">
        <f ca="1">IF(F748="Enrolled",TODAY()-E748,"0")</f>
        <v>685</v>
      </c>
      <c r="L748" s="3" t="str">
        <f>IF(I748&gt;=3.5,"Excellent",IF(I748&gt;=3,"Good",IF(I748&gt;=2,"Average","Poor")))</f>
        <v>Average</v>
      </c>
      <c r="M748" s="3" t="str">
        <v>Dr.Mehta</v>
      </c>
      <c r="N748" s="3" t="str">
        <f>IF(H748 &gt; (G748*50%), "Yes", "No")</f>
        <v>No</v>
      </c>
      <c r="O748" s="16">
        <f>G748-H748</f>
        <v>3306</v>
      </c>
      <c r="P748" s="16">
        <f>SUMIFS(O748:O748,E748:E748,"Science",F748:F748,"Completed")</f>
        <v>0</v>
      </c>
      <c r="Q748" s="3" t="str">
        <f>IF(MONTH(E748)&gt;=7, YEAR(E748)&amp;"-"&amp;YEAR(E748)+1, YEAR(E748)-1&amp;"-"&amp;YEAR(E748))</f>
        <v>2023-2024</v>
      </c>
      <c r="R748" s="3"/>
      <c r="S748" s="3"/>
      <c r="T748" s="15" t="str">
        <f t="shared" ca="1" si="11"/>
        <v>0</v>
      </c>
      <c r="U748" s="3"/>
    </row>
    <row r="749" spans="1:21" x14ac:dyDescent="0.35">
      <c r="A749" s="3" t="s">
        <v>1519</v>
      </c>
      <c r="B749" s="3" t="s">
        <v>1520</v>
      </c>
      <c r="C749" s="3" t="s">
        <v>17</v>
      </c>
      <c r="D749" s="3" t="s">
        <v>62</v>
      </c>
      <c r="E749" s="6">
        <v>45087</v>
      </c>
      <c r="F749" s="3" t="s">
        <v>14</v>
      </c>
      <c r="G749" s="3">
        <v>6337</v>
      </c>
      <c r="H749" s="3">
        <v>3748</v>
      </c>
      <c r="I749" s="3">
        <v>2.79</v>
      </c>
      <c r="J749" s="3">
        <v>38</v>
      </c>
      <c r="K749" s="15">
        <f ca="1">IF(F749="Enrolled",TODAY()-E749,"0")</f>
        <v>967</v>
      </c>
      <c r="L749" s="3" t="str">
        <f>IF(I749&gt;=3.5,"Excellent",IF(I749&gt;=3,"Good",IF(I749&gt;=2,"Average","Poor")))</f>
        <v>Average</v>
      </c>
      <c r="M749" s="3" t="str">
        <v>Dr.Sinha</v>
      </c>
      <c r="N749" s="3" t="str">
        <f>IF(H749 &gt; (G749*50%), "Yes", "No")</f>
        <v>Yes</v>
      </c>
      <c r="O749" s="16">
        <f>G749-H749</f>
        <v>2589</v>
      </c>
      <c r="P749" s="16">
        <f>SUMIFS(O749:O749,E749:E749,"Science",F749:F749,"Completed")</f>
        <v>0</v>
      </c>
      <c r="Q749" s="3" t="str">
        <f>IF(MONTH(E749)&gt;=7, YEAR(E749)&amp;"-"&amp;YEAR(E749)+1, YEAR(E749)-1&amp;"-"&amp;YEAR(E749))</f>
        <v>2022-2023</v>
      </c>
      <c r="R749" s="3"/>
      <c r="S749" s="3"/>
      <c r="T749" s="15" t="str">
        <f t="shared" ca="1" si="11"/>
        <v>0</v>
      </c>
      <c r="U749" s="3"/>
    </row>
    <row r="750" spans="1:21" x14ac:dyDescent="0.35">
      <c r="A750" s="3" t="s">
        <v>1521</v>
      </c>
      <c r="B750" s="3" t="s">
        <v>1522</v>
      </c>
      <c r="C750" s="3" t="s">
        <v>28</v>
      </c>
      <c r="D750" s="3" t="s">
        <v>13</v>
      </c>
      <c r="E750" s="6">
        <v>44824</v>
      </c>
      <c r="F750" s="3" t="s">
        <v>14</v>
      </c>
      <c r="G750" s="3">
        <v>10576</v>
      </c>
      <c r="H750" s="3">
        <v>4900</v>
      </c>
      <c r="I750" s="3">
        <v>3.87</v>
      </c>
      <c r="J750" s="3">
        <v>12</v>
      </c>
      <c r="K750" s="15">
        <f ca="1">IF(F750="Enrolled",TODAY()-E750,"0")</f>
        <v>1230</v>
      </c>
      <c r="L750" s="3" t="str">
        <f>IF(I750&gt;=3.5,"Excellent",IF(I750&gt;=3,"Good",IF(I750&gt;=2,"Average","Poor")))</f>
        <v>Excellent</v>
      </c>
      <c r="M750" s="3" t="str">
        <v>Dr.Mehta</v>
      </c>
      <c r="N750" s="3" t="str">
        <f>IF(H750 &gt; (G750*50%), "Yes", "No")</f>
        <v>No</v>
      </c>
      <c r="O750" s="16">
        <f>G750-H750</f>
        <v>5676</v>
      </c>
      <c r="P750" s="16">
        <f>SUMIFS(O750:O750,E750:E750,"Science",F750:F750,"Completed")</f>
        <v>0</v>
      </c>
      <c r="Q750" s="3" t="str">
        <f>IF(MONTH(E750)&gt;=7, YEAR(E750)&amp;"-"&amp;YEAR(E750)+1, YEAR(E750)-1&amp;"-"&amp;YEAR(E750))</f>
        <v>2022-2023</v>
      </c>
      <c r="R750" s="3"/>
      <c r="S750" s="3"/>
      <c r="T750" s="15" t="str">
        <f t="shared" ca="1" si="11"/>
        <v>0</v>
      </c>
      <c r="U750" s="3"/>
    </row>
    <row r="751" spans="1:21" x14ac:dyDescent="0.35">
      <c r="A751" s="3" t="s">
        <v>1523</v>
      </c>
      <c r="B751" s="3" t="s">
        <v>1524</v>
      </c>
      <c r="C751" s="3" t="s">
        <v>57</v>
      </c>
      <c r="D751" s="3" t="s">
        <v>31</v>
      </c>
      <c r="E751" s="6">
        <v>45082</v>
      </c>
      <c r="F751" s="3" t="s">
        <v>19</v>
      </c>
      <c r="G751" s="3">
        <v>13691</v>
      </c>
      <c r="H751" s="3">
        <v>883</v>
      </c>
      <c r="I751" s="3">
        <v>2.06</v>
      </c>
      <c r="J751" s="3">
        <v>76</v>
      </c>
      <c r="K751" s="15" t="str">
        <f ca="1">IF(F751="Enrolled",TODAY()-E751,"0")</f>
        <v>0</v>
      </c>
      <c r="L751" s="3" t="str">
        <f>IF(I751&gt;=3.5,"Excellent",IF(I751&gt;=3,"Good",IF(I751&gt;=2,"Average","Poor")))</f>
        <v>Average</v>
      </c>
      <c r="M751" s="3" t="str">
        <v>Dr.Sharma</v>
      </c>
      <c r="N751" s="3" t="str">
        <f>IF(H751 &gt; (G751*50%), "Yes", "No")</f>
        <v>No</v>
      </c>
      <c r="O751" s="16">
        <f>G751-H751</f>
        <v>12808</v>
      </c>
      <c r="P751" s="16">
        <f>SUMIFS(O751:O751,E751:E751,"Science",F751:F751,"Completed")</f>
        <v>0</v>
      </c>
      <c r="Q751" s="3" t="str">
        <f>IF(MONTH(E751)&gt;=7, YEAR(E751)&amp;"-"&amp;YEAR(E751)+1, YEAR(E751)-1&amp;"-"&amp;YEAR(E751))</f>
        <v>2022-2023</v>
      </c>
      <c r="R751" s="3"/>
      <c r="S751" s="3"/>
      <c r="T751" s="15">
        <f t="shared" ca="1" si="11"/>
        <v>972</v>
      </c>
      <c r="U751" s="3"/>
    </row>
    <row r="752" spans="1:21" x14ac:dyDescent="0.35">
      <c r="A752" s="3" t="s">
        <v>1525</v>
      </c>
      <c r="B752" s="3" t="s">
        <v>1526</v>
      </c>
      <c r="C752" s="3" t="s">
        <v>57</v>
      </c>
      <c r="D752" s="3" t="s">
        <v>18</v>
      </c>
      <c r="E752" s="6">
        <v>45379</v>
      </c>
      <c r="F752" s="3" t="s">
        <v>14</v>
      </c>
      <c r="G752" s="3">
        <v>10341</v>
      </c>
      <c r="H752" s="3">
        <v>7548</v>
      </c>
      <c r="I752" s="3">
        <v>2.59</v>
      </c>
      <c r="J752" s="3">
        <v>55</v>
      </c>
      <c r="K752" s="15">
        <f ca="1">IF(F752="Enrolled",TODAY()-E752,"0")</f>
        <v>675</v>
      </c>
      <c r="L752" s="3" t="str">
        <f>IF(I752&gt;=3.5,"Excellent",IF(I752&gt;=3,"Good",IF(I752&gt;=2,"Average","Poor")))</f>
        <v>Average</v>
      </c>
      <c r="M752" s="3" t="str">
        <v>Dr.Roy</v>
      </c>
      <c r="N752" s="3" t="str">
        <f>IF(H752 &gt; (G752*50%), "Yes", "No")</f>
        <v>Yes</v>
      </c>
      <c r="O752" s="16">
        <f>G752-H752</f>
        <v>2793</v>
      </c>
      <c r="P752" s="16">
        <f>SUMIFS(O752:O752,E752:E752,"Science",F752:F752,"Completed")</f>
        <v>0</v>
      </c>
      <c r="Q752" s="3" t="str">
        <f>IF(MONTH(E752)&gt;=7, YEAR(E752)&amp;"-"&amp;YEAR(E752)+1, YEAR(E752)-1&amp;"-"&amp;YEAR(E752))</f>
        <v>2023-2024</v>
      </c>
      <c r="R752" s="3"/>
      <c r="S752" s="3"/>
      <c r="T752" s="15" t="str">
        <f t="shared" ca="1" si="11"/>
        <v>0</v>
      </c>
      <c r="U752" s="3"/>
    </row>
    <row r="753" spans="1:21" x14ac:dyDescent="0.35">
      <c r="A753" s="3" t="s">
        <v>1527</v>
      </c>
      <c r="B753" s="3" t="s">
        <v>1528</v>
      </c>
      <c r="C753" s="3" t="s">
        <v>57</v>
      </c>
      <c r="D753" s="3" t="s">
        <v>18</v>
      </c>
      <c r="E753" s="6">
        <v>44573</v>
      </c>
      <c r="F753" s="3" t="s">
        <v>14</v>
      </c>
      <c r="G753" s="3">
        <v>6833</v>
      </c>
      <c r="H753" s="3">
        <v>3054</v>
      </c>
      <c r="I753" s="3">
        <v>3.59</v>
      </c>
      <c r="J753" s="3">
        <v>100</v>
      </c>
      <c r="K753" s="15">
        <f ca="1">IF(F753="Enrolled",TODAY()-E753,"0")</f>
        <v>1481</v>
      </c>
      <c r="L753" s="3" t="str">
        <f>IF(I753&gt;=3.5,"Excellent",IF(I753&gt;=3,"Good",IF(I753&gt;=2,"Average","Poor")))</f>
        <v>Excellent</v>
      </c>
      <c r="M753" s="3" t="str">
        <v>Dr.Roy</v>
      </c>
      <c r="N753" s="3" t="str">
        <f>IF(H753 &gt; (G753*50%), "Yes", "No")</f>
        <v>No</v>
      </c>
      <c r="O753" s="16">
        <f>G753-H753</f>
        <v>3779</v>
      </c>
      <c r="P753" s="16">
        <f>SUMIFS(O753:O753,E753:E753,"Science",F753:F753,"Completed")</f>
        <v>0</v>
      </c>
      <c r="Q753" s="3" t="str">
        <f>IF(MONTH(E753)&gt;=7, YEAR(E753)&amp;"-"&amp;YEAR(E753)+1, YEAR(E753)-1&amp;"-"&amp;YEAR(E753))</f>
        <v>2021-2022</v>
      </c>
      <c r="R753" s="3"/>
      <c r="S753" s="3"/>
      <c r="T753" s="15" t="str">
        <f t="shared" ca="1" si="11"/>
        <v>0</v>
      </c>
      <c r="U753" s="3"/>
    </row>
    <row r="754" spans="1:21" x14ac:dyDescent="0.35">
      <c r="A754" s="3" t="s">
        <v>1529</v>
      </c>
      <c r="B754" s="3" t="s">
        <v>1530</v>
      </c>
      <c r="C754" s="3" t="s">
        <v>22</v>
      </c>
      <c r="D754" s="3" t="s">
        <v>62</v>
      </c>
      <c r="E754" s="6">
        <v>45300</v>
      </c>
      <c r="F754" s="3" t="s">
        <v>14</v>
      </c>
      <c r="G754" s="3">
        <v>11055</v>
      </c>
      <c r="H754" s="3">
        <v>9037</v>
      </c>
      <c r="I754" s="3">
        <v>3.57</v>
      </c>
      <c r="J754" s="3">
        <v>60</v>
      </c>
      <c r="K754" s="15">
        <f ca="1">IF(F754="Enrolled",TODAY()-E754,"0")</f>
        <v>754</v>
      </c>
      <c r="L754" s="3" t="str">
        <f>IF(I754&gt;=3.5,"Excellent",IF(I754&gt;=3,"Good",IF(I754&gt;=2,"Average","Poor")))</f>
        <v>Excellent</v>
      </c>
      <c r="M754" s="3" t="str">
        <v>Dr.Sinha</v>
      </c>
      <c r="N754" s="3" t="str">
        <f>IF(H754 &gt; (G754*50%), "Yes", "No")</f>
        <v>Yes</v>
      </c>
      <c r="O754" s="16">
        <f>G754-H754</f>
        <v>2018</v>
      </c>
      <c r="P754" s="16">
        <f>SUMIFS(O754:O754,E754:E754,"Science",F754:F754,"Completed")</f>
        <v>0</v>
      </c>
      <c r="Q754" s="3" t="str">
        <f>IF(MONTH(E754)&gt;=7, YEAR(E754)&amp;"-"&amp;YEAR(E754)+1, YEAR(E754)-1&amp;"-"&amp;YEAR(E754))</f>
        <v>2023-2024</v>
      </c>
      <c r="R754" s="3"/>
      <c r="S754" s="3"/>
      <c r="T754" s="15" t="str">
        <f t="shared" ca="1" si="11"/>
        <v>0</v>
      </c>
      <c r="U754" s="3"/>
    </row>
    <row r="755" spans="1:21" x14ac:dyDescent="0.35">
      <c r="A755" s="3" t="s">
        <v>1531</v>
      </c>
      <c r="B755" s="3" t="s">
        <v>1532</v>
      </c>
      <c r="C755" s="3" t="s">
        <v>57</v>
      </c>
      <c r="D755" s="3" t="s">
        <v>62</v>
      </c>
      <c r="E755" s="6">
        <v>44895</v>
      </c>
      <c r="F755" s="3" t="s">
        <v>14</v>
      </c>
      <c r="G755" s="3">
        <v>4932</v>
      </c>
      <c r="H755" s="3">
        <v>5140</v>
      </c>
      <c r="I755" s="3">
        <v>2.15</v>
      </c>
      <c r="J755" s="3">
        <v>16</v>
      </c>
      <c r="K755" s="15">
        <f ca="1">IF(F755="Enrolled",TODAY()-E755,"0")</f>
        <v>1159</v>
      </c>
      <c r="L755" s="3" t="str">
        <f>IF(I755&gt;=3.5,"Excellent",IF(I755&gt;=3,"Good",IF(I755&gt;=2,"Average","Poor")))</f>
        <v>Average</v>
      </c>
      <c r="M755" s="3" t="str">
        <v>Dr.Sinha</v>
      </c>
      <c r="N755" s="3" t="str">
        <f>IF(H755 &gt; (G755*50%), "Yes", "No")</f>
        <v>Yes</v>
      </c>
      <c r="O755" s="16">
        <f>G755-H755</f>
        <v>-208</v>
      </c>
      <c r="P755" s="16">
        <f>SUMIFS(O755:O755,E755:E755,"Science",F755:F755,"Completed")</f>
        <v>0</v>
      </c>
      <c r="Q755" s="3" t="str">
        <f>IF(MONTH(E755)&gt;=7, YEAR(E755)&amp;"-"&amp;YEAR(E755)+1, YEAR(E755)-1&amp;"-"&amp;YEAR(E755))</f>
        <v>2022-2023</v>
      </c>
      <c r="R755" s="3"/>
      <c r="S755" s="3"/>
      <c r="T755" s="15" t="str">
        <f t="shared" ca="1" si="11"/>
        <v>0</v>
      </c>
      <c r="U755" s="3"/>
    </row>
    <row r="756" spans="1:21" x14ac:dyDescent="0.35">
      <c r="A756" s="3" t="s">
        <v>1533</v>
      </c>
      <c r="B756" s="3" t="s">
        <v>1534</v>
      </c>
      <c r="C756" s="3" t="s">
        <v>22</v>
      </c>
      <c r="D756" s="3" t="s">
        <v>62</v>
      </c>
      <c r="E756" s="6">
        <v>45444</v>
      </c>
      <c r="F756" s="3" t="s">
        <v>14</v>
      </c>
      <c r="G756" s="3">
        <v>11129</v>
      </c>
      <c r="H756" s="3">
        <v>7535</v>
      </c>
      <c r="I756" s="3">
        <v>2.5499999999999998</v>
      </c>
      <c r="J756" s="3">
        <v>103</v>
      </c>
      <c r="K756" s="15">
        <f ca="1">IF(F756="Enrolled",TODAY()-E756,"0")</f>
        <v>610</v>
      </c>
      <c r="L756" s="3" t="str">
        <f>IF(I756&gt;=3.5,"Excellent",IF(I756&gt;=3,"Good",IF(I756&gt;=2,"Average","Poor")))</f>
        <v>Average</v>
      </c>
      <c r="M756" s="3" t="str">
        <v>Dr.Sinha</v>
      </c>
      <c r="N756" s="3" t="str">
        <f>IF(H756 &gt; (G756*50%), "Yes", "No")</f>
        <v>Yes</v>
      </c>
      <c r="O756" s="16">
        <f>G756-H756</f>
        <v>3594</v>
      </c>
      <c r="P756" s="16">
        <f>SUMIFS(O756:O756,E756:E756,"Science",F756:F756,"Completed")</f>
        <v>0</v>
      </c>
      <c r="Q756" s="3" t="str">
        <f>IF(MONTH(E756)&gt;=7, YEAR(E756)&amp;"-"&amp;YEAR(E756)+1, YEAR(E756)-1&amp;"-"&amp;YEAR(E756))</f>
        <v>2023-2024</v>
      </c>
      <c r="R756" s="3"/>
      <c r="S756" s="3"/>
      <c r="T756" s="15" t="str">
        <f t="shared" ca="1" si="11"/>
        <v>0</v>
      </c>
      <c r="U756" s="3"/>
    </row>
    <row r="757" spans="1:21" x14ac:dyDescent="0.35">
      <c r="A757" s="3" t="s">
        <v>1535</v>
      </c>
      <c r="B757" s="3" t="s">
        <v>1536</v>
      </c>
      <c r="C757" s="3" t="s">
        <v>28</v>
      </c>
      <c r="D757" s="3" t="s">
        <v>13</v>
      </c>
      <c r="E757" s="6">
        <v>44862</v>
      </c>
      <c r="F757" s="3" t="s">
        <v>39</v>
      </c>
      <c r="G757" s="3">
        <v>6819</v>
      </c>
      <c r="H757" s="3">
        <v>1912</v>
      </c>
      <c r="I757" s="3">
        <v>3.5</v>
      </c>
      <c r="J757" s="3">
        <v>106</v>
      </c>
      <c r="K757" s="15" t="str">
        <f ca="1">IF(F757="Enrolled",TODAY()-E757,"0")</f>
        <v>0</v>
      </c>
      <c r="L757" s="3" t="str">
        <f>IF(I757&gt;=3.5,"Excellent",IF(I757&gt;=3,"Good",IF(I757&gt;=2,"Average","Poor")))</f>
        <v>Excellent</v>
      </c>
      <c r="M757" s="3" t="str">
        <v>Dr.Mehta</v>
      </c>
      <c r="N757" s="3" t="str">
        <f>IF(H757 &gt; (G757*50%), "Yes", "No")</f>
        <v>No</v>
      </c>
      <c r="O757" s="16">
        <f>G757-H757</f>
        <v>4907</v>
      </c>
      <c r="P757" s="16">
        <f>SUMIFS(O757:O757,E757:E757,"Science",F757:F757,"Completed")</f>
        <v>0</v>
      </c>
      <c r="Q757" s="3" t="str">
        <f>IF(MONTH(E757)&gt;=7, YEAR(E757)&amp;"-"&amp;YEAR(E757)+1, YEAR(E757)-1&amp;"-"&amp;YEAR(E757))</f>
        <v>2022-2023</v>
      </c>
      <c r="R757" s="3"/>
      <c r="S757" s="3"/>
      <c r="T757" s="15" t="str">
        <f t="shared" ca="1" si="11"/>
        <v>0</v>
      </c>
      <c r="U757" s="3"/>
    </row>
    <row r="758" spans="1:21" x14ac:dyDescent="0.35">
      <c r="A758" s="3" t="s">
        <v>1537</v>
      </c>
      <c r="B758" s="3" t="s">
        <v>1538</v>
      </c>
      <c r="C758" s="3" t="s">
        <v>28</v>
      </c>
      <c r="D758" s="3" t="s">
        <v>13</v>
      </c>
      <c r="E758" s="6">
        <v>44843</v>
      </c>
      <c r="F758" s="3" t="s">
        <v>19</v>
      </c>
      <c r="G758" s="3">
        <v>2016</v>
      </c>
      <c r="H758" s="3">
        <v>3726</v>
      </c>
      <c r="I758" s="3">
        <v>2.34</v>
      </c>
      <c r="J758" s="3">
        <v>68</v>
      </c>
      <c r="K758" s="15" t="str">
        <f ca="1">IF(F758="Enrolled",TODAY()-E758,"0")</f>
        <v>0</v>
      </c>
      <c r="L758" s="3" t="str">
        <f>IF(I758&gt;=3.5,"Excellent",IF(I758&gt;=3,"Good",IF(I758&gt;=2,"Average","Poor")))</f>
        <v>Average</v>
      </c>
      <c r="M758" s="3" t="str">
        <v>Dr.Mehta</v>
      </c>
      <c r="N758" s="3" t="str">
        <f>IF(H758 &gt; (G758*50%), "Yes", "No")</f>
        <v>Yes</v>
      </c>
      <c r="O758" s="16">
        <f>G758-H758</f>
        <v>-1710</v>
      </c>
      <c r="P758" s="16">
        <f>SUMIFS(O758:O758,E758:E758,"Science",F758:F758,"Completed")</f>
        <v>0</v>
      </c>
      <c r="Q758" s="3" t="str">
        <f>IF(MONTH(E758)&gt;=7, YEAR(E758)&amp;"-"&amp;YEAR(E758)+1, YEAR(E758)-1&amp;"-"&amp;YEAR(E758))</f>
        <v>2022-2023</v>
      </c>
      <c r="R758" s="3"/>
      <c r="S758" s="3"/>
      <c r="T758" s="15">
        <f t="shared" ca="1" si="11"/>
        <v>1211</v>
      </c>
      <c r="U758" s="3"/>
    </row>
    <row r="759" spans="1:21" x14ac:dyDescent="0.35">
      <c r="A759" s="3" t="s">
        <v>1539</v>
      </c>
      <c r="B759" s="3" t="s">
        <v>1540</v>
      </c>
      <c r="C759" s="3" t="s">
        <v>57</v>
      </c>
      <c r="D759" s="3" t="s">
        <v>31</v>
      </c>
      <c r="E759" s="6">
        <v>44686</v>
      </c>
      <c r="F759" s="3" t="s">
        <v>19</v>
      </c>
      <c r="G759" s="3">
        <v>4792</v>
      </c>
      <c r="H759" s="3">
        <v>8258</v>
      </c>
      <c r="I759" s="3">
        <v>2.34</v>
      </c>
      <c r="J759" s="3">
        <v>62</v>
      </c>
      <c r="K759" s="15" t="str">
        <f ca="1">IF(F759="Enrolled",TODAY()-E759,"0")</f>
        <v>0</v>
      </c>
      <c r="L759" s="3" t="str">
        <f>IF(I759&gt;=3.5,"Excellent",IF(I759&gt;=3,"Good",IF(I759&gt;=2,"Average","Poor")))</f>
        <v>Average</v>
      </c>
      <c r="M759" s="3" t="str">
        <v>Dr.Sharma</v>
      </c>
      <c r="N759" s="3" t="str">
        <f>IF(H759 &gt; (G759*50%), "Yes", "No")</f>
        <v>Yes</v>
      </c>
      <c r="O759" s="16">
        <f>G759-H759</f>
        <v>-3466</v>
      </c>
      <c r="P759" s="16">
        <f>SUMIFS(O759:O759,E759:E759,"Science",F759:F759,"Completed")</f>
        <v>0</v>
      </c>
      <c r="Q759" s="3" t="str">
        <f>IF(MONTH(E759)&gt;=7, YEAR(E759)&amp;"-"&amp;YEAR(E759)+1, YEAR(E759)-1&amp;"-"&amp;YEAR(E759))</f>
        <v>2021-2022</v>
      </c>
      <c r="R759" s="3"/>
      <c r="S759" s="3"/>
      <c r="T759" s="15">
        <f t="shared" ca="1" si="11"/>
        <v>1368</v>
      </c>
      <c r="U759" s="3"/>
    </row>
    <row r="760" spans="1:21" x14ac:dyDescent="0.35">
      <c r="A760" s="3" t="s">
        <v>1541</v>
      </c>
      <c r="B760" s="3" t="s">
        <v>1542</v>
      </c>
      <c r="C760" s="3" t="s">
        <v>57</v>
      </c>
      <c r="D760" s="3" t="s">
        <v>31</v>
      </c>
      <c r="E760" s="6">
        <v>44713</v>
      </c>
      <c r="F760" s="3" t="s">
        <v>19</v>
      </c>
      <c r="G760" s="3">
        <v>11623</v>
      </c>
      <c r="H760" s="3">
        <v>4266</v>
      </c>
      <c r="I760" s="3">
        <v>2.66</v>
      </c>
      <c r="J760" s="3">
        <v>104</v>
      </c>
      <c r="K760" s="15" t="str">
        <f ca="1">IF(F760="Enrolled",TODAY()-E760,"0")</f>
        <v>0</v>
      </c>
      <c r="L760" s="3" t="str">
        <f>IF(I760&gt;=3.5,"Excellent",IF(I760&gt;=3,"Good",IF(I760&gt;=2,"Average","Poor")))</f>
        <v>Average</v>
      </c>
      <c r="M760" s="3" t="str">
        <v>Dr.Sharma</v>
      </c>
      <c r="N760" s="3" t="str">
        <f>IF(H760 &gt; (G760*50%), "Yes", "No")</f>
        <v>No</v>
      </c>
      <c r="O760" s="16">
        <f>G760-H760</f>
        <v>7357</v>
      </c>
      <c r="P760" s="16">
        <f>SUMIFS(O760:O760,E760:E760,"Science",F760:F760,"Completed")</f>
        <v>0</v>
      </c>
      <c r="Q760" s="3" t="str">
        <f>IF(MONTH(E760)&gt;=7, YEAR(E760)&amp;"-"&amp;YEAR(E760)+1, YEAR(E760)-1&amp;"-"&amp;YEAR(E760))</f>
        <v>2021-2022</v>
      </c>
      <c r="R760" s="3"/>
      <c r="S760" s="3"/>
      <c r="T760" s="15">
        <f t="shared" ca="1" si="11"/>
        <v>1341</v>
      </c>
      <c r="U760" s="3"/>
    </row>
    <row r="761" spans="1:21" x14ac:dyDescent="0.35">
      <c r="A761" s="3" t="s">
        <v>1543</v>
      </c>
      <c r="B761" s="3" t="s">
        <v>1544</v>
      </c>
      <c r="C761" s="3" t="s">
        <v>25</v>
      </c>
      <c r="D761" s="3" t="s">
        <v>31</v>
      </c>
      <c r="E761" s="6">
        <v>44912</v>
      </c>
      <c r="F761" s="3" t="s">
        <v>14</v>
      </c>
      <c r="G761" s="3">
        <v>8319</v>
      </c>
      <c r="H761" s="3">
        <v>8308</v>
      </c>
      <c r="I761" s="3">
        <v>2.27</v>
      </c>
      <c r="J761" s="3">
        <v>50</v>
      </c>
      <c r="K761" s="15">
        <f ca="1">IF(F761="Enrolled",TODAY()-E761,"0")</f>
        <v>1142</v>
      </c>
      <c r="L761" s="3" t="str">
        <f>IF(I761&gt;=3.5,"Excellent",IF(I761&gt;=3,"Good",IF(I761&gt;=2,"Average","Poor")))</f>
        <v>Average</v>
      </c>
      <c r="M761" s="3" t="str">
        <v>Dr.Sharma</v>
      </c>
      <c r="N761" s="3" t="str">
        <f>IF(H761 &gt; (G761*50%), "Yes", "No")</f>
        <v>Yes</v>
      </c>
      <c r="O761" s="16">
        <f>G761-H761</f>
        <v>11</v>
      </c>
      <c r="P761" s="16">
        <f>SUMIFS(O761:O761,E761:E761,"Science",F761:F761,"Completed")</f>
        <v>0</v>
      </c>
      <c r="Q761" s="3" t="str">
        <f>IF(MONTH(E761)&gt;=7, YEAR(E761)&amp;"-"&amp;YEAR(E761)+1, YEAR(E761)-1&amp;"-"&amp;YEAR(E761))</f>
        <v>2022-2023</v>
      </c>
      <c r="R761" s="3"/>
      <c r="S761" s="3"/>
      <c r="T761" s="15" t="str">
        <f t="shared" ca="1" si="11"/>
        <v>0</v>
      </c>
      <c r="U761" s="3"/>
    </row>
    <row r="762" spans="1:21" x14ac:dyDescent="0.35">
      <c r="A762" s="3" t="s">
        <v>1545</v>
      </c>
      <c r="B762" s="3" t="s">
        <v>1546</v>
      </c>
      <c r="C762" s="3" t="s">
        <v>12</v>
      </c>
      <c r="D762" s="3" t="s">
        <v>13</v>
      </c>
      <c r="E762" s="6">
        <v>45045</v>
      </c>
      <c r="F762" s="3" t="s">
        <v>14</v>
      </c>
      <c r="G762" s="3">
        <v>8191</v>
      </c>
      <c r="H762" s="3">
        <v>3306</v>
      </c>
      <c r="I762" s="3">
        <v>2.2400000000000002</v>
      </c>
      <c r="J762" s="3">
        <v>73</v>
      </c>
      <c r="K762" s="15">
        <f ca="1">IF(F762="Enrolled",TODAY()-E762,"0")</f>
        <v>1009</v>
      </c>
      <c r="L762" s="3" t="str">
        <f>IF(I762&gt;=3.5,"Excellent",IF(I762&gt;=3,"Good",IF(I762&gt;=2,"Average","Poor")))</f>
        <v>Average</v>
      </c>
      <c r="M762" s="3" t="str">
        <v>Dr.Mehta</v>
      </c>
      <c r="N762" s="3" t="str">
        <f>IF(H762 &gt; (G762*50%), "Yes", "No")</f>
        <v>No</v>
      </c>
      <c r="O762" s="16">
        <f>G762-H762</f>
        <v>4885</v>
      </c>
      <c r="P762" s="16">
        <f>SUMIFS(O762:O762,E762:E762,"Science",F762:F762,"Completed")</f>
        <v>0</v>
      </c>
      <c r="Q762" s="3" t="str">
        <f>IF(MONTH(E762)&gt;=7, YEAR(E762)&amp;"-"&amp;YEAR(E762)+1, YEAR(E762)-1&amp;"-"&amp;YEAR(E762))</f>
        <v>2022-2023</v>
      </c>
      <c r="R762" s="3"/>
      <c r="S762" s="3"/>
      <c r="T762" s="15" t="str">
        <f t="shared" ca="1" si="11"/>
        <v>0</v>
      </c>
      <c r="U762" s="3"/>
    </row>
    <row r="763" spans="1:21" x14ac:dyDescent="0.35">
      <c r="A763" s="3" t="s">
        <v>1547</v>
      </c>
      <c r="B763" s="3" t="s">
        <v>1548</v>
      </c>
      <c r="C763" s="3" t="s">
        <v>22</v>
      </c>
      <c r="D763" s="3" t="s">
        <v>13</v>
      </c>
      <c r="E763" s="6">
        <v>44802</v>
      </c>
      <c r="F763" s="3" t="s">
        <v>14</v>
      </c>
      <c r="G763" s="3">
        <v>7244</v>
      </c>
      <c r="H763" s="3">
        <v>2886</v>
      </c>
      <c r="I763" s="3">
        <v>3.52</v>
      </c>
      <c r="J763" s="3">
        <v>57</v>
      </c>
      <c r="K763" s="15">
        <f ca="1">IF(F763="Enrolled",TODAY()-E763,"0")</f>
        <v>1252</v>
      </c>
      <c r="L763" s="3" t="str">
        <f>IF(I763&gt;=3.5,"Excellent",IF(I763&gt;=3,"Good",IF(I763&gt;=2,"Average","Poor")))</f>
        <v>Excellent</v>
      </c>
      <c r="M763" s="3" t="str">
        <v>Dr.Mehta</v>
      </c>
      <c r="N763" s="3" t="str">
        <f>IF(H763 &gt; (G763*50%), "Yes", "No")</f>
        <v>No</v>
      </c>
      <c r="O763" s="16">
        <f>G763-H763</f>
        <v>4358</v>
      </c>
      <c r="P763" s="16">
        <f>SUMIFS(O763:O763,E763:E763,"Science",F763:F763,"Completed")</f>
        <v>0</v>
      </c>
      <c r="Q763" s="3" t="str">
        <f>IF(MONTH(E763)&gt;=7, YEAR(E763)&amp;"-"&amp;YEAR(E763)+1, YEAR(E763)-1&amp;"-"&amp;YEAR(E763))</f>
        <v>2022-2023</v>
      </c>
      <c r="R763" s="3"/>
      <c r="S763" s="3"/>
      <c r="T763" s="15" t="str">
        <f t="shared" ca="1" si="11"/>
        <v>0</v>
      </c>
      <c r="U763" s="3"/>
    </row>
    <row r="764" spans="1:21" x14ac:dyDescent="0.35">
      <c r="A764" s="3" t="s">
        <v>1549</v>
      </c>
      <c r="B764" s="3" t="s">
        <v>1550</v>
      </c>
      <c r="C764" s="3" t="s">
        <v>25</v>
      </c>
      <c r="D764" s="3" t="s">
        <v>13</v>
      </c>
      <c r="E764" s="6">
        <v>44787</v>
      </c>
      <c r="F764" s="3" t="s">
        <v>14</v>
      </c>
      <c r="G764" s="3">
        <v>9367</v>
      </c>
      <c r="H764" s="3">
        <v>4635</v>
      </c>
      <c r="I764" s="3">
        <v>3.44</v>
      </c>
      <c r="J764" s="3">
        <v>74</v>
      </c>
      <c r="K764" s="15">
        <f ca="1">IF(F764="Enrolled",TODAY()-E764,"0")</f>
        <v>1267</v>
      </c>
      <c r="L764" s="3" t="str">
        <f>IF(I764&gt;=3.5,"Excellent",IF(I764&gt;=3,"Good",IF(I764&gt;=2,"Average","Poor")))</f>
        <v>Good</v>
      </c>
      <c r="M764" s="3" t="str">
        <v>Dr.Mehta</v>
      </c>
      <c r="N764" s="3" t="str">
        <f>IF(H764 &gt; (G764*50%), "Yes", "No")</f>
        <v>No</v>
      </c>
      <c r="O764" s="16">
        <f>G764-H764</f>
        <v>4732</v>
      </c>
      <c r="P764" s="16">
        <f>SUMIFS(O764:O764,E764:E764,"Science",F764:F764,"Completed")</f>
        <v>0</v>
      </c>
      <c r="Q764" s="3" t="str">
        <f>IF(MONTH(E764)&gt;=7, YEAR(E764)&amp;"-"&amp;YEAR(E764)+1, YEAR(E764)-1&amp;"-"&amp;YEAR(E764))</f>
        <v>2022-2023</v>
      </c>
      <c r="R764" s="3"/>
      <c r="S764" s="3"/>
      <c r="T764" s="15" t="str">
        <f t="shared" ca="1" si="11"/>
        <v>0</v>
      </c>
      <c r="U764" s="3"/>
    </row>
    <row r="765" spans="1:21" x14ac:dyDescent="0.35">
      <c r="A765" s="3" t="s">
        <v>1551</v>
      </c>
      <c r="B765" s="3" t="s">
        <v>1552</v>
      </c>
      <c r="C765" s="3" t="s">
        <v>25</v>
      </c>
      <c r="D765" s="3" t="s">
        <v>13</v>
      </c>
      <c r="E765" s="6">
        <v>45311</v>
      </c>
      <c r="F765" s="3" t="s">
        <v>14</v>
      </c>
      <c r="G765" s="3">
        <v>10808</v>
      </c>
      <c r="H765" s="3">
        <v>7607</v>
      </c>
      <c r="I765" s="3">
        <v>3.05</v>
      </c>
      <c r="J765" s="3">
        <v>0</v>
      </c>
      <c r="K765" s="15">
        <f ca="1">IF(F765="Enrolled",TODAY()-E765,"0")</f>
        <v>743</v>
      </c>
      <c r="L765" s="3" t="str">
        <f>IF(I765&gt;=3.5,"Excellent",IF(I765&gt;=3,"Good",IF(I765&gt;=2,"Average","Poor")))</f>
        <v>Good</v>
      </c>
      <c r="M765" s="3" t="str">
        <v>Dr.Mehta</v>
      </c>
      <c r="N765" s="3" t="str">
        <f>IF(H765 &gt; (G765*50%), "Yes", "No")</f>
        <v>Yes</v>
      </c>
      <c r="O765" s="16">
        <f>G765-H765</f>
        <v>3201</v>
      </c>
      <c r="P765" s="16">
        <f>SUMIFS(O765:O765,E765:E765,"Science",F765:F765,"Completed")</f>
        <v>0</v>
      </c>
      <c r="Q765" s="3" t="str">
        <f>IF(MONTH(E765)&gt;=7, YEAR(E765)&amp;"-"&amp;YEAR(E765)+1, YEAR(E765)-1&amp;"-"&amp;YEAR(E765))</f>
        <v>2023-2024</v>
      </c>
      <c r="R765" s="3"/>
      <c r="S765" s="3"/>
      <c r="T765" s="15" t="str">
        <f t="shared" ca="1" si="11"/>
        <v>0</v>
      </c>
      <c r="U765" s="3"/>
    </row>
    <row r="766" spans="1:21" x14ac:dyDescent="0.35">
      <c r="A766" s="3" t="s">
        <v>1553</v>
      </c>
      <c r="B766" s="3" t="s">
        <v>1554</v>
      </c>
      <c r="C766" s="3" t="s">
        <v>28</v>
      </c>
      <c r="D766" s="3" t="s">
        <v>13</v>
      </c>
      <c r="E766" s="6">
        <v>45003</v>
      </c>
      <c r="F766" s="3" t="s">
        <v>14</v>
      </c>
      <c r="G766" s="3">
        <v>8446</v>
      </c>
      <c r="H766" s="3">
        <v>1368</v>
      </c>
      <c r="I766" s="3">
        <v>2.1</v>
      </c>
      <c r="J766" s="3">
        <v>112</v>
      </c>
      <c r="K766" s="15">
        <f ca="1">IF(F766="Enrolled",TODAY()-E766,"0")</f>
        <v>1051</v>
      </c>
      <c r="L766" s="3" t="str">
        <f>IF(I766&gt;=3.5,"Excellent",IF(I766&gt;=3,"Good",IF(I766&gt;=2,"Average","Poor")))</f>
        <v>Average</v>
      </c>
      <c r="M766" s="3" t="str">
        <v>Dr.Mehta</v>
      </c>
      <c r="N766" s="3" t="str">
        <f>IF(H766 &gt; (G766*50%), "Yes", "No")</f>
        <v>No</v>
      </c>
      <c r="O766" s="16">
        <f>G766-H766</f>
        <v>7078</v>
      </c>
      <c r="P766" s="16">
        <f>SUMIFS(O766:O766,E766:E766,"Science",F766:F766,"Completed")</f>
        <v>0</v>
      </c>
      <c r="Q766" s="3" t="str">
        <f>IF(MONTH(E766)&gt;=7, YEAR(E766)&amp;"-"&amp;YEAR(E766)+1, YEAR(E766)-1&amp;"-"&amp;YEAR(E766))</f>
        <v>2022-2023</v>
      </c>
      <c r="R766" s="3"/>
      <c r="S766" s="3"/>
      <c r="T766" s="15" t="str">
        <f t="shared" ca="1" si="11"/>
        <v>0</v>
      </c>
      <c r="U766" s="3"/>
    </row>
    <row r="767" spans="1:21" x14ac:dyDescent="0.35">
      <c r="A767" s="3" t="s">
        <v>1555</v>
      </c>
      <c r="B767" s="3" t="s">
        <v>1556</v>
      </c>
      <c r="C767" s="3" t="s">
        <v>28</v>
      </c>
      <c r="D767" s="3" t="s">
        <v>13</v>
      </c>
      <c r="E767" s="6">
        <v>45285</v>
      </c>
      <c r="F767" s="3" t="s">
        <v>14</v>
      </c>
      <c r="G767" s="3">
        <v>2490</v>
      </c>
      <c r="H767" s="3">
        <v>8720</v>
      </c>
      <c r="I767" s="3">
        <v>2.14</v>
      </c>
      <c r="J767" s="3">
        <v>12</v>
      </c>
      <c r="K767" s="15">
        <f ca="1">IF(F767="Enrolled",TODAY()-E767,"0")</f>
        <v>769</v>
      </c>
      <c r="L767" s="3" t="str">
        <f>IF(I767&gt;=3.5,"Excellent",IF(I767&gt;=3,"Good",IF(I767&gt;=2,"Average","Poor")))</f>
        <v>Average</v>
      </c>
      <c r="M767" s="3" t="str">
        <v>Dr.Mehta</v>
      </c>
      <c r="N767" s="3" t="str">
        <f>IF(H767 &gt; (G767*50%), "Yes", "No")</f>
        <v>Yes</v>
      </c>
      <c r="O767" s="16">
        <f>G767-H767</f>
        <v>-6230</v>
      </c>
      <c r="P767" s="16">
        <f>SUMIFS(O767:O767,E767:E767,"Science",F767:F767,"Completed")</f>
        <v>0</v>
      </c>
      <c r="Q767" s="3" t="str">
        <f>IF(MONTH(E767)&gt;=7, YEAR(E767)&amp;"-"&amp;YEAR(E767)+1, YEAR(E767)-1&amp;"-"&amp;YEAR(E767))</f>
        <v>2023-2024</v>
      </c>
      <c r="R767" s="3"/>
      <c r="S767" s="3"/>
      <c r="T767" s="15" t="str">
        <f t="shared" ca="1" si="11"/>
        <v>0</v>
      </c>
      <c r="U767" s="3"/>
    </row>
    <row r="768" spans="1:21" x14ac:dyDescent="0.35">
      <c r="A768" s="3" t="s">
        <v>1557</v>
      </c>
      <c r="B768" s="3" t="s">
        <v>1558</v>
      </c>
      <c r="C768" s="3" t="s">
        <v>22</v>
      </c>
      <c r="D768" s="3" t="s">
        <v>31</v>
      </c>
      <c r="E768" s="6">
        <v>44728</v>
      </c>
      <c r="F768" s="3" t="s">
        <v>19</v>
      </c>
      <c r="G768" s="3">
        <v>11291</v>
      </c>
      <c r="H768" s="3">
        <v>3997</v>
      </c>
      <c r="I768" s="3">
        <v>2.1</v>
      </c>
      <c r="J768" s="3">
        <v>74</v>
      </c>
      <c r="K768" s="15" t="str">
        <f ca="1">IF(F768="Enrolled",TODAY()-E768,"0")</f>
        <v>0</v>
      </c>
      <c r="L768" s="3" t="str">
        <f>IF(I768&gt;=3.5,"Excellent",IF(I768&gt;=3,"Good",IF(I768&gt;=2,"Average","Poor")))</f>
        <v>Average</v>
      </c>
      <c r="M768" s="3" t="str">
        <v>Dr.Sharma</v>
      </c>
      <c r="N768" s="3" t="str">
        <f>IF(H768 &gt; (G768*50%), "Yes", "No")</f>
        <v>No</v>
      </c>
      <c r="O768" s="16">
        <f>G768-H768</f>
        <v>7294</v>
      </c>
      <c r="P768" s="16">
        <f>SUMIFS(O768:O768,E768:E768,"Science",F768:F768,"Completed")</f>
        <v>0</v>
      </c>
      <c r="Q768" s="3" t="str">
        <f>IF(MONTH(E768)&gt;=7, YEAR(E768)&amp;"-"&amp;YEAR(E768)+1, YEAR(E768)-1&amp;"-"&amp;YEAR(E768))</f>
        <v>2021-2022</v>
      </c>
      <c r="R768" s="3"/>
      <c r="S768" s="3"/>
      <c r="T768" s="15">
        <f t="shared" ca="1" si="11"/>
        <v>1326</v>
      </c>
      <c r="U768" s="3"/>
    </row>
    <row r="769" spans="1:21" x14ac:dyDescent="0.35">
      <c r="A769" s="3" t="s">
        <v>1559</v>
      </c>
      <c r="B769" s="3" t="s">
        <v>1560</v>
      </c>
      <c r="C769" s="3" t="s">
        <v>28</v>
      </c>
      <c r="D769" s="3" t="s">
        <v>18</v>
      </c>
      <c r="E769" s="6">
        <v>44824</v>
      </c>
      <c r="F769" s="3" t="s">
        <v>14</v>
      </c>
      <c r="G769" s="3">
        <v>4470</v>
      </c>
      <c r="H769" s="3">
        <v>5720</v>
      </c>
      <c r="I769" s="3">
        <v>2.62</v>
      </c>
      <c r="J769" s="3">
        <v>24</v>
      </c>
      <c r="K769" s="15">
        <f ca="1">IF(F769="Enrolled",TODAY()-E769,"0")</f>
        <v>1230</v>
      </c>
      <c r="L769" s="3" t="str">
        <f>IF(I769&gt;=3.5,"Excellent",IF(I769&gt;=3,"Good",IF(I769&gt;=2,"Average","Poor")))</f>
        <v>Average</v>
      </c>
      <c r="M769" s="3" t="str">
        <v>Dr.Roy</v>
      </c>
      <c r="N769" s="3" t="str">
        <f>IF(H769 &gt; (G769*50%), "Yes", "No")</f>
        <v>Yes</v>
      </c>
      <c r="O769" s="16">
        <f>G769-H769</f>
        <v>-1250</v>
      </c>
      <c r="P769" s="16">
        <f>SUMIFS(O769:O769,E769:E769,"Science",F769:F769,"Completed")</f>
        <v>0</v>
      </c>
      <c r="Q769" s="3" t="str">
        <f>IF(MONTH(E769)&gt;=7, YEAR(E769)&amp;"-"&amp;YEAR(E769)+1, YEAR(E769)-1&amp;"-"&amp;YEAR(E769))</f>
        <v>2022-2023</v>
      </c>
      <c r="R769" s="3"/>
      <c r="S769" s="3"/>
      <c r="T769" s="15" t="str">
        <f t="shared" ca="1" si="11"/>
        <v>0</v>
      </c>
      <c r="U769" s="3"/>
    </row>
    <row r="770" spans="1:21" x14ac:dyDescent="0.35">
      <c r="A770" s="3" t="s">
        <v>1561</v>
      </c>
      <c r="B770" s="3" t="s">
        <v>1562</v>
      </c>
      <c r="C770" s="3" t="s">
        <v>22</v>
      </c>
      <c r="D770" s="3" t="s">
        <v>62</v>
      </c>
      <c r="E770" s="6">
        <v>45036</v>
      </c>
      <c r="F770" s="3" t="s">
        <v>39</v>
      </c>
      <c r="G770" s="3">
        <v>8068</v>
      </c>
      <c r="H770" s="3">
        <v>1190</v>
      </c>
      <c r="I770" s="3">
        <v>3.28</v>
      </c>
      <c r="J770" s="3">
        <v>39</v>
      </c>
      <c r="K770" s="15" t="str">
        <f ca="1">IF(F770="Enrolled",TODAY()-E770,"0")</f>
        <v>0</v>
      </c>
      <c r="L770" s="3" t="str">
        <f>IF(I770&gt;=3.5,"Excellent",IF(I770&gt;=3,"Good",IF(I770&gt;=2,"Average","Poor")))</f>
        <v>Good</v>
      </c>
      <c r="M770" s="3" t="str">
        <v>Dr.Sinha</v>
      </c>
      <c r="N770" s="3" t="str">
        <f>IF(H770 &gt; (G770*50%), "Yes", "No")</f>
        <v>No</v>
      </c>
      <c r="O770" s="16">
        <f>G770-H770</f>
        <v>6878</v>
      </c>
      <c r="P770" s="16">
        <f>SUMIFS(O770:O770,E770:E770,"Science",F770:F770,"Completed")</f>
        <v>0</v>
      </c>
      <c r="Q770" s="3" t="str">
        <f>IF(MONTH(E770)&gt;=7, YEAR(E770)&amp;"-"&amp;YEAR(E770)+1, YEAR(E770)-1&amp;"-"&amp;YEAR(E770))</f>
        <v>2022-2023</v>
      </c>
      <c r="R770" s="3"/>
      <c r="S770" s="3"/>
      <c r="T770" s="15" t="str">
        <f t="shared" ca="1" si="11"/>
        <v>0</v>
      </c>
      <c r="U770" s="3"/>
    </row>
    <row r="771" spans="1:21" x14ac:dyDescent="0.35">
      <c r="A771" s="3" t="s">
        <v>1563</v>
      </c>
      <c r="B771" s="3" t="s">
        <v>1564</v>
      </c>
      <c r="C771" s="3" t="s">
        <v>54</v>
      </c>
      <c r="D771" s="3" t="s">
        <v>18</v>
      </c>
      <c r="E771" s="6">
        <v>44765</v>
      </c>
      <c r="F771" s="3" t="s">
        <v>19</v>
      </c>
      <c r="G771" s="3">
        <v>2556</v>
      </c>
      <c r="H771" s="3">
        <v>3049</v>
      </c>
      <c r="I771" s="3">
        <v>3.23</v>
      </c>
      <c r="J771" s="3">
        <v>66</v>
      </c>
      <c r="K771" s="15" t="str">
        <f ca="1">IF(F771="Enrolled",TODAY()-E771,"0")</f>
        <v>0</v>
      </c>
      <c r="L771" s="3" t="str">
        <f>IF(I771&gt;=3.5,"Excellent",IF(I771&gt;=3,"Good",IF(I771&gt;=2,"Average","Poor")))</f>
        <v>Good</v>
      </c>
      <c r="M771" s="3" t="str">
        <v>Dr.Roy</v>
      </c>
      <c r="N771" s="3" t="str">
        <f>IF(H771 &gt; (G771*50%), "Yes", "No")</f>
        <v>Yes</v>
      </c>
      <c r="O771" s="16">
        <f>G771-H771</f>
        <v>-493</v>
      </c>
      <c r="P771" s="16">
        <f>SUMIFS(O771:O771,E771:E771,"Science",F771:F771,"Completed")</f>
        <v>0</v>
      </c>
      <c r="Q771" s="3" t="str">
        <f>IF(MONTH(E771)&gt;=7, YEAR(E771)&amp;"-"&amp;YEAR(E771)+1, YEAR(E771)-1&amp;"-"&amp;YEAR(E771))</f>
        <v>2022-2023</v>
      </c>
      <c r="R771" s="3"/>
      <c r="S771" s="3"/>
      <c r="T771" s="15">
        <f t="shared" ref="T771:T834" ca="1" si="12">IF(F771="Completed",TODAY()-E771,"0")</f>
        <v>1289</v>
      </c>
      <c r="U771" s="3"/>
    </row>
    <row r="772" spans="1:21" x14ac:dyDescent="0.35">
      <c r="A772" s="3" t="s">
        <v>1565</v>
      </c>
      <c r="B772" s="3" t="s">
        <v>1566</v>
      </c>
      <c r="C772" s="3" t="s">
        <v>17</v>
      </c>
      <c r="D772" s="3" t="s">
        <v>31</v>
      </c>
      <c r="E772" s="6">
        <v>45205</v>
      </c>
      <c r="F772" s="3" t="s">
        <v>19</v>
      </c>
      <c r="G772" s="3">
        <v>13388</v>
      </c>
      <c r="H772" s="3">
        <v>4708</v>
      </c>
      <c r="I772" s="3">
        <v>2.65</v>
      </c>
      <c r="J772" s="3">
        <v>114</v>
      </c>
      <c r="K772" s="15" t="str">
        <f ca="1">IF(F772="Enrolled",TODAY()-E772,"0")</f>
        <v>0</v>
      </c>
      <c r="L772" s="3" t="str">
        <f>IF(I772&gt;=3.5,"Excellent",IF(I772&gt;=3,"Good",IF(I772&gt;=2,"Average","Poor")))</f>
        <v>Average</v>
      </c>
      <c r="M772" s="3" t="str">
        <v>Dr.Sharma</v>
      </c>
      <c r="N772" s="3" t="str">
        <f>IF(H772 &gt; (G772*50%), "Yes", "No")</f>
        <v>No</v>
      </c>
      <c r="O772" s="16">
        <f>G772-H772</f>
        <v>8680</v>
      </c>
      <c r="P772" s="16">
        <f>SUMIFS(O772:O772,E772:E772,"Science",F772:F772,"Completed")</f>
        <v>0</v>
      </c>
      <c r="Q772" s="3" t="str">
        <f>IF(MONTH(E772)&gt;=7, YEAR(E772)&amp;"-"&amp;YEAR(E772)+1, YEAR(E772)-1&amp;"-"&amp;YEAR(E772))</f>
        <v>2023-2024</v>
      </c>
      <c r="R772" s="3"/>
      <c r="S772" s="3"/>
      <c r="T772" s="15">
        <f t="shared" ca="1" si="12"/>
        <v>849</v>
      </c>
      <c r="U772" s="3"/>
    </row>
    <row r="773" spans="1:21" x14ac:dyDescent="0.35">
      <c r="A773" s="3" t="s">
        <v>1567</v>
      </c>
      <c r="B773" s="3" t="s">
        <v>1568</v>
      </c>
      <c r="C773" s="3" t="s">
        <v>22</v>
      </c>
      <c r="D773" s="3" t="s">
        <v>13</v>
      </c>
      <c r="E773" s="6">
        <v>45350</v>
      </c>
      <c r="F773" s="3" t="s">
        <v>14</v>
      </c>
      <c r="G773" s="3">
        <v>8490</v>
      </c>
      <c r="H773" s="3">
        <v>5406</v>
      </c>
      <c r="I773" s="3">
        <v>3.29</v>
      </c>
      <c r="J773" s="3">
        <v>51</v>
      </c>
      <c r="K773" s="15">
        <f ca="1">IF(F773="Enrolled",TODAY()-E773,"0")</f>
        <v>704</v>
      </c>
      <c r="L773" s="3" t="str">
        <f>IF(I773&gt;=3.5,"Excellent",IF(I773&gt;=3,"Good",IF(I773&gt;=2,"Average","Poor")))</f>
        <v>Good</v>
      </c>
      <c r="M773" s="3" t="str">
        <v>Dr.Mehta</v>
      </c>
      <c r="N773" s="3" t="str">
        <f>IF(H773 &gt; (G773*50%), "Yes", "No")</f>
        <v>Yes</v>
      </c>
      <c r="O773" s="16">
        <f>G773-H773</f>
        <v>3084</v>
      </c>
      <c r="P773" s="16">
        <f>SUMIFS(O773:O773,E773:E773,"Science",F773:F773,"Completed")</f>
        <v>0</v>
      </c>
      <c r="Q773" s="3" t="str">
        <f>IF(MONTH(E773)&gt;=7, YEAR(E773)&amp;"-"&amp;YEAR(E773)+1, YEAR(E773)-1&amp;"-"&amp;YEAR(E773))</f>
        <v>2023-2024</v>
      </c>
      <c r="R773" s="3"/>
      <c r="S773" s="3"/>
      <c r="T773" s="15" t="str">
        <f t="shared" ca="1" si="12"/>
        <v>0</v>
      </c>
      <c r="U773" s="3"/>
    </row>
    <row r="774" spans="1:21" x14ac:dyDescent="0.35">
      <c r="A774" s="3" t="s">
        <v>1569</v>
      </c>
      <c r="B774" s="3" t="s">
        <v>1570</v>
      </c>
      <c r="C774" s="3" t="s">
        <v>17</v>
      </c>
      <c r="D774" s="3" t="s">
        <v>31</v>
      </c>
      <c r="E774" s="6">
        <v>45355</v>
      </c>
      <c r="F774" s="3" t="s">
        <v>14</v>
      </c>
      <c r="G774" s="3">
        <v>5597</v>
      </c>
      <c r="H774" s="3">
        <v>449</v>
      </c>
      <c r="I774" s="3">
        <v>3.8</v>
      </c>
      <c r="J774" s="3">
        <v>106</v>
      </c>
      <c r="K774" s="15">
        <f ca="1">IF(F774="Enrolled",TODAY()-E774,"0")</f>
        <v>699</v>
      </c>
      <c r="L774" s="3" t="str">
        <f>IF(I774&gt;=3.5,"Excellent",IF(I774&gt;=3,"Good",IF(I774&gt;=2,"Average","Poor")))</f>
        <v>Excellent</v>
      </c>
      <c r="M774" s="3" t="str">
        <v>Dr.Sharma</v>
      </c>
      <c r="N774" s="3" t="str">
        <f>IF(H774 &gt; (G774*50%), "Yes", "No")</f>
        <v>No</v>
      </c>
      <c r="O774" s="16">
        <f>G774-H774</f>
        <v>5148</v>
      </c>
      <c r="P774" s="16">
        <f>SUMIFS(O774:O774,E774:E774,"Science",F774:F774,"Completed")</f>
        <v>0</v>
      </c>
      <c r="Q774" s="3" t="str">
        <f>IF(MONTH(E774)&gt;=7, YEAR(E774)&amp;"-"&amp;YEAR(E774)+1, YEAR(E774)-1&amp;"-"&amp;YEAR(E774))</f>
        <v>2023-2024</v>
      </c>
      <c r="R774" s="3"/>
      <c r="S774" s="3"/>
      <c r="T774" s="15" t="str">
        <f t="shared" ca="1" si="12"/>
        <v>0</v>
      </c>
      <c r="U774" s="3"/>
    </row>
    <row r="775" spans="1:21" x14ac:dyDescent="0.35">
      <c r="A775" s="3" t="s">
        <v>1571</v>
      </c>
      <c r="B775" s="3" t="s">
        <v>1572</v>
      </c>
      <c r="C775" s="3" t="s">
        <v>36</v>
      </c>
      <c r="D775" s="3" t="s">
        <v>18</v>
      </c>
      <c r="E775" s="6">
        <v>44735</v>
      </c>
      <c r="F775" s="3" t="s">
        <v>19</v>
      </c>
      <c r="G775" s="3">
        <v>3334</v>
      </c>
      <c r="H775" s="3">
        <v>4265</v>
      </c>
      <c r="I775" s="3">
        <v>2.79</v>
      </c>
      <c r="J775" s="3">
        <v>49</v>
      </c>
      <c r="K775" s="15" t="str">
        <f ca="1">IF(F775="Enrolled",TODAY()-E775,"0")</f>
        <v>0</v>
      </c>
      <c r="L775" s="3" t="str">
        <f>IF(I775&gt;=3.5,"Excellent",IF(I775&gt;=3,"Good",IF(I775&gt;=2,"Average","Poor")))</f>
        <v>Average</v>
      </c>
      <c r="M775" s="3" t="str">
        <v>Dr.Roy</v>
      </c>
      <c r="N775" s="3" t="str">
        <f>IF(H775 &gt; (G775*50%), "Yes", "No")</f>
        <v>Yes</v>
      </c>
      <c r="O775" s="16">
        <f>G775-H775</f>
        <v>-931</v>
      </c>
      <c r="P775" s="16">
        <f>SUMIFS(O775:O775,E775:E775,"Science",F775:F775,"Completed")</f>
        <v>0</v>
      </c>
      <c r="Q775" s="3" t="str">
        <f>IF(MONTH(E775)&gt;=7, YEAR(E775)&amp;"-"&amp;YEAR(E775)+1, YEAR(E775)-1&amp;"-"&amp;YEAR(E775))</f>
        <v>2021-2022</v>
      </c>
      <c r="R775" s="3"/>
      <c r="S775" s="3"/>
      <c r="T775" s="15">
        <f t="shared" ca="1" si="12"/>
        <v>1319</v>
      </c>
      <c r="U775" s="3"/>
    </row>
    <row r="776" spans="1:21" x14ac:dyDescent="0.35">
      <c r="A776" s="3" t="s">
        <v>1573</v>
      </c>
      <c r="B776" s="3" t="s">
        <v>1574</v>
      </c>
      <c r="C776" s="3" t="s">
        <v>25</v>
      </c>
      <c r="D776" s="3" t="s">
        <v>62</v>
      </c>
      <c r="E776" s="6">
        <v>44982</v>
      </c>
      <c r="F776" s="3" t="s">
        <v>14</v>
      </c>
      <c r="G776" s="3">
        <v>5127</v>
      </c>
      <c r="H776" s="3">
        <v>1138</v>
      </c>
      <c r="I776" s="3">
        <v>2.08</v>
      </c>
      <c r="J776" s="3">
        <v>109</v>
      </c>
      <c r="K776" s="15">
        <f ca="1">IF(F776="Enrolled",TODAY()-E776,"0")</f>
        <v>1072</v>
      </c>
      <c r="L776" s="3" t="str">
        <f>IF(I776&gt;=3.5,"Excellent",IF(I776&gt;=3,"Good",IF(I776&gt;=2,"Average","Poor")))</f>
        <v>Average</v>
      </c>
      <c r="M776" s="3" t="str">
        <v>Dr.Sinha</v>
      </c>
      <c r="N776" s="3" t="str">
        <f>IF(H776 &gt; (G776*50%), "Yes", "No")</f>
        <v>No</v>
      </c>
      <c r="O776" s="16">
        <f>G776-H776</f>
        <v>3989</v>
      </c>
      <c r="P776" s="16">
        <f>SUMIFS(O776:O776,E776:E776,"Science",F776:F776,"Completed")</f>
        <v>0</v>
      </c>
      <c r="Q776" s="3" t="str">
        <f>IF(MONTH(E776)&gt;=7, YEAR(E776)&amp;"-"&amp;YEAR(E776)+1, YEAR(E776)-1&amp;"-"&amp;YEAR(E776))</f>
        <v>2022-2023</v>
      </c>
      <c r="R776" s="3"/>
      <c r="S776" s="3"/>
      <c r="T776" s="15" t="str">
        <f t="shared" ca="1" si="12"/>
        <v>0</v>
      </c>
      <c r="U776" s="3"/>
    </row>
    <row r="777" spans="1:21" x14ac:dyDescent="0.35">
      <c r="A777" s="3" t="s">
        <v>1575</v>
      </c>
      <c r="B777" s="3" t="s">
        <v>1576</v>
      </c>
      <c r="C777" s="3" t="s">
        <v>17</v>
      </c>
      <c r="D777" s="3" t="s">
        <v>18</v>
      </c>
      <c r="E777" s="6">
        <v>45230</v>
      </c>
      <c r="F777" s="3" t="s">
        <v>19</v>
      </c>
      <c r="G777" s="3">
        <v>5285</v>
      </c>
      <c r="H777" s="3">
        <v>116</v>
      </c>
      <c r="I777" s="3">
        <v>2.82</v>
      </c>
      <c r="J777" s="3">
        <v>96</v>
      </c>
      <c r="K777" s="15" t="str">
        <f ca="1">IF(F777="Enrolled",TODAY()-E777,"0")</f>
        <v>0</v>
      </c>
      <c r="L777" s="3" t="str">
        <f>IF(I777&gt;=3.5,"Excellent",IF(I777&gt;=3,"Good",IF(I777&gt;=2,"Average","Poor")))</f>
        <v>Average</v>
      </c>
      <c r="M777" s="3" t="str">
        <v>Dr.Roy</v>
      </c>
      <c r="N777" s="3" t="str">
        <f>IF(H777 &gt; (G777*50%), "Yes", "No")</f>
        <v>No</v>
      </c>
      <c r="O777" s="16">
        <f>G777-H777</f>
        <v>5169</v>
      </c>
      <c r="P777" s="16">
        <f>SUMIFS(O777:O777,E777:E777,"Science",F777:F777,"Completed")</f>
        <v>0</v>
      </c>
      <c r="Q777" s="3" t="str">
        <f>IF(MONTH(E777)&gt;=7, YEAR(E777)&amp;"-"&amp;YEAR(E777)+1, YEAR(E777)-1&amp;"-"&amp;YEAR(E777))</f>
        <v>2023-2024</v>
      </c>
      <c r="R777" s="3"/>
      <c r="S777" s="3"/>
      <c r="T777" s="15">
        <f t="shared" ca="1" si="12"/>
        <v>824</v>
      </c>
      <c r="U777" s="3"/>
    </row>
    <row r="778" spans="1:21" x14ac:dyDescent="0.35">
      <c r="A778" s="3" t="s">
        <v>1577</v>
      </c>
      <c r="B778" s="3" t="s">
        <v>1578</v>
      </c>
      <c r="C778" s="3" t="s">
        <v>36</v>
      </c>
      <c r="D778" s="3" t="s">
        <v>13</v>
      </c>
      <c r="E778" s="6">
        <v>44622</v>
      </c>
      <c r="F778" s="3" t="s">
        <v>19</v>
      </c>
      <c r="G778" s="3">
        <v>13700</v>
      </c>
      <c r="H778" s="3">
        <v>9745</v>
      </c>
      <c r="I778" s="3">
        <v>3.99</v>
      </c>
      <c r="J778" s="3">
        <v>32</v>
      </c>
      <c r="K778" s="15" t="str">
        <f ca="1">IF(F778="Enrolled",TODAY()-E778,"0")</f>
        <v>0</v>
      </c>
      <c r="L778" s="3" t="str">
        <f>IF(I778&gt;=3.5,"Excellent",IF(I778&gt;=3,"Good",IF(I778&gt;=2,"Average","Poor")))</f>
        <v>Excellent</v>
      </c>
      <c r="M778" s="3" t="str">
        <v>Dr.Mehta</v>
      </c>
      <c r="N778" s="3" t="str">
        <f>IF(H778 &gt; (G778*50%), "Yes", "No")</f>
        <v>Yes</v>
      </c>
      <c r="O778" s="16">
        <f>G778-H778</f>
        <v>3955</v>
      </c>
      <c r="P778" s="16">
        <f>SUMIFS(O778:O778,E778:E778,"Science",F778:F778,"Completed")</f>
        <v>0</v>
      </c>
      <c r="Q778" s="3" t="str">
        <f>IF(MONTH(E778)&gt;=7, YEAR(E778)&amp;"-"&amp;YEAR(E778)+1, YEAR(E778)-1&amp;"-"&amp;YEAR(E778))</f>
        <v>2021-2022</v>
      </c>
      <c r="R778" s="3"/>
      <c r="S778" s="3"/>
      <c r="T778" s="15">
        <f t="shared" ca="1" si="12"/>
        <v>1432</v>
      </c>
      <c r="U778" s="3"/>
    </row>
    <row r="779" spans="1:21" x14ac:dyDescent="0.35">
      <c r="A779" s="3" t="s">
        <v>1579</v>
      </c>
      <c r="B779" s="3" t="s">
        <v>1580</v>
      </c>
      <c r="C779" s="3" t="s">
        <v>36</v>
      </c>
      <c r="D779" s="3" t="s">
        <v>31</v>
      </c>
      <c r="E779" s="6">
        <v>45248</v>
      </c>
      <c r="F779" s="3" t="s">
        <v>19</v>
      </c>
      <c r="G779" s="3">
        <v>5236</v>
      </c>
      <c r="H779" s="3">
        <v>2559</v>
      </c>
      <c r="I779" s="3">
        <v>2.0299999999999998</v>
      </c>
      <c r="J779" s="3">
        <v>28</v>
      </c>
      <c r="K779" s="15" t="str">
        <f ca="1">IF(F779="Enrolled",TODAY()-E779,"0")</f>
        <v>0</v>
      </c>
      <c r="L779" s="3" t="str">
        <f>IF(I779&gt;=3.5,"Excellent",IF(I779&gt;=3,"Good",IF(I779&gt;=2,"Average","Poor")))</f>
        <v>Average</v>
      </c>
      <c r="M779" s="3" t="str">
        <v>Dr.Sharma</v>
      </c>
      <c r="N779" s="3" t="str">
        <f>IF(H779 &gt; (G779*50%), "Yes", "No")</f>
        <v>No</v>
      </c>
      <c r="O779" s="16">
        <f>G779-H779</f>
        <v>2677</v>
      </c>
      <c r="P779" s="16">
        <f>SUMIFS(O779:O779,E779:E779,"Science",F779:F779,"Completed")</f>
        <v>0</v>
      </c>
      <c r="Q779" s="3" t="str">
        <f>IF(MONTH(E779)&gt;=7, YEAR(E779)&amp;"-"&amp;YEAR(E779)+1, YEAR(E779)-1&amp;"-"&amp;YEAR(E779))</f>
        <v>2023-2024</v>
      </c>
      <c r="R779" s="3"/>
      <c r="S779" s="3"/>
      <c r="T779" s="15">
        <f t="shared" ca="1" si="12"/>
        <v>806</v>
      </c>
      <c r="U779" s="3"/>
    </row>
    <row r="780" spans="1:21" x14ac:dyDescent="0.35">
      <c r="A780" s="3" t="s">
        <v>1581</v>
      </c>
      <c r="B780" s="3" t="s">
        <v>1582</v>
      </c>
      <c r="C780" s="3" t="s">
        <v>28</v>
      </c>
      <c r="D780" s="3" t="s">
        <v>62</v>
      </c>
      <c r="E780" s="6">
        <v>44818</v>
      </c>
      <c r="F780" s="3" t="s">
        <v>14</v>
      </c>
      <c r="G780" s="3">
        <v>14446</v>
      </c>
      <c r="H780" s="3">
        <v>6710</v>
      </c>
      <c r="I780" s="3">
        <v>3.67</v>
      </c>
      <c r="J780" s="3">
        <v>20</v>
      </c>
      <c r="K780" s="15">
        <f ca="1">IF(F780="Enrolled",TODAY()-E780,"0")</f>
        <v>1236</v>
      </c>
      <c r="L780" s="3" t="str">
        <f>IF(I780&gt;=3.5,"Excellent",IF(I780&gt;=3,"Good",IF(I780&gt;=2,"Average","Poor")))</f>
        <v>Excellent</v>
      </c>
      <c r="M780" s="3" t="str">
        <v>Dr.Sinha</v>
      </c>
      <c r="N780" s="3" t="str">
        <f>IF(H780 &gt; (G780*50%), "Yes", "No")</f>
        <v>No</v>
      </c>
      <c r="O780" s="16">
        <f>G780-H780</f>
        <v>7736</v>
      </c>
      <c r="P780" s="16">
        <f>SUMIFS(O780:O780,E780:E780,"Science",F780:F780,"Completed")</f>
        <v>0</v>
      </c>
      <c r="Q780" s="3" t="str">
        <f>IF(MONTH(E780)&gt;=7, YEAR(E780)&amp;"-"&amp;YEAR(E780)+1, YEAR(E780)-1&amp;"-"&amp;YEAR(E780))</f>
        <v>2022-2023</v>
      </c>
      <c r="R780" s="3"/>
      <c r="S780" s="3"/>
      <c r="T780" s="15" t="str">
        <f t="shared" ca="1" si="12"/>
        <v>0</v>
      </c>
      <c r="U780" s="3"/>
    </row>
    <row r="781" spans="1:21" x14ac:dyDescent="0.35">
      <c r="A781" s="3" t="s">
        <v>1583</v>
      </c>
      <c r="B781" s="3" t="s">
        <v>1584</v>
      </c>
      <c r="C781" s="3" t="s">
        <v>12</v>
      </c>
      <c r="D781" s="3" t="s">
        <v>31</v>
      </c>
      <c r="E781" s="6">
        <v>45293</v>
      </c>
      <c r="F781" s="3" t="s">
        <v>14</v>
      </c>
      <c r="G781" s="3">
        <v>9347</v>
      </c>
      <c r="H781" s="3">
        <v>931</v>
      </c>
      <c r="I781" s="3">
        <v>2.48</v>
      </c>
      <c r="J781" s="3">
        <v>77</v>
      </c>
      <c r="K781" s="15">
        <f ca="1">IF(F781="Enrolled",TODAY()-E781,"0")</f>
        <v>761</v>
      </c>
      <c r="L781" s="3" t="str">
        <f>IF(I781&gt;=3.5,"Excellent",IF(I781&gt;=3,"Good",IF(I781&gt;=2,"Average","Poor")))</f>
        <v>Average</v>
      </c>
      <c r="M781" s="3" t="str">
        <v>Dr.Sharma</v>
      </c>
      <c r="N781" s="3" t="str">
        <f>IF(H781 &gt; (G781*50%), "Yes", "No")</f>
        <v>No</v>
      </c>
      <c r="O781" s="16">
        <f>G781-H781</f>
        <v>8416</v>
      </c>
      <c r="P781" s="16">
        <f>SUMIFS(O781:O781,E781:E781,"Science",F781:F781,"Completed")</f>
        <v>0</v>
      </c>
      <c r="Q781" s="3" t="str">
        <f>IF(MONTH(E781)&gt;=7, YEAR(E781)&amp;"-"&amp;YEAR(E781)+1, YEAR(E781)-1&amp;"-"&amp;YEAR(E781))</f>
        <v>2023-2024</v>
      </c>
      <c r="R781" s="3"/>
      <c r="S781" s="3"/>
      <c r="T781" s="15" t="str">
        <f t="shared" ca="1" si="12"/>
        <v>0</v>
      </c>
      <c r="U781" s="3"/>
    </row>
    <row r="782" spans="1:21" x14ac:dyDescent="0.35">
      <c r="A782" s="3" t="s">
        <v>1585</v>
      </c>
      <c r="B782" s="3" t="s">
        <v>1586</v>
      </c>
      <c r="C782" s="3" t="s">
        <v>25</v>
      </c>
      <c r="D782" s="3" t="s">
        <v>31</v>
      </c>
      <c r="E782" s="6">
        <v>44844</v>
      </c>
      <c r="F782" s="3" t="s">
        <v>14</v>
      </c>
      <c r="G782" s="3">
        <v>7036</v>
      </c>
      <c r="H782" s="3">
        <v>8702</v>
      </c>
      <c r="I782" s="3">
        <v>2.81</v>
      </c>
      <c r="J782" s="3">
        <v>92</v>
      </c>
      <c r="K782" s="15">
        <f ca="1">IF(F782="Enrolled",TODAY()-E782,"0")</f>
        <v>1210</v>
      </c>
      <c r="L782" s="3" t="str">
        <f>IF(I782&gt;=3.5,"Excellent",IF(I782&gt;=3,"Good",IF(I782&gt;=2,"Average","Poor")))</f>
        <v>Average</v>
      </c>
      <c r="M782" s="3" t="str">
        <v>Dr.Sharma</v>
      </c>
      <c r="N782" s="3" t="str">
        <f>IF(H782 &gt; (G782*50%), "Yes", "No")</f>
        <v>Yes</v>
      </c>
      <c r="O782" s="16">
        <f>G782-H782</f>
        <v>-1666</v>
      </c>
      <c r="P782" s="16">
        <f>SUMIFS(O782:O782,E782:E782,"Science",F782:F782,"Completed")</f>
        <v>0</v>
      </c>
      <c r="Q782" s="3" t="str">
        <f>IF(MONTH(E782)&gt;=7, YEAR(E782)&amp;"-"&amp;YEAR(E782)+1, YEAR(E782)-1&amp;"-"&amp;YEAR(E782))</f>
        <v>2022-2023</v>
      </c>
      <c r="R782" s="3"/>
      <c r="S782" s="3"/>
      <c r="T782" s="15" t="str">
        <f t="shared" ca="1" si="12"/>
        <v>0</v>
      </c>
      <c r="U782" s="3"/>
    </row>
    <row r="783" spans="1:21" x14ac:dyDescent="0.35">
      <c r="A783" s="3" t="s">
        <v>1587</v>
      </c>
      <c r="B783" s="3" t="s">
        <v>1588</v>
      </c>
      <c r="C783" s="3" t="s">
        <v>17</v>
      </c>
      <c r="D783" s="3" t="s">
        <v>13</v>
      </c>
      <c r="E783" s="6">
        <v>45196</v>
      </c>
      <c r="F783" s="3" t="s">
        <v>39</v>
      </c>
      <c r="G783" s="3">
        <v>2807</v>
      </c>
      <c r="H783" s="3">
        <v>4412</v>
      </c>
      <c r="I783" s="3">
        <v>2.1</v>
      </c>
      <c r="J783" s="3">
        <v>17</v>
      </c>
      <c r="K783" s="15" t="str">
        <f ca="1">IF(F783="Enrolled",TODAY()-E783,"0")</f>
        <v>0</v>
      </c>
      <c r="L783" s="3" t="str">
        <f>IF(I783&gt;=3.5,"Excellent",IF(I783&gt;=3,"Good",IF(I783&gt;=2,"Average","Poor")))</f>
        <v>Average</v>
      </c>
      <c r="M783" s="3" t="str">
        <v>Dr.Mehta</v>
      </c>
      <c r="N783" s="3" t="str">
        <f>IF(H783 &gt; (G783*50%), "Yes", "No")</f>
        <v>Yes</v>
      </c>
      <c r="O783" s="16">
        <f>G783-H783</f>
        <v>-1605</v>
      </c>
      <c r="P783" s="16">
        <f>SUMIFS(O783:O783,E783:E783,"Science",F783:F783,"Completed")</f>
        <v>0</v>
      </c>
      <c r="Q783" s="3" t="str">
        <f>IF(MONTH(E783)&gt;=7, YEAR(E783)&amp;"-"&amp;YEAR(E783)+1, YEAR(E783)-1&amp;"-"&amp;YEAR(E783))</f>
        <v>2023-2024</v>
      </c>
      <c r="R783" s="3"/>
      <c r="S783" s="3"/>
      <c r="T783" s="15" t="str">
        <f t="shared" ca="1" si="12"/>
        <v>0</v>
      </c>
      <c r="U783" s="3"/>
    </row>
    <row r="784" spans="1:21" x14ac:dyDescent="0.35">
      <c r="A784" s="3" t="s">
        <v>1589</v>
      </c>
      <c r="B784" s="3" t="s">
        <v>1590</v>
      </c>
      <c r="C784" s="3" t="s">
        <v>54</v>
      </c>
      <c r="D784" s="3" t="s">
        <v>62</v>
      </c>
      <c r="E784" s="6">
        <v>44572</v>
      </c>
      <c r="F784" s="3" t="s">
        <v>19</v>
      </c>
      <c r="G784" s="3">
        <v>4713</v>
      </c>
      <c r="H784" s="3">
        <v>2905</v>
      </c>
      <c r="I784" s="3">
        <v>2.68</v>
      </c>
      <c r="J784" s="3">
        <v>83</v>
      </c>
      <c r="K784" s="15" t="str">
        <f ca="1">IF(F784="Enrolled",TODAY()-E784,"0")</f>
        <v>0</v>
      </c>
      <c r="L784" s="3" t="str">
        <f>IF(I784&gt;=3.5,"Excellent",IF(I784&gt;=3,"Good",IF(I784&gt;=2,"Average","Poor")))</f>
        <v>Average</v>
      </c>
      <c r="M784" s="3" t="str">
        <v>Dr.Sinha</v>
      </c>
      <c r="N784" s="3" t="str">
        <f>IF(H784 &gt; (G784*50%), "Yes", "No")</f>
        <v>Yes</v>
      </c>
      <c r="O784" s="16">
        <f>G784-H784</f>
        <v>1808</v>
      </c>
      <c r="P784" s="16">
        <f>SUMIFS(O784:O784,E784:E784,"Science",F784:F784,"Completed")</f>
        <v>0</v>
      </c>
      <c r="Q784" s="3" t="str">
        <f>IF(MONTH(E784)&gt;=7, YEAR(E784)&amp;"-"&amp;YEAR(E784)+1, YEAR(E784)-1&amp;"-"&amp;YEAR(E784))</f>
        <v>2021-2022</v>
      </c>
      <c r="R784" s="3"/>
      <c r="S784" s="3"/>
      <c r="T784" s="15">
        <f t="shared" ca="1" si="12"/>
        <v>1482</v>
      </c>
      <c r="U784" s="3"/>
    </row>
    <row r="785" spans="1:21" x14ac:dyDescent="0.35">
      <c r="A785" s="3" t="s">
        <v>1591</v>
      </c>
      <c r="B785" s="3" t="s">
        <v>1592</v>
      </c>
      <c r="C785" s="3" t="s">
        <v>22</v>
      </c>
      <c r="D785" s="3" t="s">
        <v>62</v>
      </c>
      <c r="E785" s="6">
        <v>45100</v>
      </c>
      <c r="F785" s="3" t="s">
        <v>14</v>
      </c>
      <c r="G785" s="3">
        <v>8738</v>
      </c>
      <c r="H785" s="3">
        <v>8784</v>
      </c>
      <c r="I785" s="3">
        <v>3.88</v>
      </c>
      <c r="J785" s="3">
        <v>29</v>
      </c>
      <c r="K785" s="15">
        <f ca="1">IF(F785="Enrolled",TODAY()-E785,"0")</f>
        <v>954</v>
      </c>
      <c r="L785" s="3" t="str">
        <f>IF(I785&gt;=3.5,"Excellent",IF(I785&gt;=3,"Good",IF(I785&gt;=2,"Average","Poor")))</f>
        <v>Excellent</v>
      </c>
      <c r="M785" s="3" t="str">
        <v>Dr.Sinha</v>
      </c>
      <c r="N785" s="3" t="str">
        <f>IF(H785 &gt; (G785*50%), "Yes", "No")</f>
        <v>Yes</v>
      </c>
      <c r="O785" s="16">
        <f>G785-H785</f>
        <v>-46</v>
      </c>
      <c r="P785" s="16">
        <f>SUMIFS(O785:O785,E785:E785,"Science",F785:F785,"Completed")</f>
        <v>0</v>
      </c>
      <c r="Q785" s="3" t="str">
        <f>IF(MONTH(E785)&gt;=7, YEAR(E785)&amp;"-"&amp;YEAR(E785)+1, YEAR(E785)-1&amp;"-"&amp;YEAR(E785))</f>
        <v>2022-2023</v>
      </c>
      <c r="R785" s="3"/>
      <c r="S785" s="3"/>
      <c r="T785" s="15" t="str">
        <f t="shared" ca="1" si="12"/>
        <v>0</v>
      </c>
      <c r="U785" s="3"/>
    </row>
    <row r="786" spans="1:21" x14ac:dyDescent="0.35">
      <c r="A786" s="3" t="s">
        <v>1593</v>
      </c>
      <c r="B786" s="3" t="s">
        <v>1594</v>
      </c>
      <c r="C786" s="3" t="s">
        <v>25</v>
      </c>
      <c r="D786" s="3" t="s">
        <v>31</v>
      </c>
      <c r="E786" s="6">
        <v>45218</v>
      </c>
      <c r="F786" s="3" t="s">
        <v>14</v>
      </c>
      <c r="G786" s="3">
        <v>5873</v>
      </c>
      <c r="H786" s="3">
        <v>6663</v>
      </c>
      <c r="I786" s="3">
        <v>2.68</v>
      </c>
      <c r="J786" s="3">
        <v>60</v>
      </c>
      <c r="K786" s="15">
        <f ca="1">IF(F786="Enrolled",TODAY()-E786,"0")</f>
        <v>836</v>
      </c>
      <c r="L786" s="3" t="str">
        <f>IF(I786&gt;=3.5,"Excellent",IF(I786&gt;=3,"Good",IF(I786&gt;=2,"Average","Poor")))</f>
        <v>Average</v>
      </c>
      <c r="M786" s="3" t="str">
        <v>Dr.Sharma</v>
      </c>
      <c r="N786" s="3" t="str">
        <f>IF(H786 &gt; (G786*50%), "Yes", "No")</f>
        <v>Yes</v>
      </c>
      <c r="O786" s="16">
        <f>G786-H786</f>
        <v>-790</v>
      </c>
      <c r="P786" s="16">
        <f>SUMIFS(O786:O786,E786:E786,"Science",F786:F786,"Completed")</f>
        <v>0</v>
      </c>
      <c r="Q786" s="3" t="str">
        <f>IF(MONTH(E786)&gt;=7, YEAR(E786)&amp;"-"&amp;YEAR(E786)+1, YEAR(E786)-1&amp;"-"&amp;YEAR(E786))</f>
        <v>2023-2024</v>
      </c>
      <c r="R786" s="3"/>
      <c r="S786" s="3"/>
      <c r="T786" s="15" t="str">
        <f t="shared" ca="1" si="12"/>
        <v>0</v>
      </c>
      <c r="U786" s="3"/>
    </row>
    <row r="787" spans="1:21" x14ac:dyDescent="0.35">
      <c r="A787" s="3" t="s">
        <v>1595</v>
      </c>
      <c r="B787" s="3" t="s">
        <v>1596</v>
      </c>
      <c r="C787" s="3" t="s">
        <v>22</v>
      </c>
      <c r="D787" s="3" t="s">
        <v>62</v>
      </c>
      <c r="E787" s="6">
        <v>45152</v>
      </c>
      <c r="F787" s="3" t="s">
        <v>14</v>
      </c>
      <c r="G787" s="3">
        <v>2955</v>
      </c>
      <c r="H787" s="3">
        <v>3577</v>
      </c>
      <c r="I787" s="3">
        <v>3.87</v>
      </c>
      <c r="J787" s="3">
        <v>92</v>
      </c>
      <c r="K787" s="15">
        <f ca="1">IF(F787="Enrolled",TODAY()-E787,"0")</f>
        <v>902</v>
      </c>
      <c r="L787" s="3" t="str">
        <f>IF(I787&gt;=3.5,"Excellent",IF(I787&gt;=3,"Good",IF(I787&gt;=2,"Average","Poor")))</f>
        <v>Excellent</v>
      </c>
      <c r="M787" s="3" t="str">
        <v>Dr.Sinha</v>
      </c>
      <c r="N787" s="3" t="str">
        <f>IF(H787 &gt; (G787*50%), "Yes", "No")</f>
        <v>Yes</v>
      </c>
      <c r="O787" s="16">
        <f>G787-H787</f>
        <v>-622</v>
      </c>
      <c r="P787" s="16">
        <f>SUMIFS(O787:O787,E787:E787,"Science",F787:F787,"Completed")</f>
        <v>0</v>
      </c>
      <c r="Q787" s="3" t="str">
        <f>IF(MONTH(E787)&gt;=7, YEAR(E787)&amp;"-"&amp;YEAR(E787)+1, YEAR(E787)-1&amp;"-"&amp;YEAR(E787))</f>
        <v>2023-2024</v>
      </c>
      <c r="R787" s="3"/>
      <c r="S787" s="3"/>
      <c r="T787" s="15" t="str">
        <f t="shared" ca="1" si="12"/>
        <v>0</v>
      </c>
      <c r="U787" s="3"/>
    </row>
    <row r="788" spans="1:21" x14ac:dyDescent="0.35">
      <c r="A788" s="3" t="s">
        <v>1597</v>
      </c>
      <c r="B788" s="3" t="s">
        <v>1598</v>
      </c>
      <c r="C788" s="3" t="s">
        <v>12</v>
      </c>
      <c r="D788" s="3" t="s">
        <v>13</v>
      </c>
      <c r="E788" s="6">
        <v>45189</v>
      </c>
      <c r="F788" s="3" t="s">
        <v>19</v>
      </c>
      <c r="G788" s="3">
        <v>14511</v>
      </c>
      <c r="H788" s="3">
        <v>7022</v>
      </c>
      <c r="I788" s="3">
        <v>3.28</v>
      </c>
      <c r="J788" s="3">
        <v>66</v>
      </c>
      <c r="K788" s="15" t="str">
        <f ca="1">IF(F788="Enrolled",TODAY()-E788,"0")</f>
        <v>0</v>
      </c>
      <c r="L788" s="3" t="str">
        <f>IF(I788&gt;=3.5,"Excellent",IF(I788&gt;=3,"Good",IF(I788&gt;=2,"Average","Poor")))</f>
        <v>Good</v>
      </c>
      <c r="M788" s="3" t="str">
        <v>Dr.Mehta</v>
      </c>
      <c r="N788" s="3" t="str">
        <f>IF(H788 &gt; (G788*50%), "Yes", "No")</f>
        <v>No</v>
      </c>
      <c r="O788" s="16">
        <f>G788-H788</f>
        <v>7489</v>
      </c>
      <c r="P788" s="16">
        <f>SUMIFS(O788:O788,E788:E788,"Science",F788:F788,"Completed")</f>
        <v>0</v>
      </c>
      <c r="Q788" s="3" t="str">
        <f>IF(MONTH(E788)&gt;=7, YEAR(E788)&amp;"-"&amp;YEAR(E788)+1, YEAR(E788)-1&amp;"-"&amp;YEAR(E788))</f>
        <v>2023-2024</v>
      </c>
      <c r="R788" s="3"/>
      <c r="S788" s="3"/>
      <c r="T788" s="15">
        <f t="shared" ca="1" si="12"/>
        <v>865</v>
      </c>
      <c r="U788" s="3"/>
    </row>
    <row r="789" spans="1:21" x14ac:dyDescent="0.35">
      <c r="A789" s="3" t="s">
        <v>1599</v>
      </c>
      <c r="B789" s="3" t="s">
        <v>1600</v>
      </c>
      <c r="C789" s="3" t="s">
        <v>28</v>
      </c>
      <c r="D789" s="3" t="s">
        <v>13</v>
      </c>
      <c r="E789" s="6">
        <v>45379</v>
      </c>
      <c r="F789" s="3" t="s">
        <v>14</v>
      </c>
      <c r="G789" s="3">
        <v>5957</v>
      </c>
      <c r="H789" s="3">
        <v>5173</v>
      </c>
      <c r="I789" s="3">
        <v>2.11</v>
      </c>
      <c r="J789" s="3">
        <v>76</v>
      </c>
      <c r="K789" s="15">
        <f ca="1">IF(F789="Enrolled",TODAY()-E789,"0")</f>
        <v>675</v>
      </c>
      <c r="L789" s="3" t="str">
        <f>IF(I789&gt;=3.5,"Excellent",IF(I789&gt;=3,"Good",IF(I789&gt;=2,"Average","Poor")))</f>
        <v>Average</v>
      </c>
      <c r="M789" s="3" t="str">
        <v>Dr.Mehta</v>
      </c>
      <c r="N789" s="3" t="str">
        <f>IF(H789 &gt; (G789*50%), "Yes", "No")</f>
        <v>Yes</v>
      </c>
      <c r="O789" s="16">
        <f>G789-H789</f>
        <v>784</v>
      </c>
      <c r="P789" s="16">
        <f>SUMIFS(O789:O789,E789:E789,"Science",F789:F789,"Completed")</f>
        <v>0</v>
      </c>
      <c r="Q789" s="3" t="str">
        <f>IF(MONTH(E789)&gt;=7, YEAR(E789)&amp;"-"&amp;YEAR(E789)+1, YEAR(E789)-1&amp;"-"&amp;YEAR(E789))</f>
        <v>2023-2024</v>
      </c>
      <c r="R789" s="3"/>
      <c r="S789" s="3"/>
      <c r="T789" s="15" t="str">
        <f t="shared" ca="1" si="12"/>
        <v>0</v>
      </c>
      <c r="U789" s="3"/>
    </row>
    <row r="790" spans="1:21" x14ac:dyDescent="0.35">
      <c r="A790" s="3" t="s">
        <v>1601</v>
      </c>
      <c r="B790" s="3" t="s">
        <v>1602</v>
      </c>
      <c r="C790" s="3" t="s">
        <v>36</v>
      </c>
      <c r="D790" s="3" t="s">
        <v>18</v>
      </c>
      <c r="E790" s="6">
        <v>45205</v>
      </c>
      <c r="F790" s="3" t="s">
        <v>14</v>
      </c>
      <c r="G790" s="3">
        <v>12871</v>
      </c>
      <c r="H790" s="3">
        <v>6263</v>
      </c>
      <c r="I790" s="3">
        <v>2.78</v>
      </c>
      <c r="J790" s="3">
        <v>55</v>
      </c>
      <c r="K790" s="15">
        <f ca="1">IF(F790="Enrolled",TODAY()-E790,"0")</f>
        <v>849</v>
      </c>
      <c r="L790" s="3" t="str">
        <f>IF(I790&gt;=3.5,"Excellent",IF(I790&gt;=3,"Good",IF(I790&gt;=2,"Average","Poor")))</f>
        <v>Average</v>
      </c>
      <c r="M790" s="3" t="str">
        <v>Dr.Roy</v>
      </c>
      <c r="N790" s="3" t="str">
        <f>IF(H790 &gt; (G790*50%), "Yes", "No")</f>
        <v>No</v>
      </c>
      <c r="O790" s="16">
        <f>G790-H790</f>
        <v>6608</v>
      </c>
      <c r="P790" s="16">
        <f>SUMIFS(O790:O790,E790:E790,"Science",F790:F790,"Completed")</f>
        <v>0</v>
      </c>
      <c r="Q790" s="3" t="str">
        <f>IF(MONTH(E790)&gt;=7, YEAR(E790)&amp;"-"&amp;YEAR(E790)+1, YEAR(E790)-1&amp;"-"&amp;YEAR(E790))</f>
        <v>2023-2024</v>
      </c>
      <c r="R790" s="3"/>
      <c r="S790" s="3"/>
      <c r="T790" s="15" t="str">
        <f t="shared" ca="1" si="12"/>
        <v>0</v>
      </c>
      <c r="U790" s="3"/>
    </row>
    <row r="791" spans="1:21" x14ac:dyDescent="0.35">
      <c r="A791" s="3" t="s">
        <v>1603</v>
      </c>
      <c r="B791" s="3" t="s">
        <v>1604</v>
      </c>
      <c r="C791" s="3" t="s">
        <v>25</v>
      </c>
      <c r="D791" s="3" t="s">
        <v>13</v>
      </c>
      <c r="E791" s="6">
        <v>45265</v>
      </c>
      <c r="F791" s="3" t="s">
        <v>14</v>
      </c>
      <c r="G791" s="3">
        <v>10218</v>
      </c>
      <c r="H791" s="3">
        <v>2605</v>
      </c>
      <c r="I791" s="3">
        <v>2.38</v>
      </c>
      <c r="J791" s="3">
        <v>103</v>
      </c>
      <c r="K791" s="15">
        <f ca="1">IF(F791="Enrolled",TODAY()-E791,"0")</f>
        <v>789</v>
      </c>
      <c r="L791" s="3" t="str">
        <f>IF(I791&gt;=3.5,"Excellent",IF(I791&gt;=3,"Good",IF(I791&gt;=2,"Average","Poor")))</f>
        <v>Average</v>
      </c>
      <c r="M791" s="3" t="str">
        <v>Dr.Mehta</v>
      </c>
      <c r="N791" s="3" t="str">
        <f>IF(H791 &gt; (G791*50%), "Yes", "No")</f>
        <v>No</v>
      </c>
      <c r="O791" s="16">
        <f>G791-H791</f>
        <v>7613</v>
      </c>
      <c r="P791" s="16">
        <f>SUMIFS(O791:O791,E791:E791,"Science",F791:F791,"Completed")</f>
        <v>0</v>
      </c>
      <c r="Q791" s="3" t="str">
        <f>IF(MONTH(E791)&gt;=7, YEAR(E791)&amp;"-"&amp;YEAR(E791)+1, YEAR(E791)-1&amp;"-"&amp;YEAR(E791))</f>
        <v>2023-2024</v>
      </c>
      <c r="R791" s="3"/>
      <c r="S791" s="3"/>
      <c r="T791" s="15" t="str">
        <f t="shared" ca="1" si="12"/>
        <v>0</v>
      </c>
      <c r="U791" s="3"/>
    </row>
    <row r="792" spans="1:21" x14ac:dyDescent="0.35">
      <c r="A792" s="3" t="s">
        <v>1605</v>
      </c>
      <c r="B792" s="3" t="s">
        <v>1606</v>
      </c>
      <c r="C792" s="3" t="s">
        <v>17</v>
      </c>
      <c r="D792" s="3" t="s">
        <v>13</v>
      </c>
      <c r="E792" s="6">
        <v>45233</v>
      </c>
      <c r="F792" s="3" t="s">
        <v>19</v>
      </c>
      <c r="G792" s="3">
        <v>6960</v>
      </c>
      <c r="H792" s="3">
        <v>7251</v>
      </c>
      <c r="I792" s="3">
        <v>3.64</v>
      </c>
      <c r="J792" s="3">
        <v>23</v>
      </c>
      <c r="K792" s="15" t="str">
        <f ca="1">IF(F792="Enrolled",TODAY()-E792,"0")</f>
        <v>0</v>
      </c>
      <c r="L792" s="3" t="str">
        <f>IF(I792&gt;=3.5,"Excellent",IF(I792&gt;=3,"Good",IF(I792&gt;=2,"Average","Poor")))</f>
        <v>Excellent</v>
      </c>
      <c r="M792" s="3" t="str">
        <v>Dr.Mehta</v>
      </c>
      <c r="N792" s="3" t="str">
        <f>IF(H792 &gt; (G792*50%), "Yes", "No")</f>
        <v>Yes</v>
      </c>
      <c r="O792" s="16">
        <f>G792-H792</f>
        <v>-291</v>
      </c>
      <c r="P792" s="16">
        <f>SUMIFS(O792:O792,E792:E792,"Science",F792:F792,"Completed")</f>
        <v>0</v>
      </c>
      <c r="Q792" s="3" t="str">
        <f>IF(MONTH(E792)&gt;=7, YEAR(E792)&amp;"-"&amp;YEAR(E792)+1, YEAR(E792)-1&amp;"-"&amp;YEAR(E792))</f>
        <v>2023-2024</v>
      </c>
      <c r="R792" s="3"/>
      <c r="S792" s="3"/>
      <c r="T792" s="15">
        <f t="shared" ca="1" si="12"/>
        <v>821</v>
      </c>
      <c r="U792" s="3"/>
    </row>
    <row r="793" spans="1:21" x14ac:dyDescent="0.35">
      <c r="A793" s="3" t="s">
        <v>1607</v>
      </c>
      <c r="B793" s="3" t="s">
        <v>1608</v>
      </c>
      <c r="C793" s="3" t="s">
        <v>28</v>
      </c>
      <c r="D793" s="3" t="s">
        <v>31</v>
      </c>
      <c r="E793" s="6">
        <v>44808</v>
      </c>
      <c r="F793" s="3" t="s">
        <v>14</v>
      </c>
      <c r="G793" s="3">
        <v>6829</v>
      </c>
      <c r="H793" s="3">
        <v>4244</v>
      </c>
      <c r="I793" s="3">
        <v>3.45</v>
      </c>
      <c r="J793" s="3">
        <v>39</v>
      </c>
      <c r="K793" s="15">
        <f ca="1">IF(F793="Enrolled",TODAY()-E793,"0")</f>
        <v>1246</v>
      </c>
      <c r="L793" s="3" t="str">
        <f>IF(I793&gt;=3.5,"Excellent",IF(I793&gt;=3,"Good",IF(I793&gt;=2,"Average","Poor")))</f>
        <v>Good</v>
      </c>
      <c r="M793" s="3" t="str">
        <v>Dr.Sharma</v>
      </c>
      <c r="N793" s="3" t="str">
        <f>IF(H793 &gt; (G793*50%), "Yes", "No")</f>
        <v>Yes</v>
      </c>
      <c r="O793" s="16">
        <f>G793-H793</f>
        <v>2585</v>
      </c>
      <c r="P793" s="16">
        <f>SUMIFS(O793:O793,E793:E793,"Science",F793:F793,"Completed")</f>
        <v>0</v>
      </c>
      <c r="Q793" s="3" t="str">
        <f>IF(MONTH(E793)&gt;=7, YEAR(E793)&amp;"-"&amp;YEAR(E793)+1, YEAR(E793)-1&amp;"-"&amp;YEAR(E793))</f>
        <v>2022-2023</v>
      </c>
      <c r="R793" s="3"/>
      <c r="S793" s="3"/>
      <c r="T793" s="15" t="str">
        <f t="shared" ca="1" si="12"/>
        <v>0</v>
      </c>
      <c r="U793" s="3"/>
    </row>
    <row r="794" spans="1:21" x14ac:dyDescent="0.35">
      <c r="A794" s="3" t="s">
        <v>1609</v>
      </c>
      <c r="B794" s="3" t="s">
        <v>1610</v>
      </c>
      <c r="C794" s="3" t="s">
        <v>54</v>
      </c>
      <c r="D794" s="3" t="s">
        <v>18</v>
      </c>
      <c r="E794" s="6">
        <v>45444</v>
      </c>
      <c r="F794" s="3" t="s">
        <v>14</v>
      </c>
      <c r="G794" s="3">
        <v>9470</v>
      </c>
      <c r="H794" s="3">
        <v>8209</v>
      </c>
      <c r="I794" s="3">
        <v>2.23</v>
      </c>
      <c r="J794" s="3">
        <v>17</v>
      </c>
      <c r="K794" s="15">
        <f ca="1">IF(F794="Enrolled",TODAY()-E794,"0")</f>
        <v>610</v>
      </c>
      <c r="L794" s="3" t="str">
        <f>IF(I794&gt;=3.5,"Excellent",IF(I794&gt;=3,"Good",IF(I794&gt;=2,"Average","Poor")))</f>
        <v>Average</v>
      </c>
      <c r="M794" s="3" t="str">
        <v>Dr.Roy</v>
      </c>
      <c r="N794" s="3" t="str">
        <f>IF(H794 &gt; (G794*50%), "Yes", "No")</f>
        <v>Yes</v>
      </c>
      <c r="O794" s="16">
        <f>G794-H794</f>
        <v>1261</v>
      </c>
      <c r="P794" s="16">
        <f>SUMIFS(O794:O794,E794:E794,"Science",F794:F794,"Completed")</f>
        <v>0</v>
      </c>
      <c r="Q794" s="3" t="str">
        <f>IF(MONTH(E794)&gt;=7, YEAR(E794)&amp;"-"&amp;YEAR(E794)+1, YEAR(E794)-1&amp;"-"&amp;YEAR(E794))</f>
        <v>2023-2024</v>
      </c>
      <c r="R794" s="3"/>
      <c r="S794" s="3"/>
      <c r="T794" s="15" t="str">
        <f t="shared" ca="1" si="12"/>
        <v>0</v>
      </c>
      <c r="U794" s="3"/>
    </row>
    <row r="795" spans="1:21" x14ac:dyDescent="0.35">
      <c r="A795" s="3" t="s">
        <v>1611</v>
      </c>
      <c r="B795" s="3" t="s">
        <v>1612</v>
      </c>
      <c r="C795" s="3" t="s">
        <v>57</v>
      </c>
      <c r="D795" s="3" t="s">
        <v>18</v>
      </c>
      <c r="E795" s="6">
        <v>44845</v>
      </c>
      <c r="F795" s="3" t="s">
        <v>19</v>
      </c>
      <c r="G795" s="3">
        <v>11385</v>
      </c>
      <c r="H795" s="3">
        <v>4400</v>
      </c>
      <c r="I795" s="3">
        <v>3.13</v>
      </c>
      <c r="J795" s="3">
        <v>103</v>
      </c>
      <c r="K795" s="15" t="str">
        <f ca="1">IF(F795="Enrolled",TODAY()-E795,"0")</f>
        <v>0</v>
      </c>
      <c r="L795" s="3" t="str">
        <f>IF(I795&gt;=3.5,"Excellent",IF(I795&gt;=3,"Good",IF(I795&gt;=2,"Average","Poor")))</f>
        <v>Good</v>
      </c>
      <c r="M795" s="3" t="str">
        <v>Dr.Roy</v>
      </c>
      <c r="N795" s="3" t="str">
        <f>IF(H795 &gt; (G795*50%), "Yes", "No")</f>
        <v>No</v>
      </c>
      <c r="O795" s="16">
        <f>G795-H795</f>
        <v>6985</v>
      </c>
      <c r="P795" s="16">
        <f>SUMIFS(O795:O795,E795:E795,"Science",F795:F795,"Completed")</f>
        <v>0</v>
      </c>
      <c r="Q795" s="3" t="str">
        <f>IF(MONTH(E795)&gt;=7, YEAR(E795)&amp;"-"&amp;YEAR(E795)+1, YEAR(E795)-1&amp;"-"&amp;YEAR(E795))</f>
        <v>2022-2023</v>
      </c>
      <c r="R795" s="3"/>
      <c r="S795" s="3"/>
      <c r="T795" s="15">
        <f t="shared" ca="1" si="12"/>
        <v>1209</v>
      </c>
      <c r="U795" s="3"/>
    </row>
    <row r="796" spans="1:21" x14ac:dyDescent="0.35">
      <c r="A796" s="3" t="s">
        <v>1613</v>
      </c>
      <c r="B796" s="3" t="s">
        <v>1614</v>
      </c>
      <c r="C796" s="3" t="s">
        <v>57</v>
      </c>
      <c r="D796" s="3" t="s">
        <v>62</v>
      </c>
      <c r="E796" s="6">
        <v>45325</v>
      </c>
      <c r="F796" s="3" t="s">
        <v>39</v>
      </c>
      <c r="G796" s="3">
        <v>6371</v>
      </c>
      <c r="H796" s="3">
        <v>1413</v>
      </c>
      <c r="I796" s="3">
        <v>2.0299999999999998</v>
      </c>
      <c r="J796" s="3">
        <v>9</v>
      </c>
      <c r="K796" s="15" t="str">
        <f ca="1">IF(F796="Enrolled",TODAY()-E796,"0")</f>
        <v>0</v>
      </c>
      <c r="L796" s="3" t="str">
        <f>IF(I796&gt;=3.5,"Excellent",IF(I796&gt;=3,"Good",IF(I796&gt;=2,"Average","Poor")))</f>
        <v>Average</v>
      </c>
      <c r="M796" s="3" t="str">
        <v>Dr.Sinha</v>
      </c>
      <c r="N796" s="3" t="str">
        <f>IF(H796 &gt; (G796*50%), "Yes", "No")</f>
        <v>No</v>
      </c>
      <c r="O796" s="16">
        <f>G796-H796</f>
        <v>4958</v>
      </c>
      <c r="P796" s="16">
        <f>SUMIFS(O796:O796,E796:E796,"Science",F796:F796,"Completed")</f>
        <v>0</v>
      </c>
      <c r="Q796" s="3" t="str">
        <f>IF(MONTH(E796)&gt;=7, YEAR(E796)&amp;"-"&amp;YEAR(E796)+1, YEAR(E796)-1&amp;"-"&amp;YEAR(E796))</f>
        <v>2023-2024</v>
      </c>
      <c r="R796" s="3"/>
      <c r="S796" s="3"/>
      <c r="T796" s="15" t="str">
        <f t="shared" ca="1" si="12"/>
        <v>0</v>
      </c>
      <c r="U796" s="3"/>
    </row>
    <row r="797" spans="1:21" x14ac:dyDescent="0.35">
      <c r="A797" s="3" t="s">
        <v>1615</v>
      </c>
      <c r="B797" s="3" t="s">
        <v>1616</v>
      </c>
      <c r="C797" s="3" t="s">
        <v>57</v>
      </c>
      <c r="D797" s="3" t="s">
        <v>13</v>
      </c>
      <c r="E797" s="6">
        <v>45188</v>
      </c>
      <c r="F797" s="3" t="s">
        <v>14</v>
      </c>
      <c r="G797" s="3">
        <v>12348</v>
      </c>
      <c r="H797" s="3">
        <v>7249</v>
      </c>
      <c r="I797" s="3">
        <v>3.99</v>
      </c>
      <c r="J797" s="3">
        <v>86</v>
      </c>
      <c r="K797" s="15">
        <f ca="1">IF(F797="Enrolled",TODAY()-E797,"0")</f>
        <v>866</v>
      </c>
      <c r="L797" s="3" t="str">
        <f>IF(I797&gt;=3.5,"Excellent",IF(I797&gt;=3,"Good",IF(I797&gt;=2,"Average","Poor")))</f>
        <v>Excellent</v>
      </c>
      <c r="M797" s="3" t="str">
        <v>Dr.Mehta</v>
      </c>
      <c r="N797" s="3" t="str">
        <f>IF(H797 &gt; (G797*50%), "Yes", "No")</f>
        <v>Yes</v>
      </c>
      <c r="O797" s="16">
        <f>G797-H797</f>
        <v>5099</v>
      </c>
      <c r="P797" s="16">
        <f>SUMIFS(O797:O797,E797:E797,"Science",F797:F797,"Completed")</f>
        <v>0</v>
      </c>
      <c r="Q797" s="3" t="str">
        <f>IF(MONTH(E797)&gt;=7, YEAR(E797)&amp;"-"&amp;YEAR(E797)+1, YEAR(E797)-1&amp;"-"&amp;YEAR(E797))</f>
        <v>2023-2024</v>
      </c>
      <c r="R797" s="3"/>
      <c r="S797" s="3"/>
      <c r="T797" s="15" t="str">
        <f t="shared" ca="1" si="12"/>
        <v>0</v>
      </c>
      <c r="U797" s="3"/>
    </row>
    <row r="798" spans="1:21" x14ac:dyDescent="0.35">
      <c r="A798" s="3" t="s">
        <v>1617</v>
      </c>
      <c r="B798" s="3" t="s">
        <v>1618</v>
      </c>
      <c r="C798" s="3" t="s">
        <v>25</v>
      </c>
      <c r="D798" s="3" t="s">
        <v>13</v>
      </c>
      <c r="E798" s="6">
        <v>45068</v>
      </c>
      <c r="F798" s="3" t="s">
        <v>19</v>
      </c>
      <c r="G798" s="3">
        <v>11630</v>
      </c>
      <c r="H798" s="3">
        <v>4125</v>
      </c>
      <c r="I798" s="3">
        <v>2.97</v>
      </c>
      <c r="J798" s="3">
        <v>1</v>
      </c>
      <c r="K798" s="15" t="str">
        <f ca="1">IF(F798="Enrolled",TODAY()-E798,"0")</f>
        <v>0</v>
      </c>
      <c r="L798" s="3" t="str">
        <f>IF(I798&gt;=3.5,"Excellent",IF(I798&gt;=3,"Good",IF(I798&gt;=2,"Average","Poor")))</f>
        <v>Average</v>
      </c>
      <c r="M798" s="3" t="str">
        <v>Dr.Mehta</v>
      </c>
      <c r="N798" s="3" t="str">
        <f>IF(H798 &gt; (G798*50%), "Yes", "No")</f>
        <v>No</v>
      </c>
      <c r="O798" s="16">
        <f>G798-H798</f>
        <v>7505</v>
      </c>
      <c r="P798" s="16">
        <f>SUMIFS(O798:O798,E798:E798,"Science",F798:F798,"Completed")</f>
        <v>0</v>
      </c>
      <c r="Q798" s="3" t="str">
        <f>IF(MONTH(E798)&gt;=7, YEAR(E798)&amp;"-"&amp;YEAR(E798)+1, YEAR(E798)-1&amp;"-"&amp;YEAR(E798))</f>
        <v>2022-2023</v>
      </c>
      <c r="R798" s="3"/>
      <c r="S798" s="3"/>
      <c r="T798" s="15">
        <f t="shared" ca="1" si="12"/>
        <v>986</v>
      </c>
      <c r="U798" s="3"/>
    </row>
    <row r="799" spans="1:21" x14ac:dyDescent="0.35">
      <c r="A799" s="3" t="s">
        <v>1619</v>
      </c>
      <c r="B799" s="3" t="s">
        <v>1620</v>
      </c>
      <c r="C799" s="3" t="s">
        <v>25</v>
      </c>
      <c r="D799" s="3" t="s">
        <v>13</v>
      </c>
      <c r="E799" s="6">
        <v>45433</v>
      </c>
      <c r="F799" s="3" t="s">
        <v>14</v>
      </c>
      <c r="G799" s="3">
        <v>8458</v>
      </c>
      <c r="H799" s="3">
        <v>2663</v>
      </c>
      <c r="I799" s="3">
        <v>3.13</v>
      </c>
      <c r="J799" s="3">
        <v>103</v>
      </c>
      <c r="K799" s="15">
        <f ca="1">IF(F799="Enrolled",TODAY()-E799,"0")</f>
        <v>621</v>
      </c>
      <c r="L799" s="3" t="str">
        <f>IF(I799&gt;=3.5,"Excellent",IF(I799&gt;=3,"Good",IF(I799&gt;=2,"Average","Poor")))</f>
        <v>Good</v>
      </c>
      <c r="M799" s="3" t="str">
        <v>Dr.Mehta</v>
      </c>
      <c r="N799" s="3" t="str">
        <f>IF(H799 &gt; (G799*50%), "Yes", "No")</f>
        <v>No</v>
      </c>
      <c r="O799" s="16">
        <f>G799-H799</f>
        <v>5795</v>
      </c>
      <c r="P799" s="16">
        <f>SUMIFS(O799:O799,E799:E799,"Science",F799:F799,"Completed")</f>
        <v>0</v>
      </c>
      <c r="Q799" s="3" t="str">
        <f>IF(MONTH(E799)&gt;=7, YEAR(E799)&amp;"-"&amp;YEAR(E799)+1, YEAR(E799)-1&amp;"-"&amp;YEAR(E799))</f>
        <v>2023-2024</v>
      </c>
      <c r="R799" s="3"/>
      <c r="S799" s="3"/>
      <c r="T799" s="15" t="str">
        <f t="shared" ca="1" si="12"/>
        <v>0</v>
      </c>
      <c r="U799" s="3"/>
    </row>
    <row r="800" spans="1:21" x14ac:dyDescent="0.35">
      <c r="A800" s="3" t="s">
        <v>1621</v>
      </c>
      <c r="B800" s="3" t="s">
        <v>1622</v>
      </c>
      <c r="C800" s="3" t="s">
        <v>28</v>
      </c>
      <c r="D800" s="3" t="s">
        <v>62</v>
      </c>
      <c r="E800" s="6">
        <v>45258</v>
      </c>
      <c r="F800" s="3" t="s">
        <v>14</v>
      </c>
      <c r="G800" s="3">
        <v>5481</v>
      </c>
      <c r="H800" s="3">
        <v>3750</v>
      </c>
      <c r="I800" s="3">
        <v>2.04</v>
      </c>
      <c r="J800" s="3">
        <v>99</v>
      </c>
      <c r="K800" s="15">
        <f ca="1">IF(F800="Enrolled",TODAY()-E800,"0")</f>
        <v>796</v>
      </c>
      <c r="L800" s="3" t="str">
        <f>IF(I800&gt;=3.5,"Excellent",IF(I800&gt;=3,"Good",IF(I800&gt;=2,"Average","Poor")))</f>
        <v>Average</v>
      </c>
      <c r="M800" s="3" t="str">
        <v>Dr.Sinha</v>
      </c>
      <c r="N800" s="3" t="str">
        <f>IF(H800 &gt; (G800*50%), "Yes", "No")</f>
        <v>Yes</v>
      </c>
      <c r="O800" s="16">
        <f>G800-H800</f>
        <v>1731</v>
      </c>
      <c r="P800" s="16">
        <f>SUMIFS(O800:O800,E800:E800,"Science",F800:F800,"Completed")</f>
        <v>0</v>
      </c>
      <c r="Q800" s="3" t="str">
        <f>IF(MONTH(E800)&gt;=7, YEAR(E800)&amp;"-"&amp;YEAR(E800)+1, YEAR(E800)-1&amp;"-"&amp;YEAR(E800))</f>
        <v>2023-2024</v>
      </c>
      <c r="R800" s="3"/>
      <c r="S800" s="3"/>
      <c r="T800" s="15" t="str">
        <f t="shared" ca="1" si="12"/>
        <v>0</v>
      </c>
      <c r="U800" s="3"/>
    </row>
    <row r="801" spans="1:21" x14ac:dyDescent="0.35">
      <c r="A801" s="3" t="s">
        <v>1623</v>
      </c>
      <c r="B801" s="3" t="s">
        <v>1624</v>
      </c>
      <c r="C801" s="3" t="s">
        <v>57</v>
      </c>
      <c r="D801" s="3" t="s">
        <v>18</v>
      </c>
      <c r="E801" s="6">
        <v>44956</v>
      </c>
      <c r="F801" s="3" t="s">
        <v>14</v>
      </c>
      <c r="G801" s="3">
        <v>9827</v>
      </c>
      <c r="H801" s="3">
        <v>3072</v>
      </c>
      <c r="I801" s="3">
        <v>3.6</v>
      </c>
      <c r="J801" s="3">
        <v>9</v>
      </c>
      <c r="K801" s="15">
        <f ca="1">IF(F801="Enrolled",TODAY()-E801,"0")</f>
        <v>1098</v>
      </c>
      <c r="L801" s="3" t="str">
        <f>IF(I801&gt;=3.5,"Excellent",IF(I801&gt;=3,"Good",IF(I801&gt;=2,"Average","Poor")))</f>
        <v>Excellent</v>
      </c>
      <c r="M801" s="3" t="str">
        <v>Dr.Roy</v>
      </c>
      <c r="N801" s="3" t="str">
        <f>IF(H801 &gt; (G801*50%), "Yes", "No")</f>
        <v>No</v>
      </c>
      <c r="O801" s="16">
        <f>G801-H801</f>
        <v>6755</v>
      </c>
      <c r="P801" s="16">
        <f>SUMIFS(O801:O801,E801:E801,"Science",F801:F801,"Completed")</f>
        <v>0</v>
      </c>
      <c r="Q801" s="3" t="str">
        <f>IF(MONTH(E801)&gt;=7, YEAR(E801)&amp;"-"&amp;YEAR(E801)+1, YEAR(E801)-1&amp;"-"&amp;YEAR(E801))</f>
        <v>2022-2023</v>
      </c>
      <c r="R801" s="3"/>
      <c r="S801" s="3"/>
      <c r="T801" s="15" t="str">
        <f t="shared" ca="1" si="12"/>
        <v>0</v>
      </c>
      <c r="U801" s="3"/>
    </row>
    <row r="802" spans="1:21" x14ac:dyDescent="0.35">
      <c r="A802" s="3" t="s">
        <v>1625</v>
      </c>
      <c r="B802" s="3" t="s">
        <v>1626</v>
      </c>
      <c r="C802" s="3" t="s">
        <v>25</v>
      </c>
      <c r="D802" s="3" t="s">
        <v>13</v>
      </c>
      <c r="E802" s="6">
        <v>45213</v>
      </c>
      <c r="F802" s="3" t="s">
        <v>14</v>
      </c>
      <c r="G802" s="3">
        <v>9017</v>
      </c>
      <c r="H802" s="3">
        <v>2433</v>
      </c>
      <c r="I802" s="3">
        <v>2.5</v>
      </c>
      <c r="J802" s="3">
        <v>104</v>
      </c>
      <c r="K802" s="15">
        <f ca="1">IF(F802="Enrolled",TODAY()-E802,"0")</f>
        <v>841</v>
      </c>
      <c r="L802" s="3" t="str">
        <f>IF(I802&gt;=3.5,"Excellent",IF(I802&gt;=3,"Good",IF(I802&gt;=2,"Average","Poor")))</f>
        <v>Average</v>
      </c>
      <c r="M802" s="3" t="str">
        <v>Dr.Mehta</v>
      </c>
      <c r="N802" s="3" t="str">
        <f>IF(H802 &gt; (G802*50%), "Yes", "No")</f>
        <v>No</v>
      </c>
      <c r="O802" s="16">
        <f>G802-H802</f>
        <v>6584</v>
      </c>
      <c r="P802" s="16">
        <f>SUMIFS(O802:O802,E802:E802,"Science",F802:F802,"Completed")</f>
        <v>0</v>
      </c>
      <c r="Q802" s="3" t="str">
        <f>IF(MONTH(E802)&gt;=7, YEAR(E802)&amp;"-"&amp;YEAR(E802)+1, YEAR(E802)-1&amp;"-"&amp;YEAR(E802))</f>
        <v>2023-2024</v>
      </c>
      <c r="R802" s="3"/>
      <c r="S802" s="3"/>
      <c r="T802" s="15" t="str">
        <f t="shared" ca="1" si="12"/>
        <v>0</v>
      </c>
      <c r="U802" s="3"/>
    </row>
    <row r="803" spans="1:21" x14ac:dyDescent="0.35">
      <c r="A803" s="3" t="s">
        <v>1627</v>
      </c>
      <c r="B803" s="3" t="s">
        <v>1628</v>
      </c>
      <c r="C803" s="3" t="s">
        <v>12</v>
      </c>
      <c r="D803" s="3" t="s">
        <v>31</v>
      </c>
      <c r="E803" s="6">
        <v>44979</v>
      </c>
      <c r="F803" s="3" t="s">
        <v>14</v>
      </c>
      <c r="G803" s="3">
        <v>7088</v>
      </c>
      <c r="H803" s="3">
        <v>1865</v>
      </c>
      <c r="I803" s="3">
        <v>3.1</v>
      </c>
      <c r="J803" s="3">
        <v>13</v>
      </c>
      <c r="K803" s="15">
        <f ca="1">IF(F803="Enrolled",TODAY()-E803,"0")</f>
        <v>1075</v>
      </c>
      <c r="L803" s="3" t="str">
        <f>IF(I803&gt;=3.5,"Excellent",IF(I803&gt;=3,"Good",IF(I803&gt;=2,"Average","Poor")))</f>
        <v>Good</v>
      </c>
      <c r="M803" s="3" t="str">
        <v>Dr.Sharma</v>
      </c>
      <c r="N803" s="3" t="str">
        <f>IF(H803 &gt; (G803*50%), "Yes", "No")</f>
        <v>No</v>
      </c>
      <c r="O803" s="16">
        <f>G803-H803</f>
        <v>5223</v>
      </c>
      <c r="P803" s="16">
        <f>SUMIFS(O803:O803,E803:E803,"Science",F803:F803,"Completed")</f>
        <v>0</v>
      </c>
      <c r="Q803" s="3" t="str">
        <f>IF(MONTH(E803)&gt;=7, YEAR(E803)&amp;"-"&amp;YEAR(E803)+1, YEAR(E803)-1&amp;"-"&amp;YEAR(E803))</f>
        <v>2022-2023</v>
      </c>
      <c r="R803" s="3"/>
      <c r="S803" s="3"/>
      <c r="T803" s="15" t="str">
        <f t="shared" ca="1" si="12"/>
        <v>0</v>
      </c>
      <c r="U803" s="3"/>
    </row>
    <row r="804" spans="1:21" x14ac:dyDescent="0.35">
      <c r="A804" s="3" t="s">
        <v>1629</v>
      </c>
      <c r="B804" s="3" t="s">
        <v>1630</v>
      </c>
      <c r="C804" s="3" t="s">
        <v>57</v>
      </c>
      <c r="D804" s="3" t="s">
        <v>18</v>
      </c>
      <c r="E804" s="6">
        <v>45219</v>
      </c>
      <c r="F804" s="3" t="s">
        <v>14</v>
      </c>
      <c r="G804" s="3">
        <v>6708</v>
      </c>
      <c r="H804" s="3">
        <v>3378</v>
      </c>
      <c r="I804" s="3">
        <v>2.4500000000000002</v>
      </c>
      <c r="J804" s="3">
        <v>116</v>
      </c>
      <c r="K804" s="15">
        <f ca="1">IF(F804="Enrolled",TODAY()-E804,"0")</f>
        <v>835</v>
      </c>
      <c r="L804" s="3" t="str">
        <f>IF(I804&gt;=3.5,"Excellent",IF(I804&gt;=3,"Good",IF(I804&gt;=2,"Average","Poor")))</f>
        <v>Average</v>
      </c>
      <c r="M804" s="3" t="str">
        <v>Dr.Roy</v>
      </c>
      <c r="N804" s="3" t="str">
        <f>IF(H804 &gt; (G804*50%), "Yes", "No")</f>
        <v>Yes</v>
      </c>
      <c r="O804" s="16">
        <f>G804-H804</f>
        <v>3330</v>
      </c>
      <c r="P804" s="16">
        <f>SUMIFS(O804:O804,E804:E804,"Science",F804:F804,"Completed")</f>
        <v>0</v>
      </c>
      <c r="Q804" s="3" t="str">
        <f>IF(MONTH(E804)&gt;=7, YEAR(E804)&amp;"-"&amp;YEAR(E804)+1, YEAR(E804)-1&amp;"-"&amp;YEAR(E804))</f>
        <v>2023-2024</v>
      </c>
      <c r="R804" s="3"/>
      <c r="S804" s="3"/>
      <c r="T804" s="15" t="str">
        <f t="shared" ca="1" si="12"/>
        <v>0</v>
      </c>
      <c r="U804" s="3"/>
    </row>
    <row r="805" spans="1:21" x14ac:dyDescent="0.35">
      <c r="A805" s="3" t="s">
        <v>1631</v>
      </c>
      <c r="B805" s="3" t="s">
        <v>1632</v>
      </c>
      <c r="C805" s="3" t="s">
        <v>57</v>
      </c>
      <c r="D805" s="3" t="s">
        <v>62</v>
      </c>
      <c r="E805" s="6">
        <v>44854</v>
      </c>
      <c r="F805" s="3" t="s">
        <v>14</v>
      </c>
      <c r="G805" s="3">
        <v>8649</v>
      </c>
      <c r="H805" s="3">
        <v>259</v>
      </c>
      <c r="I805" s="3">
        <v>3.8</v>
      </c>
      <c r="J805" s="3">
        <v>104</v>
      </c>
      <c r="K805" s="15">
        <f ca="1">IF(F805="Enrolled",TODAY()-E805,"0")</f>
        <v>1200</v>
      </c>
      <c r="L805" s="3" t="str">
        <f>IF(I805&gt;=3.5,"Excellent",IF(I805&gt;=3,"Good",IF(I805&gt;=2,"Average","Poor")))</f>
        <v>Excellent</v>
      </c>
      <c r="M805" s="3" t="str">
        <v>Dr.Sinha</v>
      </c>
      <c r="N805" s="3" t="str">
        <f>IF(H805 &gt; (G805*50%), "Yes", "No")</f>
        <v>No</v>
      </c>
      <c r="O805" s="16">
        <f>G805-H805</f>
        <v>8390</v>
      </c>
      <c r="P805" s="16">
        <f>SUMIFS(O805:O805,E805:E805,"Science",F805:F805,"Completed")</f>
        <v>0</v>
      </c>
      <c r="Q805" s="3" t="str">
        <f>IF(MONTH(E805)&gt;=7, YEAR(E805)&amp;"-"&amp;YEAR(E805)+1, YEAR(E805)-1&amp;"-"&amp;YEAR(E805))</f>
        <v>2022-2023</v>
      </c>
      <c r="R805" s="3"/>
      <c r="S805" s="3"/>
      <c r="T805" s="15" t="str">
        <f t="shared" ca="1" si="12"/>
        <v>0</v>
      </c>
      <c r="U805" s="3"/>
    </row>
    <row r="806" spans="1:21" x14ac:dyDescent="0.35">
      <c r="A806" s="3" t="s">
        <v>1633</v>
      </c>
      <c r="B806" s="3" t="s">
        <v>1634</v>
      </c>
      <c r="C806" s="3" t="s">
        <v>28</v>
      </c>
      <c r="D806" s="3" t="s">
        <v>13</v>
      </c>
      <c r="E806" s="6">
        <v>45034</v>
      </c>
      <c r="F806" s="3" t="s">
        <v>14</v>
      </c>
      <c r="G806" s="3">
        <v>14403</v>
      </c>
      <c r="H806" s="3">
        <v>6794</v>
      </c>
      <c r="I806" s="3">
        <v>3.08</v>
      </c>
      <c r="J806" s="3">
        <v>12</v>
      </c>
      <c r="K806" s="15">
        <f ca="1">IF(F806="Enrolled",TODAY()-E806,"0")</f>
        <v>1020</v>
      </c>
      <c r="L806" s="3" t="str">
        <f>IF(I806&gt;=3.5,"Excellent",IF(I806&gt;=3,"Good",IF(I806&gt;=2,"Average","Poor")))</f>
        <v>Good</v>
      </c>
      <c r="M806" s="3" t="str">
        <v>Dr.Mehta</v>
      </c>
      <c r="N806" s="3" t="str">
        <f>IF(H806 &gt; (G806*50%), "Yes", "No")</f>
        <v>No</v>
      </c>
      <c r="O806" s="16">
        <f>G806-H806</f>
        <v>7609</v>
      </c>
      <c r="P806" s="16">
        <f>SUMIFS(O806:O806,E806:E806,"Science",F806:F806,"Completed")</f>
        <v>0</v>
      </c>
      <c r="Q806" s="3" t="str">
        <f>IF(MONTH(E806)&gt;=7, YEAR(E806)&amp;"-"&amp;YEAR(E806)+1, YEAR(E806)-1&amp;"-"&amp;YEAR(E806))</f>
        <v>2022-2023</v>
      </c>
      <c r="R806" s="3"/>
      <c r="S806" s="3"/>
      <c r="T806" s="15" t="str">
        <f t="shared" ca="1" si="12"/>
        <v>0</v>
      </c>
      <c r="U806" s="3"/>
    </row>
    <row r="807" spans="1:21" x14ac:dyDescent="0.35">
      <c r="A807" s="3" t="s">
        <v>1635</v>
      </c>
      <c r="B807" s="3" t="s">
        <v>1636</v>
      </c>
      <c r="C807" s="3" t="s">
        <v>25</v>
      </c>
      <c r="D807" s="3" t="s">
        <v>31</v>
      </c>
      <c r="E807" s="6">
        <v>45314</v>
      </c>
      <c r="F807" s="3" t="s">
        <v>14</v>
      </c>
      <c r="G807" s="3">
        <v>6558</v>
      </c>
      <c r="H807" s="3">
        <v>1313</v>
      </c>
      <c r="I807" s="3">
        <v>3.07</v>
      </c>
      <c r="J807" s="3">
        <v>41</v>
      </c>
      <c r="K807" s="15">
        <f ca="1">IF(F807="Enrolled",TODAY()-E807,"0")</f>
        <v>740</v>
      </c>
      <c r="L807" s="3" t="str">
        <f>IF(I807&gt;=3.5,"Excellent",IF(I807&gt;=3,"Good",IF(I807&gt;=2,"Average","Poor")))</f>
        <v>Good</v>
      </c>
      <c r="M807" s="3" t="str">
        <v>Dr.Sharma</v>
      </c>
      <c r="N807" s="3" t="str">
        <f>IF(H807 &gt; (G807*50%), "Yes", "No")</f>
        <v>No</v>
      </c>
      <c r="O807" s="16">
        <f>G807-H807</f>
        <v>5245</v>
      </c>
      <c r="P807" s="16">
        <f>SUMIFS(O807:O807,E807:E807,"Science",F807:F807,"Completed")</f>
        <v>0</v>
      </c>
      <c r="Q807" s="3" t="str">
        <f>IF(MONTH(E807)&gt;=7, YEAR(E807)&amp;"-"&amp;YEAR(E807)+1, YEAR(E807)-1&amp;"-"&amp;YEAR(E807))</f>
        <v>2023-2024</v>
      </c>
      <c r="R807" s="3"/>
      <c r="S807" s="3"/>
      <c r="T807" s="15" t="str">
        <f t="shared" ca="1" si="12"/>
        <v>0</v>
      </c>
      <c r="U807" s="3"/>
    </row>
    <row r="808" spans="1:21" x14ac:dyDescent="0.35">
      <c r="A808" s="3" t="s">
        <v>1637</v>
      </c>
      <c r="B808" s="3" t="s">
        <v>1638</v>
      </c>
      <c r="C808" s="3" t="s">
        <v>57</v>
      </c>
      <c r="D808" s="3" t="s">
        <v>31</v>
      </c>
      <c r="E808" s="6">
        <v>44871</v>
      </c>
      <c r="F808" s="3" t="s">
        <v>14</v>
      </c>
      <c r="G808" s="3">
        <v>9997</v>
      </c>
      <c r="H808" s="3">
        <v>9046</v>
      </c>
      <c r="I808" s="3">
        <v>3.18</v>
      </c>
      <c r="J808" s="3">
        <v>31</v>
      </c>
      <c r="K808" s="15">
        <f ca="1">IF(F808="Enrolled",TODAY()-E808,"0")</f>
        <v>1183</v>
      </c>
      <c r="L808" s="3" t="str">
        <f>IF(I808&gt;=3.5,"Excellent",IF(I808&gt;=3,"Good",IF(I808&gt;=2,"Average","Poor")))</f>
        <v>Good</v>
      </c>
      <c r="M808" s="3" t="str">
        <v>Dr.Sharma</v>
      </c>
      <c r="N808" s="3" t="str">
        <f>IF(H808 &gt; (G808*50%), "Yes", "No")</f>
        <v>Yes</v>
      </c>
      <c r="O808" s="16">
        <f>G808-H808</f>
        <v>951</v>
      </c>
      <c r="P808" s="16">
        <f>SUMIFS(O808:O808,E808:E808,"Science",F808:F808,"Completed")</f>
        <v>0</v>
      </c>
      <c r="Q808" s="3" t="str">
        <f>IF(MONTH(E808)&gt;=7, YEAR(E808)&amp;"-"&amp;YEAR(E808)+1, YEAR(E808)-1&amp;"-"&amp;YEAR(E808))</f>
        <v>2022-2023</v>
      </c>
      <c r="R808" s="3"/>
      <c r="S808" s="3"/>
      <c r="T808" s="15" t="str">
        <f t="shared" ca="1" si="12"/>
        <v>0</v>
      </c>
      <c r="U808" s="3"/>
    </row>
    <row r="809" spans="1:21" x14ac:dyDescent="0.35">
      <c r="A809" s="3" t="s">
        <v>1639</v>
      </c>
      <c r="B809" s="3" t="s">
        <v>1640</v>
      </c>
      <c r="C809" s="3" t="s">
        <v>28</v>
      </c>
      <c r="D809" s="3" t="s">
        <v>62</v>
      </c>
      <c r="E809" s="6">
        <v>45381</v>
      </c>
      <c r="F809" s="3" t="s">
        <v>14</v>
      </c>
      <c r="G809" s="3">
        <v>2195</v>
      </c>
      <c r="H809" s="3">
        <v>5801</v>
      </c>
      <c r="I809" s="3">
        <v>3.09</v>
      </c>
      <c r="J809" s="3">
        <v>29</v>
      </c>
      <c r="K809" s="15">
        <f ca="1">IF(F809="Enrolled",TODAY()-E809,"0")</f>
        <v>673</v>
      </c>
      <c r="L809" s="3" t="str">
        <f>IF(I809&gt;=3.5,"Excellent",IF(I809&gt;=3,"Good",IF(I809&gt;=2,"Average","Poor")))</f>
        <v>Good</v>
      </c>
      <c r="M809" s="3" t="str">
        <v>Dr.Sinha</v>
      </c>
      <c r="N809" s="3" t="str">
        <f>IF(H809 &gt; (G809*50%), "Yes", "No")</f>
        <v>Yes</v>
      </c>
      <c r="O809" s="16">
        <f>G809-H809</f>
        <v>-3606</v>
      </c>
      <c r="P809" s="16">
        <f>SUMIFS(O809:O809,E809:E809,"Science",F809:F809,"Completed")</f>
        <v>0</v>
      </c>
      <c r="Q809" s="3" t="str">
        <f>IF(MONTH(E809)&gt;=7, YEAR(E809)&amp;"-"&amp;YEAR(E809)+1, YEAR(E809)-1&amp;"-"&amp;YEAR(E809))</f>
        <v>2023-2024</v>
      </c>
      <c r="R809" s="3"/>
      <c r="S809" s="3"/>
      <c r="T809" s="15" t="str">
        <f t="shared" ca="1" si="12"/>
        <v>0</v>
      </c>
      <c r="U809" s="3"/>
    </row>
    <row r="810" spans="1:21" x14ac:dyDescent="0.35">
      <c r="A810" s="3" t="s">
        <v>1641</v>
      </c>
      <c r="B810" s="3" t="s">
        <v>1642</v>
      </c>
      <c r="C810" s="3" t="s">
        <v>22</v>
      </c>
      <c r="D810" s="3" t="s">
        <v>13</v>
      </c>
      <c r="E810" s="6">
        <v>44579</v>
      </c>
      <c r="F810" s="3" t="s">
        <v>14</v>
      </c>
      <c r="G810" s="3">
        <v>5342</v>
      </c>
      <c r="H810" s="3">
        <v>8331</v>
      </c>
      <c r="I810" s="3">
        <v>2.34</v>
      </c>
      <c r="J810" s="3">
        <v>28</v>
      </c>
      <c r="K810" s="15">
        <f ca="1">IF(F810="Enrolled",TODAY()-E810,"0")</f>
        <v>1475</v>
      </c>
      <c r="L810" s="3" t="str">
        <f>IF(I810&gt;=3.5,"Excellent",IF(I810&gt;=3,"Good",IF(I810&gt;=2,"Average","Poor")))</f>
        <v>Average</v>
      </c>
      <c r="M810" s="3" t="str">
        <v>Dr.Mehta</v>
      </c>
      <c r="N810" s="3" t="str">
        <f>IF(H810 &gt; (G810*50%), "Yes", "No")</f>
        <v>Yes</v>
      </c>
      <c r="O810" s="16">
        <f>G810-H810</f>
        <v>-2989</v>
      </c>
      <c r="P810" s="16">
        <f>SUMIFS(O810:O810,E810:E810,"Science",F810:F810,"Completed")</f>
        <v>0</v>
      </c>
      <c r="Q810" s="3" t="str">
        <f>IF(MONTH(E810)&gt;=7, YEAR(E810)&amp;"-"&amp;YEAR(E810)+1, YEAR(E810)-1&amp;"-"&amp;YEAR(E810))</f>
        <v>2021-2022</v>
      </c>
      <c r="R810" s="3"/>
      <c r="S810" s="3"/>
      <c r="T810" s="15" t="str">
        <f t="shared" ca="1" si="12"/>
        <v>0</v>
      </c>
      <c r="U810" s="3"/>
    </row>
    <row r="811" spans="1:21" x14ac:dyDescent="0.35">
      <c r="A811" s="3" t="s">
        <v>1643</v>
      </c>
      <c r="B811" s="3" t="s">
        <v>1644</v>
      </c>
      <c r="C811" s="3" t="s">
        <v>57</v>
      </c>
      <c r="D811" s="3" t="s">
        <v>13</v>
      </c>
      <c r="E811" s="6">
        <v>44631</v>
      </c>
      <c r="F811" s="3" t="s">
        <v>19</v>
      </c>
      <c r="G811" s="3">
        <v>8312</v>
      </c>
      <c r="H811" s="3">
        <v>1608</v>
      </c>
      <c r="I811" s="3">
        <v>2.66</v>
      </c>
      <c r="J811" s="3">
        <v>60</v>
      </c>
      <c r="K811" s="15" t="str">
        <f ca="1">IF(F811="Enrolled",TODAY()-E811,"0")</f>
        <v>0</v>
      </c>
      <c r="L811" s="3" t="str">
        <f>IF(I811&gt;=3.5,"Excellent",IF(I811&gt;=3,"Good",IF(I811&gt;=2,"Average","Poor")))</f>
        <v>Average</v>
      </c>
      <c r="M811" s="3" t="str">
        <v>Dr.Mehta</v>
      </c>
      <c r="N811" s="3" t="str">
        <f>IF(H811 &gt; (G811*50%), "Yes", "No")</f>
        <v>No</v>
      </c>
      <c r="O811" s="16">
        <f>G811-H811</f>
        <v>6704</v>
      </c>
      <c r="P811" s="16">
        <f>SUMIFS(O811:O811,E811:E811,"Science",F811:F811,"Completed")</f>
        <v>0</v>
      </c>
      <c r="Q811" s="3" t="str">
        <f>IF(MONTH(E811)&gt;=7, YEAR(E811)&amp;"-"&amp;YEAR(E811)+1, YEAR(E811)-1&amp;"-"&amp;YEAR(E811))</f>
        <v>2021-2022</v>
      </c>
      <c r="R811" s="3"/>
      <c r="S811" s="3"/>
      <c r="T811" s="15">
        <f t="shared" ca="1" si="12"/>
        <v>1423</v>
      </c>
      <c r="U811" s="3"/>
    </row>
    <row r="812" spans="1:21" x14ac:dyDescent="0.35">
      <c r="A812" s="3" t="s">
        <v>1645</v>
      </c>
      <c r="B812" s="3" t="s">
        <v>1646</v>
      </c>
      <c r="C812" s="3" t="s">
        <v>25</v>
      </c>
      <c r="D812" s="3" t="s">
        <v>13</v>
      </c>
      <c r="E812" s="6">
        <v>44781</v>
      </c>
      <c r="F812" s="3" t="s">
        <v>14</v>
      </c>
      <c r="G812" s="3">
        <v>11533</v>
      </c>
      <c r="H812" s="3">
        <v>3137</v>
      </c>
      <c r="I812" s="3">
        <v>3.99</v>
      </c>
      <c r="J812" s="3">
        <v>102</v>
      </c>
      <c r="K812" s="15">
        <f ca="1">IF(F812="Enrolled",TODAY()-E812,"0")</f>
        <v>1273</v>
      </c>
      <c r="L812" s="3" t="str">
        <f>IF(I812&gt;=3.5,"Excellent",IF(I812&gt;=3,"Good",IF(I812&gt;=2,"Average","Poor")))</f>
        <v>Excellent</v>
      </c>
      <c r="M812" s="3" t="str">
        <v>Dr.Mehta</v>
      </c>
      <c r="N812" s="3" t="str">
        <f>IF(H812 &gt; (G812*50%), "Yes", "No")</f>
        <v>No</v>
      </c>
      <c r="O812" s="16">
        <f>G812-H812</f>
        <v>8396</v>
      </c>
      <c r="P812" s="16">
        <f>SUMIFS(O812:O812,E812:E812,"Science",F812:F812,"Completed")</f>
        <v>0</v>
      </c>
      <c r="Q812" s="3" t="str">
        <f>IF(MONTH(E812)&gt;=7, YEAR(E812)&amp;"-"&amp;YEAR(E812)+1, YEAR(E812)-1&amp;"-"&amp;YEAR(E812))</f>
        <v>2022-2023</v>
      </c>
      <c r="R812" s="3"/>
      <c r="S812" s="3"/>
      <c r="T812" s="15" t="str">
        <f t="shared" ca="1" si="12"/>
        <v>0</v>
      </c>
      <c r="U812" s="3"/>
    </row>
    <row r="813" spans="1:21" x14ac:dyDescent="0.35">
      <c r="A813" s="3" t="s">
        <v>1647</v>
      </c>
      <c r="B813" s="3" t="s">
        <v>1648</v>
      </c>
      <c r="C813" s="3" t="s">
        <v>12</v>
      </c>
      <c r="D813" s="3" t="s">
        <v>18</v>
      </c>
      <c r="E813" s="6">
        <v>44922</v>
      </c>
      <c r="F813" s="3" t="s">
        <v>14</v>
      </c>
      <c r="G813" s="3">
        <v>13511</v>
      </c>
      <c r="H813" s="3">
        <v>5464</v>
      </c>
      <c r="I813" s="3">
        <v>3.98</v>
      </c>
      <c r="J813" s="3">
        <v>28</v>
      </c>
      <c r="K813" s="15">
        <f ca="1">IF(F813="Enrolled",TODAY()-E813,"0")</f>
        <v>1132</v>
      </c>
      <c r="L813" s="3" t="str">
        <f>IF(I813&gt;=3.5,"Excellent",IF(I813&gt;=3,"Good",IF(I813&gt;=2,"Average","Poor")))</f>
        <v>Excellent</v>
      </c>
      <c r="M813" s="3" t="str">
        <v>Dr.Roy</v>
      </c>
      <c r="N813" s="3" t="str">
        <f>IF(H813 &gt; (G813*50%), "Yes", "No")</f>
        <v>No</v>
      </c>
      <c r="O813" s="16">
        <f>G813-H813</f>
        <v>8047</v>
      </c>
      <c r="P813" s="16">
        <f>SUMIFS(O813:O813,E813:E813,"Science",F813:F813,"Completed")</f>
        <v>0</v>
      </c>
      <c r="Q813" s="3" t="str">
        <f>IF(MONTH(E813)&gt;=7, YEAR(E813)&amp;"-"&amp;YEAR(E813)+1, YEAR(E813)-1&amp;"-"&amp;YEAR(E813))</f>
        <v>2022-2023</v>
      </c>
      <c r="R813" s="3"/>
      <c r="S813" s="3"/>
      <c r="T813" s="15" t="str">
        <f t="shared" ca="1" si="12"/>
        <v>0</v>
      </c>
      <c r="U813" s="3"/>
    </row>
    <row r="814" spans="1:21" x14ac:dyDescent="0.35">
      <c r="A814" s="3" t="s">
        <v>1649</v>
      </c>
      <c r="B814" s="3" t="s">
        <v>1650</v>
      </c>
      <c r="C814" s="3" t="s">
        <v>22</v>
      </c>
      <c r="D814" s="3" t="s">
        <v>18</v>
      </c>
      <c r="E814" s="6">
        <v>44898</v>
      </c>
      <c r="F814" s="3" t="s">
        <v>14</v>
      </c>
      <c r="G814" s="3">
        <v>14695</v>
      </c>
      <c r="H814" s="3">
        <v>6199</v>
      </c>
      <c r="I814" s="3">
        <v>3.67</v>
      </c>
      <c r="J814" s="3">
        <v>22</v>
      </c>
      <c r="K814" s="15">
        <f ca="1">IF(F814="Enrolled",TODAY()-E814,"0")</f>
        <v>1156</v>
      </c>
      <c r="L814" s="3" t="str">
        <f>IF(I814&gt;=3.5,"Excellent",IF(I814&gt;=3,"Good",IF(I814&gt;=2,"Average","Poor")))</f>
        <v>Excellent</v>
      </c>
      <c r="M814" s="3" t="str">
        <v>Dr.Roy</v>
      </c>
      <c r="N814" s="3" t="str">
        <f>IF(H814 &gt; (G814*50%), "Yes", "No")</f>
        <v>No</v>
      </c>
      <c r="O814" s="16">
        <f>G814-H814</f>
        <v>8496</v>
      </c>
      <c r="P814" s="16">
        <f>SUMIFS(O814:O814,E814:E814,"Science",F814:F814,"Completed")</f>
        <v>0</v>
      </c>
      <c r="Q814" s="3" t="str">
        <f>IF(MONTH(E814)&gt;=7, YEAR(E814)&amp;"-"&amp;YEAR(E814)+1, YEAR(E814)-1&amp;"-"&amp;YEAR(E814))</f>
        <v>2022-2023</v>
      </c>
      <c r="R814" s="3"/>
      <c r="S814" s="3"/>
      <c r="T814" s="15" t="str">
        <f t="shared" ca="1" si="12"/>
        <v>0</v>
      </c>
      <c r="U814" s="3"/>
    </row>
    <row r="815" spans="1:21" x14ac:dyDescent="0.35">
      <c r="A815" s="3" t="s">
        <v>1651</v>
      </c>
      <c r="B815" s="3" t="s">
        <v>1652</v>
      </c>
      <c r="C815" s="3" t="s">
        <v>36</v>
      </c>
      <c r="D815" s="3" t="s">
        <v>31</v>
      </c>
      <c r="E815" s="6">
        <v>44810</v>
      </c>
      <c r="F815" s="3" t="s">
        <v>14</v>
      </c>
      <c r="G815" s="3">
        <v>4571</v>
      </c>
      <c r="H815" s="3">
        <v>8871</v>
      </c>
      <c r="I815" s="3">
        <v>2.04</v>
      </c>
      <c r="J815" s="3">
        <v>94</v>
      </c>
      <c r="K815" s="15">
        <f ca="1">IF(F815="Enrolled",TODAY()-E815,"0")</f>
        <v>1244</v>
      </c>
      <c r="L815" s="3" t="str">
        <f>IF(I815&gt;=3.5,"Excellent",IF(I815&gt;=3,"Good",IF(I815&gt;=2,"Average","Poor")))</f>
        <v>Average</v>
      </c>
      <c r="M815" s="3" t="str">
        <v>Dr.Sharma</v>
      </c>
      <c r="N815" s="3" t="str">
        <f>IF(H815 &gt; (G815*50%), "Yes", "No")</f>
        <v>Yes</v>
      </c>
      <c r="O815" s="16">
        <f>G815-H815</f>
        <v>-4300</v>
      </c>
      <c r="P815" s="16">
        <f>SUMIFS(O815:O815,E815:E815,"Science",F815:F815,"Completed")</f>
        <v>0</v>
      </c>
      <c r="Q815" s="3" t="str">
        <f>IF(MONTH(E815)&gt;=7, YEAR(E815)&amp;"-"&amp;YEAR(E815)+1, YEAR(E815)-1&amp;"-"&amp;YEAR(E815))</f>
        <v>2022-2023</v>
      </c>
      <c r="R815" s="3"/>
      <c r="S815" s="3"/>
      <c r="T815" s="15" t="str">
        <f t="shared" ca="1" si="12"/>
        <v>0</v>
      </c>
      <c r="U815" s="3"/>
    </row>
    <row r="816" spans="1:21" x14ac:dyDescent="0.35">
      <c r="A816" s="3" t="s">
        <v>1653</v>
      </c>
      <c r="B816" s="3" t="s">
        <v>1654</v>
      </c>
      <c r="C816" s="3" t="s">
        <v>12</v>
      </c>
      <c r="D816" s="3" t="s">
        <v>31</v>
      </c>
      <c r="E816" s="6">
        <v>44644</v>
      </c>
      <c r="F816" s="3" t="s">
        <v>19</v>
      </c>
      <c r="G816" s="3">
        <v>12837</v>
      </c>
      <c r="H816" s="3">
        <v>5084</v>
      </c>
      <c r="I816" s="3">
        <v>3.1</v>
      </c>
      <c r="J816" s="3">
        <v>37</v>
      </c>
      <c r="K816" s="15" t="str">
        <f ca="1">IF(F816="Enrolled",TODAY()-E816,"0")</f>
        <v>0</v>
      </c>
      <c r="L816" s="3" t="str">
        <f>IF(I816&gt;=3.5,"Excellent",IF(I816&gt;=3,"Good",IF(I816&gt;=2,"Average","Poor")))</f>
        <v>Good</v>
      </c>
      <c r="M816" s="3" t="str">
        <v>Dr.Sharma</v>
      </c>
      <c r="N816" s="3" t="str">
        <f>IF(H816 &gt; (G816*50%), "Yes", "No")</f>
        <v>No</v>
      </c>
      <c r="O816" s="16">
        <f>G816-H816</f>
        <v>7753</v>
      </c>
      <c r="P816" s="16">
        <f>SUMIFS(O816:O816,E816:E816,"Science",F816:F816,"Completed")</f>
        <v>0</v>
      </c>
      <c r="Q816" s="3" t="str">
        <f>IF(MONTH(E816)&gt;=7, YEAR(E816)&amp;"-"&amp;YEAR(E816)+1, YEAR(E816)-1&amp;"-"&amp;YEAR(E816))</f>
        <v>2021-2022</v>
      </c>
      <c r="R816" s="3"/>
      <c r="S816" s="3"/>
      <c r="T816" s="15">
        <f t="shared" ca="1" si="12"/>
        <v>1410</v>
      </c>
      <c r="U816" s="3"/>
    </row>
    <row r="817" spans="1:21" x14ac:dyDescent="0.35">
      <c r="A817" s="3" t="s">
        <v>1655</v>
      </c>
      <c r="B817" s="3" t="s">
        <v>1656</v>
      </c>
      <c r="C817" s="3" t="s">
        <v>28</v>
      </c>
      <c r="D817" s="3" t="s">
        <v>13</v>
      </c>
      <c r="E817" s="6">
        <v>45434</v>
      </c>
      <c r="F817" s="3" t="s">
        <v>19</v>
      </c>
      <c r="G817" s="3">
        <v>3199</v>
      </c>
      <c r="H817" s="3">
        <v>5772</v>
      </c>
      <c r="I817" s="3">
        <v>2.14</v>
      </c>
      <c r="J817" s="3">
        <v>5</v>
      </c>
      <c r="K817" s="15" t="str">
        <f ca="1">IF(F817="Enrolled",TODAY()-E817,"0")</f>
        <v>0</v>
      </c>
      <c r="L817" s="3" t="str">
        <f>IF(I817&gt;=3.5,"Excellent",IF(I817&gt;=3,"Good",IF(I817&gt;=2,"Average","Poor")))</f>
        <v>Average</v>
      </c>
      <c r="M817" s="3" t="str">
        <v>Dr.Mehta</v>
      </c>
      <c r="N817" s="3" t="str">
        <f>IF(H817 &gt; (G817*50%), "Yes", "No")</f>
        <v>Yes</v>
      </c>
      <c r="O817" s="16">
        <f>G817-H817</f>
        <v>-2573</v>
      </c>
      <c r="P817" s="16">
        <f>SUMIFS(O817:O817,E817:E817,"Science",F817:F817,"Completed")</f>
        <v>0</v>
      </c>
      <c r="Q817" s="3" t="str">
        <f>IF(MONTH(E817)&gt;=7, YEAR(E817)&amp;"-"&amp;YEAR(E817)+1, YEAR(E817)-1&amp;"-"&amp;YEAR(E817))</f>
        <v>2023-2024</v>
      </c>
      <c r="R817" s="3"/>
      <c r="S817" s="3"/>
      <c r="T817" s="15">
        <f t="shared" ca="1" si="12"/>
        <v>620</v>
      </c>
      <c r="U817" s="3"/>
    </row>
    <row r="818" spans="1:21" x14ac:dyDescent="0.35">
      <c r="A818" s="3" t="s">
        <v>1657</v>
      </c>
      <c r="B818" s="3" t="s">
        <v>1658</v>
      </c>
      <c r="C818" s="3" t="s">
        <v>12</v>
      </c>
      <c r="D818" s="3" t="s">
        <v>31</v>
      </c>
      <c r="E818" s="6">
        <v>45414</v>
      </c>
      <c r="F818" s="3" t="s">
        <v>19</v>
      </c>
      <c r="G818" s="3">
        <v>2199</v>
      </c>
      <c r="H818" s="3">
        <v>5986</v>
      </c>
      <c r="I818" s="3">
        <v>3.13</v>
      </c>
      <c r="J818" s="3">
        <v>33</v>
      </c>
      <c r="K818" s="15" t="str">
        <f ca="1">IF(F818="Enrolled",TODAY()-E818,"0")</f>
        <v>0</v>
      </c>
      <c r="L818" s="3" t="str">
        <f>IF(I818&gt;=3.5,"Excellent",IF(I818&gt;=3,"Good",IF(I818&gt;=2,"Average","Poor")))</f>
        <v>Good</v>
      </c>
      <c r="M818" s="3" t="str">
        <v>Dr.Sharma</v>
      </c>
      <c r="N818" s="3" t="str">
        <f>IF(H818 &gt; (G818*50%), "Yes", "No")</f>
        <v>Yes</v>
      </c>
      <c r="O818" s="16">
        <f>G818-H818</f>
        <v>-3787</v>
      </c>
      <c r="P818" s="16">
        <f>SUMIFS(O818:O818,E818:E818,"Science",F818:F818,"Completed")</f>
        <v>0</v>
      </c>
      <c r="Q818" s="3" t="str">
        <f>IF(MONTH(E818)&gt;=7, YEAR(E818)&amp;"-"&amp;YEAR(E818)+1, YEAR(E818)-1&amp;"-"&amp;YEAR(E818))</f>
        <v>2023-2024</v>
      </c>
      <c r="R818" s="3"/>
      <c r="S818" s="3"/>
      <c r="T818" s="15">
        <f t="shared" ca="1" si="12"/>
        <v>640</v>
      </c>
      <c r="U818" s="3"/>
    </row>
    <row r="819" spans="1:21" x14ac:dyDescent="0.35">
      <c r="A819" s="3" t="s">
        <v>1659</v>
      </c>
      <c r="B819" s="3" t="s">
        <v>1660</v>
      </c>
      <c r="C819" s="3" t="s">
        <v>28</v>
      </c>
      <c r="D819" s="3" t="s">
        <v>31</v>
      </c>
      <c r="E819" s="6">
        <v>45384</v>
      </c>
      <c r="F819" s="3" t="s">
        <v>19</v>
      </c>
      <c r="G819" s="3">
        <v>2150</v>
      </c>
      <c r="H819" s="3">
        <v>6873</v>
      </c>
      <c r="I819" s="3">
        <v>2.11</v>
      </c>
      <c r="J819" s="3">
        <v>23</v>
      </c>
      <c r="K819" s="15" t="str">
        <f ca="1">IF(F819="Enrolled",TODAY()-E819,"0")</f>
        <v>0</v>
      </c>
      <c r="L819" s="3" t="str">
        <f>IF(I819&gt;=3.5,"Excellent",IF(I819&gt;=3,"Good",IF(I819&gt;=2,"Average","Poor")))</f>
        <v>Average</v>
      </c>
      <c r="M819" s="3" t="str">
        <v>Dr.Sharma</v>
      </c>
      <c r="N819" s="3" t="str">
        <f>IF(H819 &gt; (G819*50%), "Yes", "No")</f>
        <v>Yes</v>
      </c>
      <c r="O819" s="16">
        <f>G819-H819</f>
        <v>-4723</v>
      </c>
      <c r="P819" s="16">
        <f>SUMIFS(O819:O819,E819:E819,"Science",F819:F819,"Completed")</f>
        <v>0</v>
      </c>
      <c r="Q819" s="3" t="str">
        <f>IF(MONTH(E819)&gt;=7, YEAR(E819)&amp;"-"&amp;YEAR(E819)+1, YEAR(E819)-1&amp;"-"&amp;YEAR(E819))</f>
        <v>2023-2024</v>
      </c>
      <c r="R819" s="3"/>
      <c r="S819" s="3"/>
      <c r="T819" s="15">
        <f t="shared" ca="1" si="12"/>
        <v>670</v>
      </c>
      <c r="U819" s="3"/>
    </row>
    <row r="820" spans="1:21" x14ac:dyDescent="0.35">
      <c r="A820" s="3" t="s">
        <v>1661</v>
      </c>
      <c r="B820" s="3" t="s">
        <v>1662</v>
      </c>
      <c r="C820" s="3" t="s">
        <v>17</v>
      </c>
      <c r="D820" s="3" t="s">
        <v>62</v>
      </c>
      <c r="E820" s="6">
        <v>45461</v>
      </c>
      <c r="F820" s="3" t="s">
        <v>39</v>
      </c>
      <c r="G820" s="3">
        <v>9905</v>
      </c>
      <c r="H820" s="3">
        <v>6715</v>
      </c>
      <c r="I820" s="3">
        <v>2.12</v>
      </c>
      <c r="J820" s="3">
        <v>101</v>
      </c>
      <c r="K820" s="15" t="str">
        <f ca="1">IF(F820="Enrolled",TODAY()-E820,"0")</f>
        <v>0</v>
      </c>
      <c r="L820" s="3" t="str">
        <f>IF(I820&gt;=3.5,"Excellent",IF(I820&gt;=3,"Good",IF(I820&gt;=2,"Average","Poor")))</f>
        <v>Average</v>
      </c>
      <c r="M820" s="3" t="str">
        <v>Dr.Sinha</v>
      </c>
      <c r="N820" s="3" t="str">
        <f>IF(H820 &gt; (G820*50%), "Yes", "No")</f>
        <v>Yes</v>
      </c>
      <c r="O820" s="16">
        <f>G820-H820</f>
        <v>3190</v>
      </c>
      <c r="P820" s="16">
        <f>SUMIFS(O820:O820,E820:E820,"Science",F820:F820,"Completed")</f>
        <v>0</v>
      </c>
      <c r="Q820" s="3" t="str">
        <f>IF(MONTH(E820)&gt;=7, YEAR(E820)&amp;"-"&amp;YEAR(E820)+1, YEAR(E820)-1&amp;"-"&amp;YEAR(E820))</f>
        <v>2023-2024</v>
      </c>
      <c r="R820" s="3"/>
      <c r="S820" s="3"/>
      <c r="T820" s="15" t="str">
        <f t="shared" ca="1" si="12"/>
        <v>0</v>
      </c>
      <c r="U820" s="3"/>
    </row>
    <row r="821" spans="1:21" x14ac:dyDescent="0.35">
      <c r="A821" s="3" t="s">
        <v>1663</v>
      </c>
      <c r="B821" s="3" t="s">
        <v>1664</v>
      </c>
      <c r="C821" s="3" t="s">
        <v>12</v>
      </c>
      <c r="D821" s="3" t="s">
        <v>62</v>
      </c>
      <c r="E821" s="6">
        <v>44841</v>
      </c>
      <c r="F821" s="3" t="s">
        <v>14</v>
      </c>
      <c r="G821" s="3">
        <v>2124</v>
      </c>
      <c r="H821" s="3">
        <v>464</v>
      </c>
      <c r="I821" s="3">
        <v>3.19</v>
      </c>
      <c r="J821" s="3">
        <v>39</v>
      </c>
      <c r="K821" s="15">
        <f ca="1">IF(F821="Enrolled",TODAY()-E821,"0")</f>
        <v>1213</v>
      </c>
      <c r="L821" s="3" t="str">
        <f>IF(I821&gt;=3.5,"Excellent",IF(I821&gt;=3,"Good",IF(I821&gt;=2,"Average","Poor")))</f>
        <v>Good</v>
      </c>
      <c r="M821" s="3" t="str">
        <v>Dr.Sinha</v>
      </c>
      <c r="N821" s="3" t="str">
        <f>IF(H821 &gt; (G821*50%), "Yes", "No")</f>
        <v>No</v>
      </c>
      <c r="O821" s="16">
        <f>G821-H821</f>
        <v>1660</v>
      </c>
      <c r="P821" s="16">
        <f>SUMIFS(O821:O821,E821:E821,"Science",F821:F821,"Completed")</f>
        <v>0</v>
      </c>
      <c r="Q821" s="3" t="str">
        <f>IF(MONTH(E821)&gt;=7, YEAR(E821)&amp;"-"&amp;YEAR(E821)+1, YEAR(E821)-1&amp;"-"&amp;YEAR(E821))</f>
        <v>2022-2023</v>
      </c>
      <c r="R821" s="3"/>
      <c r="S821" s="3"/>
      <c r="T821" s="15" t="str">
        <f t="shared" ca="1" si="12"/>
        <v>0</v>
      </c>
      <c r="U821" s="3"/>
    </row>
    <row r="822" spans="1:21" x14ac:dyDescent="0.35">
      <c r="A822" s="3" t="s">
        <v>1665</v>
      </c>
      <c r="B822" s="3" t="s">
        <v>1666</v>
      </c>
      <c r="C822" s="3" t="s">
        <v>57</v>
      </c>
      <c r="D822" s="3" t="s">
        <v>13</v>
      </c>
      <c r="E822" s="6">
        <v>45432</v>
      </c>
      <c r="F822" s="3" t="s">
        <v>14</v>
      </c>
      <c r="G822" s="3">
        <v>2690</v>
      </c>
      <c r="H822" s="3">
        <v>7185</v>
      </c>
      <c r="I822" s="3">
        <v>2.06</v>
      </c>
      <c r="J822" s="3">
        <v>15</v>
      </c>
      <c r="K822" s="15">
        <f ca="1">IF(F822="Enrolled",TODAY()-E822,"0")</f>
        <v>622</v>
      </c>
      <c r="L822" s="3" t="str">
        <f>IF(I822&gt;=3.5,"Excellent",IF(I822&gt;=3,"Good",IF(I822&gt;=2,"Average","Poor")))</f>
        <v>Average</v>
      </c>
      <c r="M822" s="3" t="str">
        <v>Dr.Mehta</v>
      </c>
      <c r="N822" s="3" t="str">
        <f>IF(H822 &gt; (G822*50%), "Yes", "No")</f>
        <v>Yes</v>
      </c>
      <c r="O822" s="16">
        <f>G822-H822</f>
        <v>-4495</v>
      </c>
      <c r="P822" s="16">
        <f>SUMIFS(O822:O822,E822:E822,"Science",F822:F822,"Completed")</f>
        <v>0</v>
      </c>
      <c r="Q822" s="3" t="str">
        <f>IF(MONTH(E822)&gt;=7, YEAR(E822)&amp;"-"&amp;YEAR(E822)+1, YEAR(E822)-1&amp;"-"&amp;YEAR(E822))</f>
        <v>2023-2024</v>
      </c>
      <c r="R822" s="3"/>
      <c r="S822" s="3"/>
      <c r="T822" s="15" t="str">
        <f t="shared" ca="1" si="12"/>
        <v>0</v>
      </c>
      <c r="U822" s="3"/>
    </row>
    <row r="823" spans="1:21" x14ac:dyDescent="0.35">
      <c r="A823" s="3" t="s">
        <v>1667</v>
      </c>
      <c r="B823" s="3" t="s">
        <v>1668</v>
      </c>
      <c r="C823" s="3" t="s">
        <v>57</v>
      </c>
      <c r="D823" s="3" t="s">
        <v>62</v>
      </c>
      <c r="E823" s="6">
        <v>44770</v>
      </c>
      <c r="F823" s="3" t="s">
        <v>14</v>
      </c>
      <c r="G823" s="3">
        <v>13523</v>
      </c>
      <c r="H823" s="3">
        <v>1946</v>
      </c>
      <c r="I823" s="3">
        <v>2.35</v>
      </c>
      <c r="J823" s="3">
        <v>2</v>
      </c>
      <c r="K823" s="15">
        <f ca="1">IF(F823="Enrolled",TODAY()-E823,"0")</f>
        <v>1284</v>
      </c>
      <c r="L823" s="3" t="str">
        <f>IF(I823&gt;=3.5,"Excellent",IF(I823&gt;=3,"Good",IF(I823&gt;=2,"Average","Poor")))</f>
        <v>Average</v>
      </c>
      <c r="M823" s="3" t="str">
        <v>Dr.Sinha</v>
      </c>
      <c r="N823" s="3" t="str">
        <f>IF(H823 &gt; (G823*50%), "Yes", "No")</f>
        <v>No</v>
      </c>
      <c r="O823" s="16">
        <f>G823-H823</f>
        <v>11577</v>
      </c>
      <c r="P823" s="16">
        <f>SUMIFS(O823:O823,E823:E823,"Science",F823:F823,"Completed")</f>
        <v>0</v>
      </c>
      <c r="Q823" s="3" t="str">
        <f>IF(MONTH(E823)&gt;=7, YEAR(E823)&amp;"-"&amp;YEAR(E823)+1, YEAR(E823)-1&amp;"-"&amp;YEAR(E823))</f>
        <v>2022-2023</v>
      </c>
      <c r="R823" s="3"/>
      <c r="S823" s="3"/>
      <c r="T823" s="15" t="str">
        <f t="shared" ca="1" si="12"/>
        <v>0</v>
      </c>
      <c r="U823" s="3"/>
    </row>
    <row r="824" spans="1:21" x14ac:dyDescent="0.35">
      <c r="A824" s="3" t="s">
        <v>1669</v>
      </c>
      <c r="B824" s="3" t="s">
        <v>1670</v>
      </c>
      <c r="C824" s="3" t="s">
        <v>22</v>
      </c>
      <c r="D824" s="3" t="s">
        <v>31</v>
      </c>
      <c r="E824" s="6">
        <v>44631</v>
      </c>
      <c r="F824" s="3" t="s">
        <v>14</v>
      </c>
      <c r="G824" s="3">
        <v>13442</v>
      </c>
      <c r="H824" s="3">
        <v>1267</v>
      </c>
      <c r="I824" s="3">
        <v>3.66</v>
      </c>
      <c r="J824" s="3">
        <v>72</v>
      </c>
      <c r="K824" s="15">
        <f ca="1">IF(F824="Enrolled",TODAY()-E824,"0")</f>
        <v>1423</v>
      </c>
      <c r="L824" s="3" t="str">
        <f>IF(I824&gt;=3.5,"Excellent",IF(I824&gt;=3,"Good",IF(I824&gt;=2,"Average","Poor")))</f>
        <v>Excellent</v>
      </c>
      <c r="M824" s="3" t="str">
        <v>Dr.Sharma</v>
      </c>
      <c r="N824" s="3" t="str">
        <f>IF(H824 &gt; (G824*50%), "Yes", "No")</f>
        <v>No</v>
      </c>
      <c r="O824" s="16">
        <f>G824-H824</f>
        <v>12175</v>
      </c>
      <c r="P824" s="16">
        <f>SUMIFS(O824:O824,E824:E824,"Science",F824:F824,"Completed")</f>
        <v>0</v>
      </c>
      <c r="Q824" s="3" t="str">
        <f>IF(MONTH(E824)&gt;=7, YEAR(E824)&amp;"-"&amp;YEAR(E824)+1, YEAR(E824)-1&amp;"-"&amp;YEAR(E824))</f>
        <v>2021-2022</v>
      </c>
      <c r="R824" s="3"/>
      <c r="S824" s="3"/>
      <c r="T824" s="15" t="str">
        <f t="shared" ca="1" si="12"/>
        <v>0</v>
      </c>
      <c r="U824" s="3"/>
    </row>
    <row r="825" spans="1:21" x14ac:dyDescent="0.35">
      <c r="A825" s="3" t="s">
        <v>1671</v>
      </c>
      <c r="B825" s="3" t="s">
        <v>1672</v>
      </c>
      <c r="C825" s="3" t="s">
        <v>25</v>
      </c>
      <c r="D825" s="3" t="s">
        <v>18</v>
      </c>
      <c r="E825" s="6">
        <v>45327</v>
      </c>
      <c r="F825" s="3" t="s">
        <v>19</v>
      </c>
      <c r="G825" s="3">
        <v>6885</v>
      </c>
      <c r="H825" s="3">
        <v>386</v>
      </c>
      <c r="I825" s="3">
        <v>2.57</v>
      </c>
      <c r="J825" s="3">
        <v>111</v>
      </c>
      <c r="K825" s="15" t="str">
        <f ca="1">IF(F825="Enrolled",TODAY()-E825,"0")</f>
        <v>0</v>
      </c>
      <c r="L825" s="3" t="str">
        <f>IF(I825&gt;=3.5,"Excellent",IF(I825&gt;=3,"Good",IF(I825&gt;=2,"Average","Poor")))</f>
        <v>Average</v>
      </c>
      <c r="M825" s="3" t="str">
        <v>Dr.Roy</v>
      </c>
      <c r="N825" s="3" t="str">
        <f>IF(H825 &gt; (G825*50%), "Yes", "No")</f>
        <v>No</v>
      </c>
      <c r="O825" s="16">
        <f>G825-H825</f>
        <v>6499</v>
      </c>
      <c r="P825" s="16">
        <f>SUMIFS(O825:O825,E825:E825,"Science",F825:F825,"Completed")</f>
        <v>0</v>
      </c>
      <c r="Q825" s="3" t="str">
        <f>IF(MONTH(E825)&gt;=7, YEAR(E825)&amp;"-"&amp;YEAR(E825)+1, YEAR(E825)-1&amp;"-"&amp;YEAR(E825))</f>
        <v>2023-2024</v>
      </c>
      <c r="R825" s="3"/>
      <c r="S825" s="3"/>
      <c r="T825" s="15">
        <f t="shared" ca="1" si="12"/>
        <v>727</v>
      </c>
      <c r="U825" s="3"/>
    </row>
    <row r="826" spans="1:21" x14ac:dyDescent="0.35">
      <c r="A826" s="3" t="s">
        <v>1673</v>
      </c>
      <c r="B826" s="3" t="s">
        <v>1674</v>
      </c>
      <c r="C826" s="3" t="s">
        <v>36</v>
      </c>
      <c r="D826" s="3" t="s">
        <v>62</v>
      </c>
      <c r="E826" s="6">
        <v>44618</v>
      </c>
      <c r="F826" s="3" t="s">
        <v>19</v>
      </c>
      <c r="G826" s="3">
        <v>5021</v>
      </c>
      <c r="H826" s="3">
        <v>5227</v>
      </c>
      <c r="I826" s="3">
        <v>3.65</v>
      </c>
      <c r="J826" s="3">
        <v>97</v>
      </c>
      <c r="K826" s="15" t="str">
        <f ca="1">IF(F826="Enrolled",TODAY()-E826,"0")</f>
        <v>0</v>
      </c>
      <c r="L826" s="3" t="str">
        <f>IF(I826&gt;=3.5,"Excellent",IF(I826&gt;=3,"Good",IF(I826&gt;=2,"Average","Poor")))</f>
        <v>Excellent</v>
      </c>
      <c r="M826" s="3" t="str">
        <v>Dr.Sinha</v>
      </c>
      <c r="N826" s="3" t="str">
        <f>IF(H826 &gt; (G826*50%), "Yes", "No")</f>
        <v>Yes</v>
      </c>
      <c r="O826" s="16">
        <f>G826-H826</f>
        <v>-206</v>
      </c>
      <c r="P826" s="16">
        <f>SUMIFS(O826:O826,E826:E826,"Science",F826:F826,"Completed")</f>
        <v>0</v>
      </c>
      <c r="Q826" s="3" t="str">
        <f>IF(MONTH(E826)&gt;=7, YEAR(E826)&amp;"-"&amp;YEAR(E826)+1, YEAR(E826)-1&amp;"-"&amp;YEAR(E826))</f>
        <v>2021-2022</v>
      </c>
      <c r="R826" s="3"/>
      <c r="S826" s="3"/>
      <c r="T826" s="15">
        <f t="shared" ca="1" si="12"/>
        <v>1436</v>
      </c>
      <c r="U826" s="3"/>
    </row>
    <row r="827" spans="1:21" x14ac:dyDescent="0.35">
      <c r="A827" s="3" t="s">
        <v>1675</v>
      </c>
      <c r="B827" s="3" t="s">
        <v>1676</v>
      </c>
      <c r="C827" s="3" t="s">
        <v>17</v>
      </c>
      <c r="D827" s="3" t="s">
        <v>31</v>
      </c>
      <c r="E827" s="6">
        <v>44613</v>
      </c>
      <c r="F827" s="3" t="s">
        <v>14</v>
      </c>
      <c r="G827" s="3">
        <v>7061</v>
      </c>
      <c r="H827" s="3">
        <v>7017</v>
      </c>
      <c r="I827" s="3">
        <v>3.69</v>
      </c>
      <c r="J827" s="3">
        <v>26</v>
      </c>
      <c r="K827" s="15">
        <f ca="1">IF(F827="Enrolled",TODAY()-E827,"0")</f>
        <v>1441</v>
      </c>
      <c r="L827" s="3" t="str">
        <f>IF(I827&gt;=3.5,"Excellent",IF(I827&gt;=3,"Good",IF(I827&gt;=2,"Average","Poor")))</f>
        <v>Excellent</v>
      </c>
      <c r="M827" s="3" t="str">
        <v>Dr.Sharma</v>
      </c>
      <c r="N827" s="3" t="str">
        <f>IF(H827 &gt; (G827*50%), "Yes", "No")</f>
        <v>Yes</v>
      </c>
      <c r="O827" s="16">
        <f>G827-H827</f>
        <v>44</v>
      </c>
      <c r="P827" s="16">
        <f>SUMIFS(O827:O827,E827:E827,"Science",F827:F827,"Completed")</f>
        <v>0</v>
      </c>
      <c r="Q827" s="3" t="str">
        <f>IF(MONTH(E827)&gt;=7, YEAR(E827)&amp;"-"&amp;YEAR(E827)+1, YEAR(E827)-1&amp;"-"&amp;YEAR(E827))</f>
        <v>2021-2022</v>
      </c>
      <c r="R827" s="3"/>
      <c r="S827" s="3"/>
      <c r="T827" s="15" t="str">
        <f t="shared" ca="1" si="12"/>
        <v>0</v>
      </c>
      <c r="U827" s="3"/>
    </row>
    <row r="828" spans="1:21" x14ac:dyDescent="0.35">
      <c r="A828" s="3" t="s">
        <v>1677</v>
      </c>
      <c r="B828" s="3" t="s">
        <v>1678</v>
      </c>
      <c r="C828" s="3" t="s">
        <v>12</v>
      </c>
      <c r="D828" s="3" t="s">
        <v>62</v>
      </c>
      <c r="E828" s="6">
        <v>45409</v>
      </c>
      <c r="F828" s="3" t="s">
        <v>19</v>
      </c>
      <c r="G828" s="3">
        <v>7729</v>
      </c>
      <c r="H828" s="3">
        <v>3775</v>
      </c>
      <c r="I828" s="3">
        <v>2.08</v>
      </c>
      <c r="J828" s="3">
        <v>59</v>
      </c>
      <c r="K828" s="15" t="str">
        <f ca="1">IF(F828="Enrolled",TODAY()-E828,"0")</f>
        <v>0</v>
      </c>
      <c r="L828" s="3" t="str">
        <f>IF(I828&gt;=3.5,"Excellent",IF(I828&gt;=3,"Good",IF(I828&gt;=2,"Average","Poor")))</f>
        <v>Average</v>
      </c>
      <c r="M828" s="3" t="str">
        <v>Dr.Sinha</v>
      </c>
      <c r="N828" s="3" t="str">
        <f>IF(H828 &gt; (G828*50%), "Yes", "No")</f>
        <v>No</v>
      </c>
      <c r="O828" s="16">
        <f>G828-H828</f>
        <v>3954</v>
      </c>
      <c r="P828" s="16">
        <f>SUMIFS(O828:O828,E828:E828,"Science",F828:F828,"Completed")</f>
        <v>0</v>
      </c>
      <c r="Q828" s="3" t="str">
        <f>IF(MONTH(E828)&gt;=7, YEAR(E828)&amp;"-"&amp;YEAR(E828)+1, YEAR(E828)-1&amp;"-"&amp;YEAR(E828))</f>
        <v>2023-2024</v>
      </c>
      <c r="R828" s="3"/>
      <c r="S828" s="3"/>
      <c r="T828" s="15">
        <f t="shared" ca="1" si="12"/>
        <v>645</v>
      </c>
      <c r="U828" s="3"/>
    </row>
    <row r="829" spans="1:21" x14ac:dyDescent="0.35">
      <c r="A829" s="3" t="s">
        <v>1679</v>
      </c>
      <c r="B829" s="3" t="s">
        <v>1680</v>
      </c>
      <c r="C829" s="3" t="s">
        <v>54</v>
      </c>
      <c r="D829" s="3" t="s">
        <v>18</v>
      </c>
      <c r="E829" s="6">
        <v>44638</v>
      </c>
      <c r="F829" s="3" t="s">
        <v>19</v>
      </c>
      <c r="G829" s="3">
        <v>12330</v>
      </c>
      <c r="H829" s="3">
        <v>3766</v>
      </c>
      <c r="I829" s="3">
        <v>3.85</v>
      </c>
      <c r="J829" s="3">
        <v>59</v>
      </c>
      <c r="K829" s="15" t="str">
        <f ca="1">IF(F829="Enrolled",TODAY()-E829,"0")</f>
        <v>0</v>
      </c>
      <c r="L829" s="3" t="str">
        <f>IF(I829&gt;=3.5,"Excellent",IF(I829&gt;=3,"Good",IF(I829&gt;=2,"Average","Poor")))</f>
        <v>Excellent</v>
      </c>
      <c r="M829" s="3" t="str">
        <v>Dr.Roy</v>
      </c>
      <c r="N829" s="3" t="str">
        <f>IF(H829 &gt; (G829*50%), "Yes", "No")</f>
        <v>No</v>
      </c>
      <c r="O829" s="16">
        <f>G829-H829</f>
        <v>8564</v>
      </c>
      <c r="P829" s="16">
        <f>SUMIFS(O829:O829,E829:E829,"Science",F829:F829,"Completed")</f>
        <v>0</v>
      </c>
      <c r="Q829" s="3" t="str">
        <f>IF(MONTH(E829)&gt;=7, YEAR(E829)&amp;"-"&amp;YEAR(E829)+1, YEAR(E829)-1&amp;"-"&amp;YEAR(E829))</f>
        <v>2021-2022</v>
      </c>
      <c r="R829" s="3"/>
      <c r="S829" s="3"/>
      <c r="T829" s="15">
        <f t="shared" ca="1" si="12"/>
        <v>1416</v>
      </c>
      <c r="U829" s="3"/>
    </row>
    <row r="830" spans="1:21" x14ac:dyDescent="0.35">
      <c r="A830" s="3" t="s">
        <v>1681</v>
      </c>
      <c r="B830" s="3" t="s">
        <v>1682</v>
      </c>
      <c r="C830" s="3" t="s">
        <v>22</v>
      </c>
      <c r="D830" s="3" t="s">
        <v>31</v>
      </c>
      <c r="E830" s="6">
        <v>44649</v>
      </c>
      <c r="F830" s="3" t="s">
        <v>19</v>
      </c>
      <c r="G830" s="3">
        <v>11714</v>
      </c>
      <c r="H830" s="3">
        <v>8902</v>
      </c>
      <c r="I830" s="3">
        <v>2.66</v>
      </c>
      <c r="J830" s="3">
        <v>87</v>
      </c>
      <c r="K830" s="15" t="str">
        <f ca="1">IF(F830="Enrolled",TODAY()-E830,"0")</f>
        <v>0</v>
      </c>
      <c r="L830" s="3" t="str">
        <f>IF(I830&gt;=3.5,"Excellent",IF(I830&gt;=3,"Good",IF(I830&gt;=2,"Average","Poor")))</f>
        <v>Average</v>
      </c>
      <c r="M830" s="3" t="str">
        <v>Dr.Sharma</v>
      </c>
      <c r="N830" s="3" t="str">
        <f>IF(H830 &gt; (G830*50%), "Yes", "No")</f>
        <v>Yes</v>
      </c>
      <c r="O830" s="16">
        <f>G830-H830</f>
        <v>2812</v>
      </c>
      <c r="P830" s="16">
        <f>SUMIFS(O830:O830,E830:E830,"Science",F830:F830,"Completed")</f>
        <v>0</v>
      </c>
      <c r="Q830" s="3" t="str">
        <f>IF(MONTH(E830)&gt;=7, YEAR(E830)&amp;"-"&amp;YEAR(E830)+1, YEAR(E830)-1&amp;"-"&amp;YEAR(E830))</f>
        <v>2021-2022</v>
      </c>
      <c r="R830" s="3"/>
      <c r="S830" s="3"/>
      <c r="T830" s="15">
        <f t="shared" ca="1" si="12"/>
        <v>1405</v>
      </c>
      <c r="U830" s="3"/>
    </row>
    <row r="831" spans="1:21" x14ac:dyDescent="0.35">
      <c r="A831" s="3" t="s">
        <v>1683</v>
      </c>
      <c r="B831" s="3" t="s">
        <v>1684</v>
      </c>
      <c r="C831" s="3" t="s">
        <v>12</v>
      </c>
      <c r="D831" s="3" t="s">
        <v>18</v>
      </c>
      <c r="E831" s="6">
        <v>44641</v>
      </c>
      <c r="F831" s="3" t="s">
        <v>19</v>
      </c>
      <c r="G831" s="3">
        <v>11559</v>
      </c>
      <c r="H831" s="3">
        <v>7261</v>
      </c>
      <c r="I831" s="3">
        <v>3.35</v>
      </c>
      <c r="J831" s="3">
        <v>13</v>
      </c>
      <c r="K831" s="15" t="str">
        <f ca="1">IF(F831="Enrolled",TODAY()-E831,"0")</f>
        <v>0</v>
      </c>
      <c r="L831" s="3" t="str">
        <f>IF(I831&gt;=3.5,"Excellent",IF(I831&gt;=3,"Good",IF(I831&gt;=2,"Average","Poor")))</f>
        <v>Good</v>
      </c>
      <c r="M831" s="3" t="str">
        <v>Dr.Roy</v>
      </c>
      <c r="N831" s="3" t="str">
        <f>IF(H831 &gt; (G831*50%), "Yes", "No")</f>
        <v>Yes</v>
      </c>
      <c r="O831" s="16">
        <f>G831-H831</f>
        <v>4298</v>
      </c>
      <c r="P831" s="16">
        <f>SUMIFS(O831:O831,E831:E831,"Science",F831:F831,"Completed")</f>
        <v>0</v>
      </c>
      <c r="Q831" s="3" t="str">
        <f>IF(MONTH(E831)&gt;=7, YEAR(E831)&amp;"-"&amp;YEAR(E831)+1, YEAR(E831)-1&amp;"-"&amp;YEAR(E831))</f>
        <v>2021-2022</v>
      </c>
      <c r="R831" s="3"/>
      <c r="S831" s="3"/>
      <c r="T831" s="15">
        <f t="shared" ca="1" si="12"/>
        <v>1413</v>
      </c>
      <c r="U831" s="3"/>
    </row>
    <row r="832" spans="1:21" x14ac:dyDescent="0.35">
      <c r="A832" s="3" t="s">
        <v>1685</v>
      </c>
      <c r="B832" s="3" t="s">
        <v>1686</v>
      </c>
      <c r="C832" s="3" t="s">
        <v>57</v>
      </c>
      <c r="D832" s="3" t="s">
        <v>62</v>
      </c>
      <c r="E832" s="6">
        <v>45345</v>
      </c>
      <c r="F832" s="3" t="s">
        <v>14</v>
      </c>
      <c r="G832" s="3">
        <v>14978</v>
      </c>
      <c r="H832" s="3">
        <v>1326</v>
      </c>
      <c r="I832" s="3">
        <v>2.2400000000000002</v>
      </c>
      <c r="J832" s="3">
        <v>12</v>
      </c>
      <c r="K832" s="15">
        <f ca="1">IF(F832="Enrolled",TODAY()-E832,"0")</f>
        <v>709</v>
      </c>
      <c r="L832" s="3" t="str">
        <f>IF(I832&gt;=3.5,"Excellent",IF(I832&gt;=3,"Good",IF(I832&gt;=2,"Average","Poor")))</f>
        <v>Average</v>
      </c>
      <c r="M832" s="3" t="str">
        <v>Dr.Sinha</v>
      </c>
      <c r="N832" s="3" t="str">
        <f>IF(H832 &gt; (G832*50%), "Yes", "No")</f>
        <v>No</v>
      </c>
      <c r="O832" s="16">
        <f>G832-H832</f>
        <v>13652</v>
      </c>
      <c r="P832" s="16">
        <f>SUMIFS(O832:O832,E832:E832,"Science",F832:F832,"Completed")</f>
        <v>0</v>
      </c>
      <c r="Q832" s="3" t="str">
        <f>IF(MONTH(E832)&gt;=7, YEAR(E832)&amp;"-"&amp;YEAR(E832)+1, YEAR(E832)-1&amp;"-"&amp;YEAR(E832))</f>
        <v>2023-2024</v>
      </c>
      <c r="R832" s="3"/>
      <c r="S832" s="3"/>
      <c r="T832" s="15" t="str">
        <f t="shared" ca="1" si="12"/>
        <v>0</v>
      </c>
      <c r="U832" s="3"/>
    </row>
    <row r="833" spans="1:21" x14ac:dyDescent="0.35">
      <c r="A833" s="3" t="s">
        <v>1687</v>
      </c>
      <c r="B833" s="3" t="s">
        <v>1688</v>
      </c>
      <c r="C833" s="3" t="s">
        <v>54</v>
      </c>
      <c r="D833" s="3" t="s">
        <v>13</v>
      </c>
      <c r="E833" s="6">
        <v>44615</v>
      </c>
      <c r="F833" s="3" t="s">
        <v>14</v>
      </c>
      <c r="G833" s="3">
        <v>11976</v>
      </c>
      <c r="H833" s="3">
        <v>1826</v>
      </c>
      <c r="I833" s="3">
        <v>2.2200000000000002</v>
      </c>
      <c r="J833" s="3">
        <v>10</v>
      </c>
      <c r="K833" s="15">
        <f ca="1">IF(F833="Enrolled",TODAY()-E833,"0")</f>
        <v>1439</v>
      </c>
      <c r="L833" s="3" t="str">
        <f>IF(I833&gt;=3.5,"Excellent",IF(I833&gt;=3,"Good",IF(I833&gt;=2,"Average","Poor")))</f>
        <v>Average</v>
      </c>
      <c r="M833" s="3" t="str">
        <v>Dr.Mehta</v>
      </c>
      <c r="N833" s="3" t="str">
        <f>IF(H833 &gt; (G833*50%), "Yes", "No")</f>
        <v>No</v>
      </c>
      <c r="O833" s="16">
        <f>G833-H833</f>
        <v>10150</v>
      </c>
      <c r="P833" s="16">
        <f>SUMIFS(O833:O833,E833:E833,"Science",F833:F833,"Completed")</f>
        <v>0</v>
      </c>
      <c r="Q833" s="3" t="str">
        <f>IF(MONTH(E833)&gt;=7, YEAR(E833)&amp;"-"&amp;YEAR(E833)+1, YEAR(E833)-1&amp;"-"&amp;YEAR(E833))</f>
        <v>2021-2022</v>
      </c>
      <c r="R833" s="3"/>
      <c r="S833" s="3"/>
      <c r="T833" s="15" t="str">
        <f t="shared" ca="1" si="12"/>
        <v>0</v>
      </c>
      <c r="U833" s="3"/>
    </row>
    <row r="834" spans="1:21" x14ac:dyDescent="0.35">
      <c r="A834" s="3" t="s">
        <v>1689</v>
      </c>
      <c r="B834" s="3" t="s">
        <v>1690</v>
      </c>
      <c r="C834" s="3" t="s">
        <v>22</v>
      </c>
      <c r="D834" s="3" t="s">
        <v>18</v>
      </c>
      <c r="E834" s="6">
        <v>44930</v>
      </c>
      <c r="F834" s="3" t="s">
        <v>14</v>
      </c>
      <c r="G834" s="3">
        <v>14178</v>
      </c>
      <c r="H834" s="3">
        <v>2222</v>
      </c>
      <c r="I834" s="3">
        <v>3.45</v>
      </c>
      <c r="J834" s="3">
        <v>91</v>
      </c>
      <c r="K834" s="15">
        <f ca="1">IF(F834="Enrolled",TODAY()-E834,"0")</f>
        <v>1124</v>
      </c>
      <c r="L834" s="3" t="str">
        <f>IF(I834&gt;=3.5,"Excellent",IF(I834&gt;=3,"Good",IF(I834&gt;=2,"Average","Poor")))</f>
        <v>Good</v>
      </c>
      <c r="M834" s="3" t="str">
        <v>Dr.Roy</v>
      </c>
      <c r="N834" s="3" t="str">
        <f>IF(H834 &gt; (G834*50%), "Yes", "No")</f>
        <v>No</v>
      </c>
      <c r="O834" s="16">
        <f>G834-H834</f>
        <v>11956</v>
      </c>
      <c r="P834" s="16">
        <f>SUMIFS(O834:O834,E834:E834,"Science",F834:F834,"Completed")</f>
        <v>0</v>
      </c>
      <c r="Q834" s="3" t="str">
        <f>IF(MONTH(E834)&gt;=7, YEAR(E834)&amp;"-"&amp;YEAR(E834)+1, YEAR(E834)-1&amp;"-"&amp;YEAR(E834))</f>
        <v>2022-2023</v>
      </c>
      <c r="R834" s="3"/>
      <c r="S834" s="3"/>
      <c r="T834" s="15" t="str">
        <f t="shared" ca="1" si="12"/>
        <v>0</v>
      </c>
      <c r="U834" s="3"/>
    </row>
    <row r="835" spans="1:21" x14ac:dyDescent="0.35">
      <c r="A835" s="3" t="s">
        <v>1691</v>
      </c>
      <c r="B835" s="3" t="s">
        <v>1692</v>
      </c>
      <c r="C835" s="3" t="s">
        <v>17</v>
      </c>
      <c r="D835" s="3" t="s">
        <v>13</v>
      </c>
      <c r="E835" s="6">
        <v>44611</v>
      </c>
      <c r="F835" s="3" t="s">
        <v>14</v>
      </c>
      <c r="G835" s="3">
        <v>12592</v>
      </c>
      <c r="H835" s="3">
        <v>161</v>
      </c>
      <c r="I835" s="3">
        <v>2.27</v>
      </c>
      <c r="J835" s="3">
        <v>68</v>
      </c>
      <c r="K835" s="15">
        <f ca="1">IF(F835="Enrolled",TODAY()-E835,"0")</f>
        <v>1443</v>
      </c>
      <c r="L835" s="3" t="str">
        <f>IF(I835&gt;=3.5,"Excellent",IF(I835&gt;=3,"Good",IF(I835&gt;=2,"Average","Poor")))</f>
        <v>Average</v>
      </c>
      <c r="M835" s="3" t="str">
        <v>Dr.Mehta</v>
      </c>
      <c r="N835" s="3" t="str">
        <f>IF(H835 &gt; (G835*50%), "Yes", "No")</f>
        <v>No</v>
      </c>
      <c r="O835" s="16">
        <f>G835-H835</f>
        <v>12431</v>
      </c>
      <c r="P835" s="16">
        <f>SUMIFS(O835:O835,E835:E835,"Science",F835:F835,"Completed")</f>
        <v>0</v>
      </c>
      <c r="Q835" s="3" t="str">
        <f>IF(MONTH(E835)&gt;=7, YEAR(E835)&amp;"-"&amp;YEAR(E835)+1, YEAR(E835)-1&amp;"-"&amp;YEAR(E835))</f>
        <v>2021-2022</v>
      </c>
      <c r="R835" s="3"/>
      <c r="S835" s="3"/>
      <c r="T835" s="15" t="str">
        <f t="shared" ref="T835:T898" ca="1" si="13">IF(F835="Completed",TODAY()-E835,"0")</f>
        <v>0</v>
      </c>
      <c r="U835" s="3"/>
    </row>
    <row r="836" spans="1:21" x14ac:dyDescent="0.35">
      <c r="A836" s="3" t="s">
        <v>1693</v>
      </c>
      <c r="B836" s="3" t="s">
        <v>1694</v>
      </c>
      <c r="C836" s="3" t="s">
        <v>22</v>
      </c>
      <c r="D836" s="3" t="s">
        <v>18</v>
      </c>
      <c r="E836" s="6">
        <v>44964</v>
      </c>
      <c r="F836" s="3" t="s">
        <v>19</v>
      </c>
      <c r="G836" s="3">
        <v>2380</v>
      </c>
      <c r="H836" s="3">
        <v>9095</v>
      </c>
      <c r="I836" s="3">
        <v>2.41</v>
      </c>
      <c r="J836" s="3">
        <v>3</v>
      </c>
      <c r="K836" s="15" t="str">
        <f ca="1">IF(F836="Enrolled",TODAY()-E836,"0")</f>
        <v>0</v>
      </c>
      <c r="L836" s="3" t="str">
        <f>IF(I836&gt;=3.5,"Excellent",IF(I836&gt;=3,"Good",IF(I836&gt;=2,"Average","Poor")))</f>
        <v>Average</v>
      </c>
      <c r="M836" s="3" t="str">
        <v>Dr.Roy</v>
      </c>
      <c r="N836" s="3" t="str">
        <f>IF(H836 &gt; (G836*50%), "Yes", "No")</f>
        <v>Yes</v>
      </c>
      <c r="O836" s="16">
        <f>G836-H836</f>
        <v>-6715</v>
      </c>
      <c r="P836" s="16">
        <f>SUMIFS(O836:O836,E836:E836,"Science",F836:F836,"Completed")</f>
        <v>0</v>
      </c>
      <c r="Q836" s="3" t="str">
        <f>IF(MONTH(E836)&gt;=7, YEAR(E836)&amp;"-"&amp;YEAR(E836)+1, YEAR(E836)-1&amp;"-"&amp;YEAR(E836))</f>
        <v>2022-2023</v>
      </c>
      <c r="R836" s="3"/>
      <c r="S836" s="3"/>
      <c r="T836" s="15">
        <f t="shared" ca="1" si="13"/>
        <v>1090</v>
      </c>
      <c r="U836" s="3"/>
    </row>
    <row r="837" spans="1:21" x14ac:dyDescent="0.35">
      <c r="A837" s="3" t="s">
        <v>1695</v>
      </c>
      <c r="B837" s="3" t="s">
        <v>1696</v>
      </c>
      <c r="C837" s="3" t="s">
        <v>12</v>
      </c>
      <c r="D837" s="3" t="s">
        <v>31</v>
      </c>
      <c r="E837" s="6">
        <v>44987</v>
      </c>
      <c r="F837" s="3" t="s">
        <v>14</v>
      </c>
      <c r="G837" s="3">
        <v>3078</v>
      </c>
      <c r="H837" s="3">
        <v>3622</v>
      </c>
      <c r="I837" s="3">
        <v>3.39</v>
      </c>
      <c r="J837" s="3">
        <v>72</v>
      </c>
      <c r="K837" s="15">
        <f ca="1">IF(F837="Enrolled",TODAY()-E837,"0")</f>
        <v>1067</v>
      </c>
      <c r="L837" s="3" t="str">
        <f>IF(I837&gt;=3.5,"Excellent",IF(I837&gt;=3,"Good",IF(I837&gt;=2,"Average","Poor")))</f>
        <v>Good</v>
      </c>
      <c r="M837" s="3" t="str">
        <v>Dr.Sharma</v>
      </c>
      <c r="N837" s="3" t="str">
        <f>IF(H837 &gt; (G837*50%), "Yes", "No")</f>
        <v>Yes</v>
      </c>
      <c r="O837" s="16">
        <f>G837-H837</f>
        <v>-544</v>
      </c>
      <c r="P837" s="16">
        <f>SUMIFS(O837:O837,E837:E837,"Science",F837:F837,"Completed")</f>
        <v>0</v>
      </c>
      <c r="Q837" s="3" t="str">
        <f>IF(MONTH(E837)&gt;=7, YEAR(E837)&amp;"-"&amp;YEAR(E837)+1, YEAR(E837)-1&amp;"-"&amp;YEAR(E837))</f>
        <v>2022-2023</v>
      </c>
      <c r="R837" s="3"/>
      <c r="S837" s="3"/>
      <c r="T837" s="15" t="str">
        <f t="shared" ca="1" si="13"/>
        <v>0</v>
      </c>
      <c r="U837" s="3"/>
    </row>
    <row r="838" spans="1:21" x14ac:dyDescent="0.35">
      <c r="A838" s="3" t="s">
        <v>1697</v>
      </c>
      <c r="B838" s="3" t="s">
        <v>1698</v>
      </c>
      <c r="C838" s="3" t="s">
        <v>36</v>
      </c>
      <c r="D838" s="3" t="s">
        <v>31</v>
      </c>
      <c r="E838" s="6">
        <v>45321</v>
      </c>
      <c r="F838" s="3" t="s">
        <v>39</v>
      </c>
      <c r="G838" s="3">
        <v>6374</v>
      </c>
      <c r="H838" s="3">
        <v>1397</v>
      </c>
      <c r="I838" s="3">
        <v>2.91</v>
      </c>
      <c r="J838" s="3">
        <v>52</v>
      </c>
      <c r="K838" s="15" t="str">
        <f ca="1">IF(F838="Enrolled",TODAY()-E838,"0")</f>
        <v>0</v>
      </c>
      <c r="L838" s="3" t="str">
        <f>IF(I838&gt;=3.5,"Excellent",IF(I838&gt;=3,"Good",IF(I838&gt;=2,"Average","Poor")))</f>
        <v>Average</v>
      </c>
      <c r="M838" s="3" t="str">
        <v>Dr.Sharma</v>
      </c>
      <c r="N838" s="3" t="str">
        <f>IF(H838 &gt; (G838*50%), "Yes", "No")</f>
        <v>No</v>
      </c>
      <c r="O838" s="16">
        <f>G838-H838</f>
        <v>4977</v>
      </c>
      <c r="P838" s="16">
        <f>SUMIFS(O838:O838,E838:E838,"Science",F838:F838,"Completed")</f>
        <v>0</v>
      </c>
      <c r="Q838" s="3" t="str">
        <f>IF(MONTH(E838)&gt;=7, YEAR(E838)&amp;"-"&amp;YEAR(E838)+1, YEAR(E838)-1&amp;"-"&amp;YEAR(E838))</f>
        <v>2023-2024</v>
      </c>
      <c r="R838" s="3"/>
      <c r="S838" s="3"/>
      <c r="T838" s="15" t="str">
        <f t="shared" ca="1" si="13"/>
        <v>0</v>
      </c>
      <c r="U838" s="3"/>
    </row>
    <row r="839" spans="1:21" x14ac:dyDescent="0.35">
      <c r="A839" s="3" t="s">
        <v>1699</v>
      </c>
      <c r="B839" s="3" t="s">
        <v>1700</v>
      </c>
      <c r="C839" s="3" t="s">
        <v>36</v>
      </c>
      <c r="D839" s="3" t="s">
        <v>18</v>
      </c>
      <c r="E839" s="6">
        <v>45202</v>
      </c>
      <c r="F839" s="3" t="s">
        <v>19</v>
      </c>
      <c r="G839" s="3">
        <v>3040</v>
      </c>
      <c r="H839" s="3">
        <v>5676</v>
      </c>
      <c r="I839" s="3">
        <v>3.86</v>
      </c>
      <c r="J839" s="3">
        <v>92</v>
      </c>
      <c r="K839" s="15" t="str">
        <f ca="1">IF(F839="Enrolled",TODAY()-E839,"0")</f>
        <v>0</v>
      </c>
      <c r="L839" s="3" t="str">
        <f>IF(I839&gt;=3.5,"Excellent",IF(I839&gt;=3,"Good",IF(I839&gt;=2,"Average","Poor")))</f>
        <v>Excellent</v>
      </c>
      <c r="M839" s="3" t="str">
        <v>Dr.Roy</v>
      </c>
      <c r="N839" s="3" t="str">
        <f>IF(H839 &gt; (G839*50%), "Yes", "No")</f>
        <v>Yes</v>
      </c>
      <c r="O839" s="16">
        <f>G839-H839</f>
        <v>-2636</v>
      </c>
      <c r="P839" s="16">
        <f>SUMIFS(O839:O839,E839:E839,"Science",F839:F839,"Completed")</f>
        <v>0</v>
      </c>
      <c r="Q839" s="3" t="str">
        <f>IF(MONTH(E839)&gt;=7, YEAR(E839)&amp;"-"&amp;YEAR(E839)+1, YEAR(E839)-1&amp;"-"&amp;YEAR(E839))</f>
        <v>2023-2024</v>
      </c>
      <c r="R839" s="3"/>
      <c r="S839" s="3"/>
      <c r="T839" s="15">
        <f t="shared" ca="1" si="13"/>
        <v>852</v>
      </c>
      <c r="U839" s="3"/>
    </row>
    <row r="840" spans="1:21" x14ac:dyDescent="0.35">
      <c r="A840" s="3" t="s">
        <v>1701</v>
      </c>
      <c r="B840" s="3" t="s">
        <v>1702</v>
      </c>
      <c r="C840" s="3" t="s">
        <v>12</v>
      </c>
      <c r="D840" s="3" t="s">
        <v>31</v>
      </c>
      <c r="E840" s="6">
        <v>44725</v>
      </c>
      <c r="F840" s="3" t="s">
        <v>19</v>
      </c>
      <c r="G840" s="3">
        <v>13689</v>
      </c>
      <c r="H840" s="3">
        <v>313</v>
      </c>
      <c r="I840" s="3">
        <v>3.95</v>
      </c>
      <c r="J840" s="3">
        <v>78</v>
      </c>
      <c r="K840" s="15" t="str">
        <f ca="1">IF(F840="Enrolled",TODAY()-E840,"0")</f>
        <v>0</v>
      </c>
      <c r="L840" s="3" t="str">
        <f>IF(I840&gt;=3.5,"Excellent",IF(I840&gt;=3,"Good",IF(I840&gt;=2,"Average","Poor")))</f>
        <v>Excellent</v>
      </c>
      <c r="M840" s="3" t="str">
        <v>Dr.Sharma</v>
      </c>
      <c r="N840" s="3" t="str">
        <f>IF(H840 &gt; (G840*50%), "Yes", "No")</f>
        <v>No</v>
      </c>
      <c r="O840" s="16">
        <f>G840-H840</f>
        <v>13376</v>
      </c>
      <c r="P840" s="16">
        <f>SUMIFS(O840:O840,E840:E840,"Science",F840:F840,"Completed")</f>
        <v>0</v>
      </c>
      <c r="Q840" s="3" t="str">
        <f>IF(MONTH(E840)&gt;=7, YEAR(E840)&amp;"-"&amp;YEAR(E840)+1, YEAR(E840)-1&amp;"-"&amp;YEAR(E840))</f>
        <v>2021-2022</v>
      </c>
      <c r="R840" s="3"/>
      <c r="S840" s="3"/>
      <c r="T840" s="15">
        <f t="shared" ca="1" si="13"/>
        <v>1329</v>
      </c>
      <c r="U840" s="3"/>
    </row>
    <row r="841" spans="1:21" x14ac:dyDescent="0.35">
      <c r="A841" s="3" t="s">
        <v>1703</v>
      </c>
      <c r="B841" s="3" t="s">
        <v>1704</v>
      </c>
      <c r="C841" s="3" t="s">
        <v>12</v>
      </c>
      <c r="D841" s="3" t="s">
        <v>18</v>
      </c>
      <c r="E841" s="6">
        <v>44958</v>
      </c>
      <c r="F841" s="3" t="s">
        <v>14</v>
      </c>
      <c r="G841" s="3">
        <v>6036</v>
      </c>
      <c r="H841" s="3">
        <v>6021</v>
      </c>
      <c r="I841" s="3">
        <v>2.17</v>
      </c>
      <c r="J841" s="3">
        <v>39</v>
      </c>
      <c r="K841" s="15">
        <f ca="1">IF(F841="Enrolled",TODAY()-E841,"0")</f>
        <v>1096</v>
      </c>
      <c r="L841" s="3" t="str">
        <f>IF(I841&gt;=3.5,"Excellent",IF(I841&gt;=3,"Good",IF(I841&gt;=2,"Average","Poor")))</f>
        <v>Average</v>
      </c>
      <c r="M841" s="3" t="str">
        <v>Dr.Roy</v>
      </c>
      <c r="N841" s="3" t="str">
        <f>IF(H841 &gt; (G841*50%), "Yes", "No")</f>
        <v>Yes</v>
      </c>
      <c r="O841" s="16">
        <f>G841-H841</f>
        <v>15</v>
      </c>
      <c r="P841" s="16">
        <f>SUMIFS(O841:O841,E841:E841,"Science",F841:F841,"Completed")</f>
        <v>0</v>
      </c>
      <c r="Q841" s="3" t="str">
        <f>IF(MONTH(E841)&gt;=7, YEAR(E841)&amp;"-"&amp;YEAR(E841)+1, YEAR(E841)-1&amp;"-"&amp;YEAR(E841))</f>
        <v>2022-2023</v>
      </c>
      <c r="R841" s="3"/>
      <c r="S841" s="3"/>
      <c r="T841" s="15" t="str">
        <f t="shared" ca="1" si="13"/>
        <v>0</v>
      </c>
      <c r="U841" s="3"/>
    </row>
    <row r="842" spans="1:21" x14ac:dyDescent="0.35">
      <c r="A842" s="3" t="s">
        <v>1705</v>
      </c>
      <c r="B842" s="3" t="s">
        <v>1706</v>
      </c>
      <c r="C842" s="3" t="s">
        <v>28</v>
      </c>
      <c r="D842" s="3" t="s">
        <v>18</v>
      </c>
      <c r="E842" s="6">
        <v>45340</v>
      </c>
      <c r="F842" s="3" t="s">
        <v>19</v>
      </c>
      <c r="G842" s="3">
        <v>9926</v>
      </c>
      <c r="H842" s="3">
        <v>7453</v>
      </c>
      <c r="I842" s="3">
        <v>3.31</v>
      </c>
      <c r="J842" s="3">
        <v>7</v>
      </c>
      <c r="K842" s="15" t="str">
        <f ca="1">IF(F842="Enrolled",TODAY()-E842,"0")</f>
        <v>0</v>
      </c>
      <c r="L842" s="3" t="str">
        <f>IF(I842&gt;=3.5,"Excellent",IF(I842&gt;=3,"Good",IF(I842&gt;=2,"Average","Poor")))</f>
        <v>Good</v>
      </c>
      <c r="M842" s="3" t="str">
        <v>Dr.Roy</v>
      </c>
      <c r="N842" s="3" t="str">
        <f>IF(H842 &gt; (G842*50%), "Yes", "No")</f>
        <v>Yes</v>
      </c>
      <c r="O842" s="16">
        <f>G842-H842</f>
        <v>2473</v>
      </c>
      <c r="P842" s="16">
        <f>SUMIFS(O842:O842,E842:E842,"Science",F842:F842,"Completed")</f>
        <v>0</v>
      </c>
      <c r="Q842" s="3" t="str">
        <f>IF(MONTH(E842)&gt;=7, YEAR(E842)&amp;"-"&amp;YEAR(E842)+1, YEAR(E842)-1&amp;"-"&amp;YEAR(E842))</f>
        <v>2023-2024</v>
      </c>
      <c r="R842" s="3"/>
      <c r="S842" s="3"/>
      <c r="T842" s="15">
        <f t="shared" ca="1" si="13"/>
        <v>714</v>
      </c>
      <c r="U842" s="3"/>
    </row>
    <row r="843" spans="1:21" x14ac:dyDescent="0.35">
      <c r="A843" s="3" t="s">
        <v>1707</v>
      </c>
      <c r="B843" s="3" t="s">
        <v>1708</v>
      </c>
      <c r="C843" s="3" t="s">
        <v>25</v>
      </c>
      <c r="D843" s="3" t="s">
        <v>13</v>
      </c>
      <c r="E843" s="6">
        <v>44776</v>
      </c>
      <c r="F843" s="3" t="s">
        <v>19</v>
      </c>
      <c r="G843" s="3">
        <v>9699</v>
      </c>
      <c r="H843" s="3">
        <v>354</v>
      </c>
      <c r="I843" s="3">
        <v>3.97</v>
      </c>
      <c r="J843" s="3">
        <v>25</v>
      </c>
      <c r="K843" s="15" t="str">
        <f ca="1">IF(F843="Enrolled",TODAY()-E843,"0")</f>
        <v>0</v>
      </c>
      <c r="L843" s="3" t="str">
        <f>IF(I843&gt;=3.5,"Excellent",IF(I843&gt;=3,"Good",IF(I843&gt;=2,"Average","Poor")))</f>
        <v>Excellent</v>
      </c>
      <c r="M843" s="3" t="str">
        <v>Dr.Mehta</v>
      </c>
      <c r="N843" s="3" t="str">
        <f>IF(H843 &gt; (G843*50%), "Yes", "No")</f>
        <v>No</v>
      </c>
      <c r="O843" s="16">
        <f>G843-H843</f>
        <v>9345</v>
      </c>
      <c r="P843" s="16">
        <f>SUMIFS(O843:O843,E843:E843,"Science",F843:F843,"Completed")</f>
        <v>0</v>
      </c>
      <c r="Q843" s="3" t="str">
        <f>IF(MONTH(E843)&gt;=7, YEAR(E843)&amp;"-"&amp;YEAR(E843)+1, YEAR(E843)-1&amp;"-"&amp;YEAR(E843))</f>
        <v>2022-2023</v>
      </c>
      <c r="R843" s="3"/>
      <c r="S843" s="3"/>
      <c r="T843" s="15">
        <f t="shared" ca="1" si="13"/>
        <v>1278</v>
      </c>
      <c r="U843" s="3"/>
    </row>
    <row r="844" spans="1:21" x14ac:dyDescent="0.35">
      <c r="A844" s="3" t="s">
        <v>1709</v>
      </c>
      <c r="B844" s="3" t="s">
        <v>1710</v>
      </c>
      <c r="C844" s="3" t="s">
        <v>25</v>
      </c>
      <c r="D844" s="3" t="s">
        <v>13</v>
      </c>
      <c r="E844" s="6">
        <v>44727</v>
      </c>
      <c r="F844" s="3" t="s">
        <v>14</v>
      </c>
      <c r="G844" s="3">
        <v>7281</v>
      </c>
      <c r="H844" s="3">
        <v>5074</v>
      </c>
      <c r="I844" s="3">
        <v>3.26</v>
      </c>
      <c r="J844" s="3">
        <v>89</v>
      </c>
      <c r="K844" s="15">
        <f ca="1">IF(F844="Enrolled",TODAY()-E844,"0")</f>
        <v>1327</v>
      </c>
      <c r="L844" s="3" t="str">
        <f>IF(I844&gt;=3.5,"Excellent",IF(I844&gt;=3,"Good",IF(I844&gt;=2,"Average","Poor")))</f>
        <v>Good</v>
      </c>
      <c r="M844" s="3" t="str">
        <v>Dr.Mehta</v>
      </c>
      <c r="N844" s="3" t="str">
        <f>IF(H844 &gt; (G844*50%), "Yes", "No")</f>
        <v>Yes</v>
      </c>
      <c r="O844" s="16">
        <f>G844-H844</f>
        <v>2207</v>
      </c>
      <c r="P844" s="16">
        <f>SUMIFS(O844:O844,E844:E844,"Science",F844:F844,"Completed")</f>
        <v>0</v>
      </c>
      <c r="Q844" s="3" t="str">
        <f>IF(MONTH(E844)&gt;=7, YEAR(E844)&amp;"-"&amp;YEAR(E844)+1, YEAR(E844)-1&amp;"-"&amp;YEAR(E844))</f>
        <v>2021-2022</v>
      </c>
      <c r="R844" s="3"/>
      <c r="S844" s="3"/>
      <c r="T844" s="15" t="str">
        <f t="shared" ca="1" si="13"/>
        <v>0</v>
      </c>
      <c r="U844" s="3"/>
    </row>
    <row r="845" spans="1:21" x14ac:dyDescent="0.35">
      <c r="A845" s="3" t="s">
        <v>1711</v>
      </c>
      <c r="B845" s="3" t="s">
        <v>1712</v>
      </c>
      <c r="C845" s="3" t="s">
        <v>12</v>
      </c>
      <c r="D845" s="3" t="s">
        <v>18</v>
      </c>
      <c r="E845" s="6">
        <v>44853</v>
      </c>
      <c r="F845" s="3" t="s">
        <v>39</v>
      </c>
      <c r="G845" s="3">
        <v>7435</v>
      </c>
      <c r="H845" s="3">
        <v>5879</v>
      </c>
      <c r="I845" s="3">
        <v>3.57</v>
      </c>
      <c r="J845" s="3">
        <v>17</v>
      </c>
      <c r="K845" s="15" t="str">
        <f ca="1">IF(F845="Enrolled",TODAY()-E845,"0")</f>
        <v>0</v>
      </c>
      <c r="L845" s="3" t="str">
        <f>IF(I845&gt;=3.5,"Excellent",IF(I845&gt;=3,"Good",IF(I845&gt;=2,"Average","Poor")))</f>
        <v>Excellent</v>
      </c>
      <c r="M845" s="3" t="str">
        <v>Dr.Roy</v>
      </c>
      <c r="N845" s="3" t="str">
        <f>IF(H845 &gt; (G845*50%), "Yes", "No")</f>
        <v>Yes</v>
      </c>
      <c r="O845" s="16">
        <f>G845-H845</f>
        <v>1556</v>
      </c>
      <c r="P845" s="16">
        <f>SUMIFS(O845:O845,E845:E845,"Science",F845:F845,"Completed")</f>
        <v>0</v>
      </c>
      <c r="Q845" s="3" t="str">
        <f>IF(MONTH(E845)&gt;=7, YEAR(E845)&amp;"-"&amp;YEAR(E845)+1, YEAR(E845)-1&amp;"-"&amp;YEAR(E845))</f>
        <v>2022-2023</v>
      </c>
      <c r="R845" s="3"/>
      <c r="S845" s="3"/>
      <c r="T845" s="15" t="str">
        <f t="shared" ca="1" si="13"/>
        <v>0</v>
      </c>
      <c r="U845" s="3"/>
    </row>
    <row r="846" spans="1:21" x14ac:dyDescent="0.35">
      <c r="A846" s="3" t="s">
        <v>1713</v>
      </c>
      <c r="B846" s="3" t="s">
        <v>1714</v>
      </c>
      <c r="C846" s="3" t="s">
        <v>36</v>
      </c>
      <c r="D846" s="3" t="s">
        <v>13</v>
      </c>
      <c r="E846" s="6">
        <v>45394</v>
      </c>
      <c r="F846" s="3" t="s">
        <v>14</v>
      </c>
      <c r="G846" s="3">
        <v>14977</v>
      </c>
      <c r="H846" s="3">
        <v>374</v>
      </c>
      <c r="I846" s="3">
        <v>2.36</v>
      </c>
      <c r="J846" s="3">
        <v>60</v>
      </c>
      <c r="K846" s="15">
        <f ca="1">IF(F846="Enrolled",TODAY()-E846,"0")</f>
        <v>660</v>
      </c>
      <c r="L846" s="3" t="str">
        <f>IF(I846&gt;=3.5,"Excellent",IF(I846&gt;=3,"Good",IF(I846&gt;=2,"Average","Poor")))</f>
        <v>Average</v>
      </c>
      <c r="M846" s="3" t="str">
        <v>Dr.Mehta</v>
      </c>
      <c r="N846" s="3" t="str">
        <f>IF(H846 &gt; (G846*50%), "Yes", "No")</f>
        <v>No</v>
      </c>
      <c r="O846" s="16">
        <f>G846-H846</f>
        <v>14603</v>
      </c>
      <c r="P846" s="16">
        <f>SUMIFS(O846:O846,E846:E846,"Science",F846:F846,"Completed")</f>
        <v>0</v>
      </c>
      <c r="Q846" s="3" t="str">
        <f>IF(MONTH(E846)&gt;=7, YEAR(E846)&amp;"-"&amp;YEAR(E846)+1, YEAR(E846)-1&amp;"-"&amp;YEAR(E846))</f>
        <v>2023-2024</v>
      </c>
      <c r="R846" s="3"/>
      <c r="S846" s="3"/>
      <c r="T846" s="15" t="str">
        <f t="shared" ca="1" si="13"/>
        <v>0</v>
      </c>
      <c r="U846" s="3"/>
    </row>
    <row r="847" spans="1:21" x14ac:dyDescent="0.35">
      <c r="A847" s="3" t="s">
        <v>1715</v>
      </c>
      <c r="B847" s="3" t="s">
        <v>1716</v>
      </c>
      <c r="C847" s="3" t="s">
        <v>17</v>
      </c>
      <c r="D847" s="3" t="s">
        <v>62</v>
      </c>
      <c r="E847" s="6">
        <v>45092</v>
      </c>
      <c r="F847" s="3" t="s">
        <v>14</v>
      </c>
      <c r="G847" s="3">
        <v>14578</v>
      </c>
      <c r="H847" s="3">
        <v>8597</v>
      </c>
      <c r="I847" s="3">
        <v>3.36</v>
      </c>
      <c r="J847" s="3">
        <v>34</v>
      </c>
      <c r="K847" s="15">
        <f ca="1">IF(F847="Enrolled",TODAY()-E847,"0")</f>
        <v>962</v>
      </c>
      <c r="L847" s="3" t="str">
        <f>IF(I847&gt;=3.5,"Excellent",IF(I847&gt;=3,"Good",IF(I847&gt;=2,"Average","Poor")))</f>
        <v>Good</v>
      </c>
      <c r="M847" s="3" t="str">
        <v>Dr.Sinha</v>
      </c>
      <c r="N847" s="3" t="str">
        <f>IF(H847 &gt; (G847*50%), "Yes", "No")</f>
        <v>Yes</v>
      </c>
      <c r="O847" s="16">
        <f>G847-H847</f>
        <v>5981</v>
      </c>
      <c r="P847" s="16">
        <f>SUMIFS(O847:O847,E847:E847,"Science",F847:F847,"Completed")</f>
        <v>0</v>
      </c>
      <c r="Q847" s="3" t="str">
        <f>IF(MONTH(E847)&gt;=7, YEAR(E847)&amp;"-"&amp;YEAR(E847)+1, YEAR(E847)-1&amp;"-"&amp;YEAR(E847))</f>
        <v>2022-2023</v>
      </c>
      <c r="R847" s="3"/>
      <c r="S847" s="3"/>
      <c r="T847" s="15" t="str">
        <f t="shared" ca="1" si="13"/>
        <v>0</v>
      </c>
      <c r="U847" s="3"/>
    </row>
    <row r="848" spans="1:21" x14ac:dyDescent="0.35">
      <c r="A848" s="3" t="s">
        <v>1717</v>
      </c>
      <c r="B848" s="3" t="s">
        <v>1718</v>
      </c>
      <c r="C848" s="3" t="s">
        <v>54</v>
      </c>
      <c r="D848" s="3" t="s">
        <v>31</v>
      </c>
      <c r="E848" s="6">
        <v>44612</v>
      </c>
      <c r="F848" s="3" t="s">
        <v>19</v>
      </c>
      <c r="G848" s="3">
        <v>2664</v>
      </c>
      <c r="H848" s="3">
        <v>8878</v>
      </c>
      <c r="I848" s="3">
        <v>2.5099999999999998</v>
      </c>
      <c r="J848" s="3">
        <v>77</v>
      </c>
      <c r="K848" s="15" t="str">
        <f ca="1">IF(F848="Enrolled",TODAY()-E848,"0")</f>
        <v>0</v>
      </c>
      <c r="L848" s="3" t="str">
        <f>IF(I848&gt;=3.5,"Excellent",IF(I848&gt;=3,"Good",IF(I848&gt;=2,"Average","Poor")))</f>
        <v>Average</v>
      </c>
      <c r="M848" s="3" t="str">
        <v>Dr.Sharma</v>
      </c>
      <c r="N848" s="3" t="str">
        <f>IF(H848 &gt; (G848*50%), "Yes", "No")</f>
        <v>Yes</v>
      </c>
      <c r="O848" s="16">
        <f>G848-H848</f>
        <v>-6214</v>
      </c>
      <c r="P848" s="16">
        <f>SUMIFS(O848:O848,E848:E848,"Science",F848:F848,"Completed")</f>
        <v>0</v>
      </c>
      <c r="Q848" s="3" t="str">
        <f>IF(MONTH(E848)&gt;=7, YEAR(E848)&amp;"-"&amp;YEAR(E848)+1, YEAR(E848)-1&amp;"-"&amp;YEAR(E848))</f>
        <v>2021-2022</v>
      </c>
      <c r="R848" s="3"/>
      <c r="S848" s="3"/>
      <c r="T848" s="15">
        <f t="shared" ca="1" si="13"/>
        <v>1442</v>
      </c>
      <c r="U848" s="3"/>
    </row>
    <row r="849" spans="1:21" x14ac:dyDescent="0.35">
      <c r="A849" s="3" t="s">
        <v>1719</v>
      </c>
      <c r="B849" s="3" t="s">
        <v>1720</v>
      </c>
      <c r="C849" s="3" t="s">
        <v>22</v>
      </c>
      <c r="D849" s="3" t="s">
        <v>18</v>
      </c>
      <c r="E849" s="6">
        <v>44792</v>
      </c>
      <c r="F849" s="3" t="s">
        <v>14</v>
      </c>
      <c r="G849" s="3">
        <v>11301</v>
      </c>
      <c r="H849" s="3">
        <v>5420</v>
      </c>
      <c r="I849" s="3">
        <v>3.56</v>
      </c>
      <c r="J849" s="3">
        <v>96</v>
      </c>
      <c r="K849" s="15">
        <f ca="1">IF(F849="Enrolled",TODAY()-E849,"0")</f>
        <v>1262</v>
      </c>
      <c r="L849" s="3" t="str">
        <f>IF(I849&gt;=3.5,"Excellent",IF(I849&gt;=3,"Good",IF(I849&gt;=2,"Average","Poor")))</f>
        <v>Excellent</v>
      </c>
      <c r="M849" s="3" t="str">
        <v>Dr.Roy</v>
      </c>
      <c r="N849" s="3" t="str">
        <f>IF(H849 &gt; (G849*50%), "Yes", "No")</f>
        <v>No</v>
      </c>
      <c r="O849" s="16">
        <f>G849-H849</f>
        <v>5881</v>
      </c>
      <c r="P849" s="16">
        <f>SUMIFS(O849:O849,E849:E849,"Science",F849:F849,"Completed")</f>
        <v>0</v>
      </c>
      <c r="Q849" s="3" t="str">
        <f>IF(MONTH(E849)&gt;=7, YEAR(E849)&amp;"-"&amp;YEAR(E849)+1, YEAR(E849)-1&amp;"-"&amp;YEAR(E849))</f>
        <v>2022-2023</v>
      </c>
      <c r="R849" s="3"/>
      <c r="S849" s="3"/>
      <c r="T849" s="15" t="str">
        <f t="shared" ca="1" si="13"/>
        <v>0</v>
      </c>
      <c r="U849" s="3"/>
    </row>
    <row r="850" spans="1:21" x14ac:dyDescent="0.35">
      <c r="A850" s="3" t="s">
        <v>1721</v>
      </c>
      <c r="B850" s="3" t="s">
        <v>1722</v>
      </c>
      <c r="C850" s="3" t="s">
        <v>22</v>
      </c>
      <c r="D850" s="3" t="s">
        <v>31</v>
      </c>
      <c r="E850" s="6">
        <v>45173</v>
      </c>
      <c r="F850" s="3" t="s">
        <v>19</v>
      </c>
      <c r="G850" s="3">
        <v>4379</v>
      </c>
      <c r="H850" s="3">
        <v>9901</v>
      </c>
      <c r="I850" s="3">
        <v>2.65</v>
      </c>
      <c r="J850" s="3">
        <v>39</v>
      </c>
      <c r="K850" s="15" t="str">
        <f ca="1">IF(F850="Enrolled",TODAY()-E850,"0")</f>
        <v>0</v>
      </c>
      <c r="L850" s="3" t="str">
        <f>IF(I850&gt;=3.5,"Excellent",IF(I850&gt;=3,"Good",IF(I850&gt;=2,"Average","Poor")))</f>
        <v>Average</v>
      </c>
      <c r="M850" s="3" t="str">
        <v>Dr.Sharma</v>
      </c>
      <c r="N850" s="3" t="str">
        <f>IF(H850 &gt; (G850*50%), "Yes", "No")</f>
        <v>Yes</v>
      </c>
      <c r="O850" s="16">
        <f>G850-H850</f>
        <v>-5522</v>
      </c>
      <c r="P850" s="16">
        <f>SUMIFS(O850:O850,E850:E850,"Science",F850:F850,"Completed")</f>
        <v>0</v>
      </c>
      <c r="Q850" s="3" t="str">
        <f>IF(MONTH(E850)&gt;=7, YEAR(E850)&amp;"-"&amp;YEAR(E850)+1, YEAR(E850)-1&amp;"-"&amp;YEAR(E850))</f>
        <v>2023-2024</v>
      </c>
      <c r="R850" s="3"/>
      <c r="S850" s="3"/>
      <c r="T850" s="15">
        <f t="shared" ca="1" si="13"/>
        <v>881</v>
      </c>
      <c r="U850" s="3"/>
    </row>
    <row r="851" spans="1:21" x14ac:dyDescent="0.35">
      <c r="A851" s="3" t="s">
        <v>1723</v>
      </c>
      <c r="B851" s="3" t="s">
        <v>1724</v>
      </c>
      <c r="C851" s="3" t="s">
        <v>28</v>
      </c>
      <c r="D851" s="3" t="s">
        <v>62</v>
      </c>
      <c r="E851" s="6">
        <v>44767</v>
      </c>
      <c r="F851" s="3" t="s">
        <v>14</v>
      </c>
      <c r="G851" s="3">
        <v>13197</v>
      </c>
      <c r="H851" s="3">
        <v>2495</v>
      </c>
      <c r="I851" s="3">
        <v>2.7</v>
      </c>
      <c r="J851" s="3">
        <v>26</v>
      </c>
      <c r="K851" s="15">
        <f ca="1">IF(F851="Enrolled",TODAY()-E851,"0")</f>
        <v>1287</v>
      </c>
      <c r="L851" s="3" t="str">
        <f>IF(I851&gt;=3.5,"Excellent",IF(I851&gt;=3,"Good",IF(I851&gt;=2,"Average","Poor")))</f>
        <v>Average</v>
      </c>
      <c r="M851" s="3" t="str">
        <v>Dr.Sinha</v>
      </c>
      <c r="N851" s="3" t="str">
        <f>IF(H851 &gt; (G851*50%), "Yes", "No")</f>
        <v>No</v>
      </c>
      <c r="O851" s="16">
        <f>G851-H851</f>
        <v>10702</v>
      </c>
      <c r="P851" s="16">
        <f>SUMIFS(O851:O851,E851:E851,"Science",F851:F851,"Completed")</f>
        <v>0</v>
      </c>
      <c r="Q851" s="3" t="str">
        <f>IF(MONTH(E851)&gt;=7, YEAR(E851)&amp;"-"&amp;YEAR(E851)+1, YEAR(E851)-1&amp;"-"&amp;YEAR(E851))</f>
        <v>2022-2023</v>
      </c>
      <c r="R851" s="3"/>
      <c r="S851" s="3"/>
      <c r="T851" s="15" t="str">
        <f t="shared" ca="1" si="13"/>
        <v>0</v>
      </c>
      <c r="U851" s="3"/>
    </row>
    <row r="852" spans="1:21" x14ac:dyDescent="0.35">
      <c r="A852" s="3" t="s">
        <v>1725</v>
      </c>
      <c r="B852" s="3" t="s">
        <v>1726</v>
      </c>
      <c r="C852" s="3" t="s">
        <v>57</v>
      </c>
      <c r="D852" s="3" t="s">
        <v>18</v>
      </c>
      <c r="E852" s="6">
        <v>45208</v>
      </c>
      <c r="F852" s="3" t="s">
        <v>19</v>
      </c>
      <c r="G852" s="3">
        <v>14472</v>
      </c>
      <c r="H852" s="3">
        <v>8730</v>
      </c>
      <c r="I852" s="3">
        <v>3.43</v>
      </c>
      <c r="J852" s="3">
        <v>18</v>
      </c>
      <c r="K852" s="15" t="str">
        <f ca="1">IF(F852="Enrolled",TODAY()-E852,"0")</f>
        <v>0</v>
      </c>
      <c r="L852" s="3" t="str">
        <f>IF(I852&gt;=3.5,"Excellent",IF(I852&gt;=3,"Good",IF(I852&gt;=2,"Average","Poor")))</f>
        <v>Good</v>
      </c>
      <c r="M852" s="3" t="str">
        <v>Dr.Roy</v>
      </c>
      <c r="N852" s="3" t="str">
        <f>IF(H852 &gt; (G852*50%), "Yes", "No")</f>
        <v>Yes</v>
      </c>
      <c r="O852" s="16">
        <f>G852-H852</f>
        <v>5742</v>
      </c>
      <c r="P852" s="16">
        <f>SUMIFS(O852:O852,E852:E852,"Science",F852:F852,"Completed")</f>
        <v>0</v>
      </c>
      <c r="Q852" s="3" t="str">
        <f>IF(MONTH(E852)&gt;=7, YEAR(E852)&amp;"-"&amp;YEAR(E852)+1, YEAR(E852)-1&amp;"-"&amp;YEAR(E852))</f>
        <v>2023-2024</v>
      </c>
      <c r="R852" s="3"/>
      <c r="S852" s="3"/>
      <c r="T852" s="15">
        <f t="shared" ca="1" si="13"/>
        <v>846</v>
      </c>
      <c r="U852" s="3"/>
    </row>
    <row r="853" spans="1:21" x14ac:dyDescent="0.35">
      <c r="A853" s="3" t="s">
        <v>1727</v>
      </c>
      <c r="B853" s="3" t="s">
        <v>1728</v>
      </c>
      <c r="C853" s="3" t="s">
        <v>22</v>
      </c>
      <c r="D853" s="3" t="s">
        <v>62</v>
      </c>
      <c r="E853" s="6">
        <v>45408</v>
      </c>
      <c r="F853" s="3" t="s">
        <v>19</v>
      </c>
      <c r="G853" s="3">
        <v>6807</v>
      </c>
      <c r="H853" s="3">
        <v>8983</v>
      </c>
      <c r="I853" s="3">
        <v>2.98</v>
      </c>
      <c r="J853" s="3">
        <v>47</v>
      </c>
      <c r="K853" s="15" t="str">
        <f ca="1">IF(F853="Enrolled",TODAY()-E853,"0")</f>
        <v>0</v>
      </c>
      <c r="L853" s="3" t="str">
        <f>IF(I853&gt;=3.5,"Excellent",IF(I853&gt;=3,"Good",IF(I853&gt;=2,"Average","Poor")))</f>
        <v>Average</v>
      </c>
      <c r="M853" s="3" t="str">
        <v>Dr.Sinha</v>
      </c>
      <c r="N853" s="3" t="str">
        <f>IF(H853 &gt; (G853*50%), "Yes", "No")</f>
        <v>Yes</v>
      </c>
      <c r="O853" s="16">
        <f>G853-H853</f>
        <v>-2176</v>
      </c>
      <c r="P853" s="16">
        <f>SUMIFS(O853:O853,E853:E853,"Science",F853:F853,"Completed")</f>
        <v>0</v>
      </c>
      <c r="Q853" s="3" t="str">
        <f>IF(MONTH(E853)&gt;=7, YEAR(E853)&amp;"-"&amp;YEAR(E853)+1, YEAR(E853)-1&amp;"-"&amp;YEAR(E853))</f>
        <v>2023-2024</v>
      </c>
      <c r="R853" s="3"/>
      <c r="S853" s="3"/>
      <c r="T853" s="15">
        <f t="shared" ca="1" si="13"/>
        <v>646</v>
      </c>
      <c r="U853" s="3"/>
    </row>
    <row r="854" spans="1:21" x14ac:dyDescent="0.35">
      <c r="A854" s="3" t="s">
        <v>1729</v>
      </c>
      <c r="B854" s="3" t="s">
        <v>1730</v>
      </c>
      <c r="C854" s="3" t="s">
        <v>25</v>
      </c>
      <c r="D854" s="3" t="s">
        <v>18</v>
      </c>
      <c r="E854" s="6">
        <v>44640</v>
      </c>
      <c r="F854" s="3" t="s">
        <v>14</v>
      </c>
      <c r="G854" s="3">
        <v>5918</v>
      </c>
      <c r="H854" s="3">
        <v>3347</v>
      </c>
      <c r="I854" s="3">
        <v>2.04</v>
      </c>
      <c r="J854" s="3">
        <v>105</v>
      </c>
      <c r="K854" s="15">
        <f ca="1">IF(F854="Enrolled",TODAY()-E854,"0")</f>
        <v>1414</v>
      </c>
      <c r="L854" s="3" t="str">
        <f>IF(I854&gt;=3.5,"Excellent",IF(I854&gt;=3,"Good",IF(I854&gt;=2,"Average","Poor")))</f>
        <v>Average</v>
      </c>
      <c r="M854" s="3" t="str">
        <v>Dr.Roy</v>
      </c>
      <c r="N854" s="3" t="str">
        <f>IF(H854 &gt; (G854*50%), "Yes", "No")</f>
        <v>Yes</v>
      </c>
      <c r="O854" s="16">
        <f>G854-H854</f>
        <v>2571</v>
      </c>
      <c r="P854" s="16">
        <f>SUMIFS(O854:O854,E854:E854,"Science",F854:F854,"Completed")</f>
        <v>0</v>
      </c>
      <c r="Q854" s="3" t="str">
        <f>IF(MONTH(E854)&gt;=7, YEAR(E854)&amp;"-"&amp;YEAR(E854)+1, YEAR(E854)-1&amp;"-"&amp;YEAR(E854))</f>
        <v>2021-2022</v>
      </c>
      <c r="R854" s="3"/>
      <c r="S854" s="3"/>
      <c r="T854" s="15" t="str">
        <f t="shared" ca="1" si="13"/>
        <v>0</v>
      </c>
      <c r="U854" s="3"/>
    </row>
    <row r="855" spans="1:21" x14ac:dyDescent="0.35">
      <c r="A855" s="3" t="s">
        <v>1731</v>
      </c>
      <c r="B855" s="3" t="s">
        <v>1732</v>
      </c>
      <c r="C855" s="3" t="s">
        <v>17</v>
      </c>
      <c r="D855" s="3" t="s">
        <v>31</v>
      </c>
      <c r="E855" s="6">
        <v>45210</v>
      </c>
      <c r="F855" s="3" t="s">
        <v>19</v>
      </c>
      <c r="G855" s="3">
        <v>6149</v>
      </c>
      <c r="H855" s="3">
        <v>4635</v>
      </c>
      <c r="I855" s="3">
        <v>2.63</v>
      </c>
      <c r="J855" s="3">
        <v>118</v>
      </c>
      <c r="K855" s="15" t="str">
        <f ca="1">IF(F855="Enrolled",TODAY()-E855,"0")</f>
        <v>0</v>
      </c>
      <c r="L855" s="3" t="str">
        <f>IF(I855&gt;=3.5,"Excellent",IF(I855&gt;=3,"Good",IF(I855&gt;=2,"Average","Poor")))</f>
        <v>Average</v>
      </c>
      <c r="M855" s="3" t="str">
        <v>Dr.Sharma</v>
      </c>
      <c r="N855" s="3" t="str">
        <f>IF(H855 &gt; (G855*50%), "Yes", "No")</f>
        <v>Yes</v>
      </c>
      <c r="O855" s="16">
        <f>G855-H855</f>
        <v>1514</v>
      </c>
      <c r="P855" s="16">
        <f>SUMIFS(O855:O855,E855:E855,"Science",F855:F855,"Completed")</f>
        <v>0</v>
      </c>
      <c r="Q855" s="3" t="str">
        <f>IF(MONTH(E855)&gt;=7, YEAR(E855)&amp;"-"&amp;YEAR(E855)+1, YEAR(E855)-1&amp;"-"&amp;YEAR(E855))</f>
        <v>2023-2024</v>
      </c>
      <c r="R855" s="3"/>
      <c r="S855" s="3"/>
      <c r="T855" s="15">
        <f t="shared" ca="1" si="13"/>
        <v>844</v>
      </c>
      <c r="U855" s="3"/>
    </row>
    <row r="856" spans="1:21" x14ac:dyDescent="0.35">
      <c r="A856" s="3" t="s">
        <v>1733</v>
      </c>
      <c r="B856" s="3" t="s">
        <v>1734</v>
      </c>
      <c r="C856" s="3" t="s">
        <v>54</v>
      </c>
      <c r="D856" s="3" t="s">
        <v>62</v>
      </c>
      <c r="E856" s="6">
        <v>45352</v>
      </c>
      <c r="F856" s="3" t="s">
        <v>14</v>
      </c>
      <c r="G856" s="3">
        <v>8365</v>
      </c>
      <c r="H856" s="3">
        <v>3533</v>
      </c>
      <c r="I856" s="3">
        <v>3.17</v>
      </c>
      <c r="J856" s="3">
        <v>15</v>
      </c>
      <c r="K856" s="15">
        <f ca="1">IF(F856="Enrolled",TODAY()-E856,"0")</f>
        <v>702</v>
      </c>
      <c r="L856" s="3" t="str">
        <f>IF(I856&gt;=3.5,"Excellent",IF(I856&gt;=3,"Good",IF(I856&gt;=2,"Average","Poor")))</f>
        <v>Good</v>
      </c>
      <c r="M856" s="3" t="str">
        <v>Dr.Sinha</v>
      </c>
      <c r="N856" s="3" t="str">
        <f>IF(H856 &gt; (G856*50%), "Yes", "No")</f>
        <v>No</v>
      </c>
      <c r="O856" s="16">
        <f>G856-H856</f>
        <v>4832</v>
      </c>
      <c r="P856" s="16">
        <f>SUMIFS(O856:O856,E856:E856,"Science",F856:F856,"Completed")</f>
        <v>0</v>
      </c>
      <c r="Q856" s="3" t="str">
        <f>IF(MONTH(E856)&gt;=7, YEAR(E856)&amp;"-"&amp;YEAR(E856)+1, YEAR(E856)-1&amp;"-"&amp;YEAR(E856))</f>
        <v>2023-2024</v>
      </c>
      <c r="R856" s="3"/>
      <c r="S856" s="3"/>
      <c r="T856" s="15" t="str">
        <f t="shared" ca="1" si="13"/>
        <v>0</v>
      </c>
      <c r="U856" s="3"/>
    </row>
    <row r="857" spans="1:21" x14ac:dyDescent="0.35">
      <c r="A857" s="3" t="s">
        <v>1735</v>
      </c>
      <c r="B857" s="3" t="s">
        <v>1736</v>
      </c>
      <c r="C857" s="3" t="s">
        <v>12</v>
      </c>
      <c r="D857" s="3" t="s">
        <v>18</v>
      </c>
      <c r="E857" s="6">
        <v>45134</v>
      </c>
      <c r="F857" s="3" t="s">
        <v>14</v>
      </c>
      <c r="G857" s="3">
        <v>9612</v>
      </c>
      <c r="H857" s="3">
        <v>1018</v>
      </c>
      <c r="I857" s="3">
        <v>3.25</v>
      </c>
      <c r="J857" s="3">
        <v>88</v>
      </c>
      <c r="K857" s="15">
        <f ca="1">IF(F857="Enrolled",TODAY()-E857,"0")</f>
        <v>920</v>
      </c>
      <c r="L857" s="3" t="str">
        <f>IF(I857&gt;=3.5,"Excellent",IF(I857&gt;=3,"Good",IF(I857&gt;=2,"Average","Poor")))</f>
        <v>Good</v>
      </c>
      <c r="M857" s="3" t="str">
        <v>Dr.Roy</v>
      </c>
      <c r="N857" s="3" t="str">
        <f>IF(H857 &gt; (G857*50%), "Yes", "No")</f>
        <v>No</v>
      </c>
      <c r="O857" s="16">
        <f>G857-H857</f>
        <v>8594</v>
      </c>
      <c r="P857" s="16">
        <f>SUMIFS(O857:O857,E857:E857,"Science",F857:F857,"Completed")</f>
        <v>0</v>
      </c>
      <c r="Q857" s="3" t="str">
        <f>IF(MONTH(E857)&gt;=7, YEAR(E857)&amp;"-"&amp;YEAR(E857)+1, YEAR(E857)-1&amp;"-"&amp;YEAR(E857))</f>
        <v>2023-2024</v>
      </c>
      <c r="R857" s="3"/>
      <c r="S857" s="3"/>
      <c r="T857" s="15" t="str">
        <f t="shared" ca="1" si="13"/>
        <v>0</v>
      </c>
      <c r="U857" s="3"/>
    </row>
    <row r="858" spans="1:21" x14ac:dyDescent="0.35">
      <c r="A858" s="3" t="s">
        <v>1737</v>
      </c>
      <c r="B858" s="3" t="s">
        <v>1738</v>
      </c>
      <c r="C858" s="3" t="s">
        <v>22</v>
      </c>
      <c r="D858" s="3" t="s">
        <v>18</v>
      </c>
      <c r="E858" s="6">
        <v>45045</v>
      </c>
      <c r="F858" s="3" t="s">
        <v>14</v>
      </c>
      <c r="G858" s="3">
        <v>10449</v>
      </c>
      <c r="H858" s="3">
        <v>7</v>
      </c>
      <c r="I858" s="3">
        <v>2.98</v>
      </c>
      <c r="J858" s="3">
        <v>54</v>
      </c>
      <c r="K858" s="15">
        <f ca="1">IF(F858="Enrolled",TODAY()-E858,"0")</f>
        <v>1009</v>
      </c>
      <c r="L858" s="3" t="str">
        <f>IF(I858&gt;=3.5,"Excellent",IF(I858&gt;=3,"Good",IF(I858&gt;=2,"Average","Poor")))</f>
        <v>Average</v>
      </c>
      <c r="M858" s="3" t="str">
        <v>Dr.Roy</v>
      </c>
      <c r="N858" s="3" t="str">
        <f>IF(H858 &gt; (G858*50%), "Yes", "No")</f>
        <v>No</v>
      </c>
      <c r="O858" s="16">
        <f>G858-H858</f>
        <v>10442</v>
      </c>
      <c r="P858" s="16">
        <f>SUMIFS(O858:O858,E858:E858,"Science",F858:F858,"Completed")</f>
        <v>0</v>
      </c>
      <c r="Q858" s="3" t="str">
        <f>IF(MONTH(E858)&gt;=7, YEAR(E858)&amp;"-"&amp;YEAR(E858)+1, YEAR(E858)-1&amp;"-"&amp;YEAR(E858))</f>
        <v>2022-2023</v>
      </c>
      <c r="R858" s="3"/>
      <c r="S858" s="3"/>
      <c r="T858" s="15" t="str">
        <f t="shared" ca="1" si="13"/>
        <v>0</v>
      </c>
      <c r="U858" s="3"/>
    </row>
    <row r="859" spans="1:21" x14ac:dyDescent="0.35">
      <c r="A859" s="3" t="s">
        <v>1739</v>
      </c>
      <c r="B859" s="3" t="s">
        <v>1740</v>
      </c>
      <c r="C859" s="3" t="s">
        <v>12</v>
      </c>
      <c r="D859" s="3" t="s">
        <v>13</v>
      </c>
      <c r="E859" s="6">
        <v>44764</v>
      </c>
      <c r="F859" s="3" t="s">
        <v>19</v>
      </c>
      <c r="G859" s="3">
        <v>7352</v>
      </c>
      <c r="H859" s="3">
        <v>3682</v>
      </c>
      <c r="I859" s="3">
        <v>3.34</v>
      </c>
      <c r="J859" s="3">
        <v>100</v>
      </c>
      <c r="K859" s="15" t="str">
        <f ca="1">IF(F859="Enrolled",TODAY()-E859,"0")</f>
        <v>0</v>
      </c>
      <c r="L859" s="3" t="str">
        <f>IF(I859&gt;=3.5,"Excellent",IF(I859&gt;=3,"Good",IF(I859&gt;=2,"Average","Poor")))</f>
        <v>Good</v>
      </c>
      <c r="M859" s="3" t="str">
        <v>Dr.Mehta</v>
      </c>
      <c r="N859" s="3" t="str">
        <f>IF(H859 &gt; (G859*50%), "Yes", "No")</f>
        <v>Yes</v>
      </c>
      <c r="O859" s="16">
        <f>G859-H859</f>
        <v>3670</v>
      </c>
      <c r="P859" s="16">
        <f>SUMIFS(O859:O859,E859:E859,"Science",F859:F859,"Completed")</f>
        <v>0</v>
      </c>
      <c r="Q859" s="3" t="str">
        <f>IF(MONTH(E859)&gt;=7, YEAR(E859)&amp;"-"&amp;YEAR(E859)+1, YEAR(E859)-1&amp;"-"&amp;YEAR(E859))</f>
        <v>2022-2023</v>
      </c>
      <c r="R859" s="3"/>
      <c r="S859" s="3"/>
      <c r="T859" s="15">
        <f t="shared" ca="1" si="13"/>
        <v>1290</v>
      </c>
      <c r="U859" s="3"/>
    </row>
    <row r="860" spans="1:21" x14ac:dyDescent="0.35">
      <c r="A860" s="3" t="s">
        <v>1741</v>
      </c>
      <c r="B860" s="3" t="s">
        <v>1742</v>
      </c>
      <c r="C860" s="3" t="s">
        <v>28</v>
      </c>
      <c r="D860" s="3" t="s">
        <v>13</v>
      </c>
      <c r="E860" s="6">
        <v>45250</v>
      </c>
      <c r="F860" s="3" t="s">
        <v>14</v>
      </c>
      <c r="G860" s="3">
        <v>2312</v>
      </c>
      <c r="H860" s="3">
        <v>6130</v>
      </c>
      <c r="I860" s="3">
        <v>2.66</v>
      </c>
      <c r="J860" s="3">
        <v>54</v>
      </c>
      <c r="K860" s="15">
        <f ca="1">IF(F860="Enrolled",TODAY()-E860,"0")</f>
        <v>804</v>
      </c>
      <c r="L860" s="3" t="str">
        <f>IF(I860&gt;=3.5,"Excellent",IF(I860&gt;=3,"Good",IF(I860&gt;=2,"Average","Poor")))</f>
        <v>Average</v>
      </c>
      <c r="M860" s="3" t="str">
        <v>Dr.Mehta</v>
      </c>
      <c r="N860" s="3" t="str">
        <f>IF(H860 &gt; (G860*50%), "Yes", "No")</f>
        <v>Yes</v>
      </c>
      <c r="O860" s="16">
        <f>G860-H860</f>
        <v>-3818</v>
      </c>
      <c r="P860" s="16">
        <f>SUMIFS(O860:O860,E860:E860,"Science",F860:F860,"Completed")</f>
        <v>0</v>
      </c>
      <c r="Q860" s="3" t="str">
        <f>IF(MONTH(E860)&gt;=7, YEAR(E860)&amp;"-"&amp;YEAR(E860)+1, YEAR(E860)-1&amp;"-"&amp;YEAR(E860))</f>
        <v>2023-2024</v>
      </c>
      <c r="R860" s="3"/>
      <c r="S860" s="3"/>
      <c r="T860" s="15" t="str">
        <f t="shared" ca="1" si="13"/>
        <v>0</v>
      </c>
      <c r="U860" s="3"/>
    </row>
    <row r="861" spans="1:21" x14ac:dyDescent="0.35">
      <c r="A861" s="3" t="s">
        <v>1743</v>
      </c>
      <c r="B861" s="3" t="s">
        <v>1744</v>
      </c>
      <c r="C861" s="3" t="s">
        <v>57</v>
      </c>
      <c r="D861" s="3" t="s">
        <v>62</v>
      </c>
      <c r="E861" s="6">
        <v>44774</v>
      </c>
      <c r="F861" s="3" t="s">
        <v>14</v>
      </c>
      <c r="G861" s="3">
        <v>12046</v>
      </c>
      <c r="H861" s="3">
        <v>1594</v>
      </c>
      <c r="I861" s="3">
        <v>2.35</v>
      </c>
      <c r="J861" s="3">
        <v>31</v>
      </c>
      <c r="K861" s="15">
        <f ca="1">IF(F861="Enrolled",TODAY()-E861,"0")</f>
        <v>1280</v>
      </c>
      <c r="L861" s="3" t="str">
        <f>IF(I861&gt;=3.5,"Excellent",IF(I861&gt;=3,"Good",IF(I861&gt;=2,"Average","Poor")))</f>
        <v>Average</v>
      </c>
      <c r="M861" s="3" t="str">
        <v>Dr.Sinha</v>
      </c>
      <c r="N861" s="3" t="str">
        <f>IF(H861 &gt; (G861*50%), "Yes", "No")</f>
        <v>No</v>
      </c>
      <c r="O861" s="16">
        <f>G861-H861</f>
        <v>10452</v>
      </c>
      <c r="P861" s="16">
        <f>SUMIFS(O861:O861,E861:E861,"Science",F861:F861,"Completed")</f>
        <v>0</v>
      </c>
      <c r="Q861" s="3" t="str">
        <f>IF(MONTH(E861)&gt;=7, YEAR(E861)&amp;"-"&amp;YEAR(E861)+1, YEAR(E861)-1&amp;"-"&amp;YEAR(E861))</f>
        <v>2022-2023</v>
      </c>
      <c r="R861" s="3"/>
      <c r="S861" s="3"/>
      <c r="T861" s="15" t="str">
        <f t="shared" ca="1" si="13"/>
        <v>0</v>
      </c>
      <c r="U861" s="3"/>
    </row>
    <row r="862" spans="1:21" x14ac:dyDescent="0.35">
      <c r="A862" s="3" t="s">
        <v>1745</v>
      </c>
      <c r="B862" s="3" t="s">
        <v>1746</v>
      </c>
      <c r="C862" s="3" t="s">
        <v>17</v>
      </c>
      <c r="D862" s="3" t="s">
        <v>31</v>
      </c>
      <c r="E862" s="6">
        <v>45097</v>
      </c>
      <c r="F862" s="3" t="s">
        <v>14</v>
      </c>
      <c r="G862" s="3">
        <v>6750</v>
      </c>
      <c r="H862" s="3">
        <v>6005</v>
      </c>
      <c r="I862" s="3">
        <v>2.2799999999999998</v>
      </c>
      <c r="J862" s="3">
        <v>114</v>
      </c>
      <c r="K862" s="15">
        <f ca="1">IF(F862="Enrolled",TODAY()-E862,"0")</f>
        <v>957</v>
      </c>
      <c r="L862" s="3" t="str">
        <f>IF(I862&gt;=3.5,"Excellent",IF(I862&gt;=3,"Good",IF(I862&gt;=2,"Average","Poor")))</f>
        <v>Average</v>
      </c>
      <c r="M862" s="3" t="str">
        <v>Dr.Sharma</v>
      </c>
      <c r="N862" s="3" t="str">
        <f>IF(H862 &gt; (G862*50%), "Yes", "No")</f>
        <v>Yes</v>
      </c>
      <c r="O862" s="16">
        <f>G862-H862</f>
        <v>745</v>
      </c>
      <c r="P862" s="16">
        <f>SUMIFS(O862:O862,E862:E862,"Science",F862:F862,"Completed")</f>
        <v>0</v>
      </c>
      <c r="Q862" s="3" t="str">
        <f>IF(MONTH(E862)&gt;=7, YEAR(E862)&amp;"-"&amp;YEAR(E862)+1, YEAR(E862)-1&amp;"-"&amp;YEAR(E862))</f>
        <v>2022-2023</v>
      </c>
      <c r="R862" s="3"/>
      <c r="S862" s="3"/>
      <c r="T862" s="15" t="str">
        <f t="shared" ca="1" si="13"/>
        <v>0</v>
      </c>
      <c r="U862" s="3"/>
    </row>
    <row r="863" spans="1:21" x14ac:dyDescent="0.35">
      <c r="A863" s="3" t="s">
        <v>1747</v>
      </c>
      <c r="B863" s="3" t="s">
        <v>1748</v>
      </c>
      <c r="C863" s="3" t="s">
        <v>36</v>
      </c>
      <c r="D863" s="3" t="s">
        <v>62</v>
      </c>
      <c r="E863" s="6">
        <v>45166</v>
      </c>
      <c r="F863" s="3" t="s">
        <v>14</v>
      </c>
      <c r="G863" s="3">
        <v>4842</v>
      </c>
      <c r="H863" s="3">
        <v>7238</v>
      </c>
      <c r="I863" s="3">
        <v>2.0299999999999998</v>
      </c>
      <c r="J863" s="3">
        <v>46</v>
      </c>
      <c r="K863" s="15">
        <f ca="1">IF(F863="Enrolled",TODAY()-E863,"0")</f>
        <v>888</v>
      </c>
      <c r="L863" s="3" t="str">
        <f>IF(I863&gt;=3.5,"Excellent",IF(I863&gt;=3,"Good",IF(I863&gt;=2,"Average","Poor")))</f>
        <v>Average</v>
      </c>
      <c r="M863" s="3" t="str">
        <v>Dr.Sinha</v>
      </c>
      <c r="N863" s="3" t="str">
        <f>IF(H863 &gt; (G863*50%), "Yes", "No")</f>
        <v>Yes</v>
      </c>
      <c r="O863" s="16">
        <f>G863-H863</f>
        <v>-2396</v>
      </c>
      <c r="P863" s="16">
        <f>SUMIFS(O863:O863,E863:E863,"Science",F863:F863,"Completed")</f>
        <v>0</v>
      </c>
      <c r="Q863" s="3" t="str">
        <f>IF(MONTH(E863)&gt;=7, YEAR(E863)&amp;"-"&amp;YEAR(E863)+1, YEAR(E863)-1&amp;"-"&amp;YEAR(E863))</f>
        <v>2023-2024</v>
      </c>
      <c r="R863" s="3"/>
      <c r="S863" s="3"/>
      <c r="T863" s="15" t="str">
        <f t="shared" ca="1" si="13"/>
        <v>0</v>
      </c>
      <c r="U863" s="3"/>
    </row>
    <row r="864" spans="1:21" x14ac:dyDescent="0.35">
      <c r="A864" s="3" t="s">
        <v>1749</v>
      </c>
      <c r="B864" s="3" t="s">
        <v>1750</v>
      </c>
      <c r="C864" s="3" t="s">
        <v>57</v>
      </c>
      <c r="D864" s="3" t="s">
        <v>18</v>
      </c>
      <c r="E864" s="6">
        <v>44647</v>
      </c>
      <c r="F864" s="3" t="s">
        <v>14</v>
      </c>
      <c r="G864" s="3">
        <v>7267</v>
      </c>
      <c r="H864" s="3">
        <v>7428</v>
      </c>
      <c r="I864" s="3">
        <v>3.25</v>
      </c>
      <c r="J864" s="3">
        <v>115</v>
      </c>
      <c r="K864" s="15">
        <f ca="1">IF(F864="Enrolled",TODAY()-E864,"0")</f>
        <v>1407</v>
      </c>
      <c r="L864" s="3" t="str">
        <f>IF(I864&gt;=3.5,"Excellent",IF(I864&gt;=3,"Good",IF(I864&gt;=2,"Average","Poor")))</f>
        <v>Good</v>
      </c>
      <c r="M864" s="3" t="str">
        <v>Dr.Roy</v>
      </c>
      <c r="N864" s="3" t="str">
        <f>IF(H864 &gt; (G864*50%), "Yes", "No")</f>
        <v>Yes</v>
      </c>
      <c r="O864" s="16">
        <f>G864-H864</f>
        <v>-161</v>
      </c>
      <c r="P864" s="16">
        <f>SUMIFS(O864:O864,E864:E864,"Science",F864:F864,"Completed")</f>
        <v>0</v>
      </c>
      <c r="Q864" s="3" t="str">
        <f>IF(MONTH(E864)&gt;=7, YEAR(E864)&amp;"-"&amp;YEAR(E864)+1, YEAR(E864)-1&amp;"-"&amp;YEAR(E864))</f>
        <v>2021-2022</v>
      </c>
      <c r="R864" s="3"/>
      <c r="S864" s="3"/>
      <c r="T864" s="15" t="str">
        <f t="shared" ca="1" si="13"/>
        <v>0</v>
      </c>
      <c r="U864" s="3"/>
    </row>
    <row r="865" spans="1:21" x14ac:dyDescent="0.35">
      <c r="A865" s="3" t="s">
        <v>1751</v>
      </c>
      <c r="B865" s="3" t="s">
        <v>1752</v>
      </c>
      <c r="C865" s="3" t="s">
        <v>22</v>
      </c>
      <c r="D865" s="3" t="s">
        <v>18</v>
      </c>
      <c r="E865" s="6">
        <v>44921</v>
      </c>
      <c r="F865" s="3" t="s">
        <v>14</v>
      </c>
      <c r="G865" s="3">
        <v>8934</v>
      </c>
      <c r="H865" s="3">
        <v>7479</v>
      </c>
      <c r="I865" s="3">
        <v>2.29</v>
      </c>
      <c r="J865" s="3">
        <v>39</v>
      </c>
      <c r="K865" s="15">
        <f ca="1">IF(F865="Enrolled",TODAY()-E865,"0")</f>
        <v>1133</v>
      </c>
      <c r="L865" s="3" t="str">
        <f>IF(I865&gt;=3.5,"Excellent",IF(I865&gt;=3,"Good",IF(I865&gt;=2,"Average","Poor")))</f>
        <v>Average</v>
      </c>
      <c r="M865" s="3" t="str">
        <v>Dr.Roy</v>
      </c>
      <c r="N865" s="3" t="str">
        <f>IF(H865 &gt; (G865*50%), "Yes", "No")</f>
        <v>Yes</v>
      </c>
      <c r="O865" s="16">
        <f>G865-H865</f>
        <v>1455</v>
      </c>
      <c r="P865" s="16">
        <f>SUMIFS(O865:O865,E865:E865,"Science",F865:F865,"Completed")</f>
        <v>0</v>
      </c>
      <c r="Q865" s="3" t="str">
        <f>IF(MONTH(E865)&gt;=7, YEAR(E865)&amp;"-"&amp;YEAR(E865)+1, YEAR(E865)-1&amp;"-"&amp;YEAR(E865))</f>
        <v>2022-2023</v>
      </c>
      <c r="R865" s="3"/>
      <c r="S865" s="3"/>
      <c r="T865" s="15" t="str">
        <f t="shared" ca="1" si="13"/>
        <v>0</v>
      </c>
      <c r="U865" s="3"/>
    </row>
    <row r="866" spans="1:21" x14ac:dyDescent="0.35">
      <c r="A866" s="3" t="s">
        <v>1753</v>
      </c>
      <c r="B866" s="3" t="s">
        <v>1754</v>
      </c>
      <c r="C866" s="3" t="s">
        <v>54</v>
      </c>
      <c r="D866" s="3" t="s">
        <v>62</v>
      </c>
      <c r="E866" s="6">
        <v>44611</v>
      </c>
      <c r="F866" s="3" t="s">
        <v>39</v>
      </c>
      <c r="G866" s="3">
        <v>10532</v>
      </c>
      <c r="H866" s="3">
        <v>6202</v>
      </c>
      <c r="I866" s="3">
        <v>2.93</v>
      </c>
      <c r="J866" s="3">
        <v>109</v>
      </c>
      <c r="K866" s="15" t="str">
        <f ca="1">IF(F866="Enrolled",TODAY()-E866,"0")</f>
        <v>0</v>
      </c>
      <c r="L866" s="3" t="str">
        <f>IF(I866&gt;=3.5,"Excellent",IF(I866&gt;=3,"Good",IF(I866&gt;=2,"Average","Poor")))</f>
        <v>Average</v>
      </c>
      <c r="M866" s="3" t="str">
        <v>Dr.Sinha</v>
      </c>
      <c r="N866" s="3" t="str">
        <f>IF(H866 &gt; (G866*50%), "Yes", "No")</f>
        <v>Yes</v>
      </c>
      <c r="O866" s="16">
        <f>G866-H866</f>
        <v>4330</v>
      </c>
      <c r="P866" s="16">
        <f>SUMIFS(O866:O866,E866:E866,"Science",F866:F866,"Completed")</f>
        <v>0</v>
      </c>
      <c r="Q866" s="3" t="str">
        <f>IF(MONTH(E866)&gt;=7, YEAR(E866)&amp;"-"&amp;YEAR(E866)+1, YEAR(E866)-1&amp;"-"&amp;YEAR(E866))</f>
        <v>2021-2022</v>
      </c>
      <c r="R866" s="3"/>
      <c r="S866" s="3"/>
      <c r="T866" s="15" t="str">
        <f t="shared" ca="1" si="13"/>
        <v>0</v>
      </c>
      <c r="U866" s="3"/>
    </row>
    <row r="867" spans="1:21" x14ac:dyDescent="0.35">
      <c r="A867" s="3" t="s">
        <v>1755</v>
      </c>
      <c r="B867" s="3" t="s">
        <v>1756</v>
      </c>
      <c r="C867" s="3" t="s">
        <v>28</v>
      </c>
      <c r="D867" s="3" t="s">
        <v>18</v>
      </c>
      <c r="E867" s="6">
        <v>45215</v>
      </c>
      <c r="F867" s="3" t="s">
        <v>19</v>
      </c>
      <c r="G867" s="3">
        <v>2177</v>
      </c>
      <c r="H867" s="3">
        <v>9305</v>
      </c>
      <c r="I867" s="3">
        <v>2.5099999999999998</v>
      </c>
      <c r="J867" s="3">
        <v>50</v>
      </c>
      <c r="K867" s="15" t="str">
        <f ca="1">IF(F867="Enrolled",TODAY()-E867,"0")</f>
        <v>0</v>
      </c>
      <c r="L867" s="3" t="str">
        <f>IF(I867&gt;=3.5,"Excellent",IF(I867&gt;=3,"Good",IF(I867&gt;=2,"Average","Poor")))</f>
        <v>Average</v>
      </c>
      <c r="M867" s="3" t="str">
        <v>Dr.Roy</v>
      </c>
      <c r="N867" s="3" t="str">
        <f>IF(H867 &gt; (G867*50%), "Yes", "No")</f>
        <v>Yes</v>
      </c>
      <c r="O867" s="16">
        <f>G867-H867</f>
        <v>-7128</v>
      </c>
      <c r="P867" s="16">
        <f>SUMIFS(O867:O867,E867:E867,"Science",F867:F867,"Completed")</f>
        <v>0</v>
      </c>
      <c r="Q867" s="3" t="str">
        <f>IF(MONTH(E867)&gt;=7, YEAR(E867)&amp;"-"&amp;YEAR(E867)+1, YEAR(E867)-1&amp;"-"&amp;YEAR(E867))</f>
        <v>2023-2024</v>
      </c>
      <c r="R867" s="3"/>
      <c r="S867" s="3"/>
      <c r="T867" s="15">
        <f t="shared" ca="1" si="13"/>
        <v>839</v>
      </c>
      <c r="U867" s="3"/>
    </row>
    <row r="868" spans="1:21" x14ac:dyDescent="0.35">
      <c r="A868" s="3" t="s">
        <v>1757</v>
      </c>
      <c r="B868" s="3" t="s">
        <v>1758</v>
      </c>
      <c r="C868" s="3" t="s">
        <v>57</v>
      </c>
      <c r="D868" s="3" t="s">
        <v>31</v>
      </c>
      <c r="E868" s="6">
        <v>44999</v>
      </c>
      <c r="F868" s="3" t="s">
        <v>14</v>
      </c>
      <c r="G868" s="3">
        <v>8971</v>
      </c>
      <c r="H868" s="3">
        <v>8015</v>
      </c>
      <c r="I868" s="3">
        <v>3.05</v>
      </c>
      <c r="J868" s="3">
        <v>106</v>
      </c>
      <c r="K868" s="15">
        <f ca="1">IF(F868="Enrolled",TODAY()-E868,"0")</f>
        <v>1055</v>
      </c>
      <c r="L868" s="3" t="str">
        <f>IF(I868&gt;=3.5,"Excellent",IF(I868&gt;=3,"Good",IF(I868&gt;=2,"Average","Poor")))</f>
        <v>Good</v>
      </c>
      <c r="M868" s="3" t="str">
        <v>Dr.Sharma</v>
      </c>
      <c r="N868" s="3" t="str">
        <f>IF(H868 &gt; (G868*50%), "Yes", "No")</f>
        <v>Yes</v>
      </c>
      <c r="O868" s="16">
        <f>G868-H868</f>
        <v>956</v>
      </c>
      <c r="P868" s="16">
        <f>SUMIFS(O868:O868,E868:E868,"Science",F868:F868,"Completed")</f>
        <v>0</v>
      </c>
      <c r="Q868" s="3" t="str">
        <f>IF(MONTH(E868)&gt;=7, YEAR(E868)&amp;"-"&amp;YEAR(E868)+1, YEAR(E868)-1&amp;"-"&amp;YEAR(E868))</f>
        <v>2022-2023</v>
      </c>
      <c r="R868" s="3"/>
      <c r="S868" s="3"/>
      <c r="T868" s="15" t="str">
        <f t="shared" ca="1" si="13"/>
        <v>0</v>
      </c>
      <c r="U868" s="3"/>
    </row>
    <row r="869" spans="1:21" x14ac:dyDescent="0.35">
      <c r="A869" s="3" t="s">
        <v>1759</v>
      </c>
      <c r="B869" s="3" t="s">
        <v>1760</v>
      </c>
      <c r="C869" s="3" t="s">
        <v>22</v>
      </c>
      <c r="D869" s="3" t="s">
        <v>31</v>
      </c>
      <c r="E869" s="6">
        <v>44745</v>
      </c>
      <c r="F869" s="3" t="s">
        <v>39</v>
      </c>
      <c r="G869" s="3">
        <v>13897</v>
      </c>
      <c r="H869" s="3">
        <v>7593</v>
      </c>
      <c r="I869" s="3">
        <v>3.25</v>
      </c>
      <c r="J869" s="3">
        <v>63</v>
      </c>
      <c r="K869" s="15" t="str">
        <f ca="1">IF(F869="Enrolled",TODAY()-E869,"0")</f>
        <v>0</v>
      </c>
      <c r="L869" s="3" t="str">
        <f>IF(I869&gt;=3.5,"Excellent",IF(I869&gt;=3,"Good",IF(I869&gt;=2,"Average","Poor")))</f>
        <v>Good</v>
      </c>
      <c r="M869" s="3" t="str">
        <v>Dr.Sharma</v>
      </c>
      <c r="N869" s="3" t="str">
        <f>IF(H869 &gt; (G869*50%), "Yes", "No")</f>
        <v>Yes</v>
      </c>
      <c r="O869" s="16">
        <f>G869-H869</f>
        <v>6304</v>
      </c>
      <c r="P869" s="16">
        <f>SUMIFS(O869:O869,E869:E869,"Science",F869:F869,"Completed")</f>
        <v>0</v>
      </c>
      <c r="Q869" s="3" t="str">
        <f>IF(MONTH(E869)&gt;=7, YEAR(E869)&amp;"-"&amp;YEAR(E869)+1, YEAR(E869)-1&amp;"-"&amp;YEAR(E869))</f>
        <v>2022-2023</v>
      </c>
      <c r="R869" s="3"/>
      <c r="S869" s="3"/>
      <c r="T869" s="15" t="str">
        <f t="shared" ca="1" si="13"/>
        <v>0</v>
      </c>
      <c r="U869" s="3"/>
    </row>
    <row r="870" spans="1:21" x14ac:dyDescent="0.35">
      <c r="A870" s="3" t="s">
        <v>1761</v>
      </c>
      <c r="B870" s="3" t="s">
        <v>1762</v>
      </c>
      <c r="C870" s="3" t="s">
        <v>28</v>
      </c>
      <c r="D870" s="3" t="s">
        <v>13</v>
      </c>
      <c r="E870" s="6">
        <v>44776</v>
      </c>
      <c r="F870" s="3" t="s">
        <v>14</v>
      </c>
      <c r="G870" s="3">
        <v>5508</v>
      </c>
      <c r="H870" s="3">
        <v>7751</v>
      </c>
      <c r="I870" s="3">
        <v>2.0099999999999998</v>
      </c>
      <c r="J870" s="3">
        <v>17</v>
      </c>
      <c r="K870" s="15">
        <f ca="1">IF(F870="Enrolled",TODAY()-E870,"0")</f>
        <v>1278</v>
      </c>
      <c r="L870" s="3" t="str">
        <f>IF(I870&gt;=3.5,"Excellent",IF(I870&gt;=3,"Good",IF(I870&gt;=2,"Average","Poor")))</f>
        <v>Average</v>
      </c>
      <c r="M870" s="3" t="str">
        <v>Dr.Mehta</v>
      </c>
      <c r="N870" s="3" t="str">
        <f>IF(H870 &gt; (G870*50%), "Yes", "No")</f>
        <v>Yes</v>
      </c>
      <c r="O870" s="16">
        <f>G870-H870</f>
        <v>-2243</v>
      </c>
      <c r="P870" s="16">
        <f>SUMIFS(O870:O870,E870:E870,"Science",F870:F870,"Completed")</f>
        <v>0</v>
      </c>
      <c r="Q870" s="3" t="str">
        <f>IF(MONTH(E870)&gt;=7, YEAR(E870)&amp;"-"&amp;YEAR(E870)+1, YEAR(E870)-1&amp;"-"&amp;YEAR(E870))</f>
        <v>2022-2023</v>
      </c>
      <c r="R870" s="3"/>
      <c r="S870" s="3"/>
      <c r="T870" s="15" t="str">
        <f t="shared" ca="1" si="13"/>
        <v>0</v>
      </c>
      <c r="U870" s="3"/>
    </row>
    <row r="871" spans="1:21" x14ac:dyDescent="0.35">
      <c r="A871" s="3" t="s">
        <v>1763</v>
      </c>
      <c r="B871" s="3" t="s">
        <v>1764</v>
      </c>
      <c r="C871" s="3" t="s">
        <v>25</v>
      </c>
      <c r="D871" s="3" t="s">
        <v>13</v>
      </c>
      <c r="E871" s="6">
        <v>45251</v>
      </c>
      <c r="F871" s="3" t="s">
        <v>14</v>
      </c>
      <c r="G871" s="3">
        <v>12065</v>
      </c>
      <c r="H871" s="3">
        <v>2882</v>
      </c>
      <c r="I871" s="3">
        <v>2.35</v>
      </c>
      <c r="J871" s="3">
        <v>93</v>
      </c>
      <c r="K871" s="15">
        <f ca="1">IF(F871="Enrolled",TODAY()-E871,"0")</f>
        <v>803</v>
      </c>
      <c r="L871" s="3" t="str">
        <f>IF(I871&gt;=3.5,"Excellent",IF(I871&gt;=3,"Good",IF(I871&gt;=2,"Average","Poor")))</f>
        <v>Average</v>
      </c>
      <c r="M871" s="3" t="str">
        <v>Dr.Mehta</v>
      </c>
      <c r="N871" s="3" t="str">
        <f>IF(H871 &gt; (G871*50%), "Yes", "No")</f>
        <v>No</v>
      </c>
      <c r="O871" s="16">
        <f>G871-H871</f>
        <v>9183</v>
      </c>
      <c r="P871" s="16">
        <f>SUMIFS(O871:O871,E871:E871,"Science",F871:F871,"Completed")</f>
        <v>0</v>
      </c>
      <c r="Q871" s="3" t="str">
        <f>IF(MONTH(E871)&gt;=7, YEAR(E871)&amp;"-"&amp;YEAR(E871)+1, YEAR(E871)-1&amp;"-"&amp;YEAR(E871))</f>
        <v>2023-2024</v>
      </c>
      <c r="R871" s="3"/>
      <c r="S871" s="3"/>
      <c r="T871" s="15" t="str">
        <f t="shared" ca="1" si="13"/>
        <v>0</v>
      </c>
      <c r="U871" s="3"/>
    </row>
    <row r="872" spans="1:21" x14ac:dyDescent="0.35">
      <c r="A872" s="3" t="s">
        <v>1765</v>
      </c>
      <c r="B872" s="3" t="s">
        <v>1766</v>
      </c>
      <c r="C872" s="3" t="s">
        <v>57</v>
      </c>
      <c r="D872" s="3" t="s">
        <v>13</v>
      </c>
      <c r="E872" s="6">
        <v>45173</v>
      </c>
      <c r="F872" s="3" t="s">
        <v>14</v>
      </c>
      <c r="G872" s="3">
        <v>4499</v>
      </c>
      <c r="H872" s="3">
        <v>9517</v>
      </c>
      <c r="I872" s="3">
        <v>2.71</v>
      </c>
      <c r="J872" s="3">
        <v>2</v>
      </c>
      <c r="K872" s="15">
        <f ca="1">IF(F872="Enrolled",TODAY()-E872,"0")</f>
        <v>881</v>
      </c>
      <c r="L872" s="3" t="str">
        <f>IF(I872&gt;=3.5,"Excellent",IF(I872&gt;=3,"Good",IF(I872&gt;=2,"Average","Poor")))</f>
        <v>Average</v>
      </c>
      <c r="M872" s="3" t="str">
        <v>Dr.Mehta</v>
      </c>
      <c r="N872" s="3" t="str">
        <f>IF(H872 &gt; (G872*50%), "Yes", "No")</f>
        <v>Yes</v>
      </c>
      <c r="O872" s="16">
        <f>G872-H872</f>
        <v>-5018</v>
      </c>
      <c r="P872" s="16">
        <f>SUMIFS(O872:O872,E872:E872,"Science",F872:F872,"Completed")</f>
        <v>0</v>
      </c>
      <c r="Q872" s="3" t="str">
        <f>IF(MONTH(E872)&gt;=7, YEAR(E872)&amp;"-"&amp;YEAR(E872)+1, YEAR(E872)-1&amp;"-"&amp;YEAR(E872))</f>
        <v>2023-2024</v>
      </c>
      <c r="R872" s="3"/>
      <c r="S872" s="3"/>
      <c r="T872" s="15" t="str">
        <f t="shared" ca="1" si="13"/>
        <v>0</v>
      </c>
      <c r="U872" s="3"/>
    </row>
    <row r="873" spans="1:21" x14ac:dyDescent="0.35">
      <c r="A873" s="3" t="s">
        <v>1767</v>
      </c>
      <c r="B873" s="3" t="s">
        <v>1768</v>
      </c>
      <c r="C873" s="3" t="s">
        <v>28</v>
      </c>
      <c r="D873" s="3" t="s">
        <v>62</v>
      </c>
      <c r="E873" s="6">
        <v>44888</v>
      </c>
      <c r="F873" s="3" t="s">
        <v>14</v>
      </c>
      <c r="G873" s="3">
        <v>12459</v>
      </c>
      <c r="H873" s="3">
        <v>889</v>
      </c>
      <c r="I873" s="3">
        <v>3.43</v>
      </c>
      <c r="J873" s="3">
        <v>57</v>
      </c>
      <c r="K873" s="15">
        <f ca="1">IF(F873="Enrolled",TODAY()-E873,"0")</f>
        <v>1166</v>
      </c>
      <c r="L873" s="3" t="str">
        <f>IF(I873&gt;=3.5,"Excellent",IF(I873&gt;=3,"Good",IF(I873&gt;=2,"Average","Poor")))</f>
        <v>Good</v>
      </c>
      <c r="M873" s="3" t="str">
        <v>Dr.Sinha</v>
      </c>
      <c r="N873" s="3" t="str">
        <f>IF(H873 &gt; (G873*50%), "Yes", "No")</f>
        <v>No</v>
      </c>
      <c r="O873" s="16">
        <f>G873-H873</f>
        <v>11570</v>
      </c>
      <c r="P873" s="16">
        <f>SUMIFS(O873:O873,E873:E873,"Science",F873:F873,"Completed")</f>
        <v>0</v>
      </c>
      <c r="Q873" s="3" t="str">
        <f>IF(MONTH(E873)&gt;=7, YEAR(E873)&amp;"-"&amp;YEAR(E873)+1, YEAR(E873)-1&amp;"-"&amp;YEAR(E873))</f>
        <v>2022-2023</v>
      </c>
      <c r="R873" s="3"/>
      <c r="S873" s="3"/>
      <c r="T873" s="15" t="str">
        <f t="shared" ca="1" si="13"/>
        <v>0</v>
      </c>
      <c r="U873" s="3"/>
    </row>
    <row r="874" spans="1:21" x14ac:dyDescent="0.35">
      <c r="A874" s="3" t="s">
        <v>1769</v>
      </c>
      <c r="B874" s="3" t="s">
        <v>1770</v>
      </c>
      <c r="C874" s="3" t="s">
        <v>57</v>
      </c>
      <c r="D874" s="3" t="s">
        <v>13</v>
      </c>
      <c r="E874" s="6">
        <v>45018</v>
      </c>
      <c r="F874" s="3" t="s">
        <v>14</v>
      </c>
      <c r="G874" s="3">
        <v>4107</v>
      </c>
      <c r="H874" s="3">
        <v>6953</v>
      </c>
      <c r="I874" s="3">
        <v>3.32</v>
      </c>
      <c r="J874" s="3">
        <v>8</v>
      </c>
      <c r="K874" s="15">
        <f ca="1">IF(F874="Enrolled",TODAY()-E874,"0")</f>
        <v>1036</v>
      </c>
      <c r="L874" s="3" t="str">
        <f>IF(I874&gt;=3.5,"Excellent",IF(I874&gt;=3,"Good",IF(I874&gt;=2,"Average","Poor")))</f>
        <v>Good</v>
      </c>
      <c r="M874" s="3" t="str">
        <v>Dr.Mehta</v>
      </c>
      <c r="N874" s="3" t="str">
        <f>IF(H874 &gt; (G874*50%), "Yes", "No")</f>
        <v>Yes</v>
      </c>
      <c r="O874" s="16">
        <f>G874-H874</f>
        <v>-2846</v>
      </c>
      <c r="P874" s="16">
        <f>SUMIFS(O874:O874,E874:E874,"Science",F874:F874,"Completed")</f>
        <v>0</v>
      </c>
      <c r="Q874" s="3" t="str">
        <f>IF(MONTH(E874)&gt;=7, YEAR(E874)&amp;"-"&amp;YEAR(E874)+1, YEAR(E874)-1&amp;"-"&amp;YEAR(E874))</f>
        <v>2022-2023</v>
      </c>
      <c r="R874" s="3"/>
      <c r="S874" s="3"/>
      <c r="T874" s="15" t="str">
        <f t="shared" ca="1" si="13"/>
        <v>0</v>
      </c>
      <c r="U874" s="3"/>
    </row>
    <row r="875" spans="1:21" x14ac:dyDescent="0.35">
      <c r="A875" s="3" t="s">
        <v>1771</v>
      </c>
      <c r="B875" s="3" t="s">
        <v>1772</v>
      </c>
      <c r="C875" s="3" t="s">
        <v>36</v>
      </c>
      <c r="D875" s="3" t="s">
        <v>18</v>
      </c>
      <c r="E875" s="6">
        <v>44690</v>
      </c>
      <c r="F875" s="3" t="s">
        <v>14</v>
      </c>
      <c r="G875" s="3">
        <v>3251</v>
      </c>
      <c r="H875" s="3">
        <v>9829</v>
      </c>
      <c r="I875" s="3">
        <v>2.73</v>
      </c>
      <c r="J875" s="3">
        <v>60</v>
      </c>
      <c r="K875" s="15">
        <f ca="1">IF(F875="Enrolled",TODAY()-E875,"0")</f>
        <v>1364</v>
      </c>
      <c r="L875" s="3" t="str">
        <f>IF(I875&gt;=3.5,"Excellent",IF(I875&gt;=3,"Good",IF(I875&gt;=2,"Average","Poor")))</f>
        <v>Average</v>
      </c>
      <c r="M875" s="3" t="str">
        <v>Dr.Roy</v>
      </c>
      <c r="N875" s="3" t="str">
        <f>IF(H875 &gt; (G875*50%), "Yes", "No")</f>
        <v>Yes</v>
      </c>
      <c r="O875" s="16">
        <f>G875-H875</f>
        <v>-6578</v>
      </c>
      <c r="P875" s="16">
        <f>SUMIFS(O875:O875,E875:E875,"Science",F875:F875,"Completed")</f>
        <v>0</v>
      </c>
      <c r="Q875" s="3" t="str">
        <f>IF(MONTH(E875)&gt;=7, YEAR(E875)&amp;"-"&amp;YEAR(E875)+1, YEAR(E875)-1&amp;"-"&amp;YEAR(E875))</f>
        <v>2021-2022</v>
      </c>
      <c r="R875" s="3"/>
      <c r="S875" s="3"/>
      <c r="T875" s="15" t="str">
        <f t="shared" ca="1" si="13"/>
        <v>0</v>
      </c>
      <c r="U875" s="3"/>
    </row>
    <row r="876" spans="1:21" x14ac:dyDescent="0.35">
      <c r="A876" s="3" t="s">
        <v>1773</v>
      </c>
      <c r="B876" s="3" t="s">
        <v>1774</v>
      </c>
      <c r="C876" s="3" t="s">
        <v>54</v>
      </c>
      <c r="D876" s="3" t="s">
        <v>18</v>
      </c>
      <c r="E876" s="6">
        <v>44578</v>
      </c>
      <c r="F876" s="3" t="s">
        <v>39</v>
      </c>
      <c r="G876" s="3">
        <v>8000</v>
      </c>
      <c r="H876" s="3">
        <v>5181</v>
      </c>
      <c r="I876" s="3">
        <v>2.27</v>
      </c>
      <c r="J876" s="3">
        <v>92</v>
      </c>
      <c r="K876" s="15" t="str">
        <f ca="1">IF(F876="Enrolled",TODAY()-E876,"0")</f>
        <v>0</v>
      </c>
      <c r="L876" s="3" t="str">
        <f>IF(I876&gt;=3.5,"Excellent",IF(I876&gt;=3,"Good",IF(I876&gt;=2,"Average","Poor")))</f>
        <v>Average</v>
      </c>
      <c r="M876" s="3" t="str">
        <v>Dr.Roy</v>
      </c>
      <c r="N876" s="3" t="str">
        <f>IF(H876 &gt; (G876*50%), "Yes", "No")</f>
        <v>Yes</v>
      </c>
      <c r="O876" s="16">
        <f>G876-H876</f>
        <v>2819</v>
      </c>
      <c r="P876" s="16">
        <f>SUMIFS(O876:O876,E876:E876,"Science",F876:F876,"Completed")</f>
        <v>0</v>
      </c>
      <c r="Q876" s="3" t="str">
        <f>IF(MONTH(E876)&gt;=7, YEAR(E876)&amp;"-"&amp;YEAR(E876)+1, YEAR(E876)-1&amp;"-"&amp;YEAR(E876))</f>
        <v>2021-2022</v>
      </c>
      <c r="R876" s="3"/>
      <c r="S876" s="3"/>
      <c r="T876" s="15" t="str">
        <f t="shared" ca="1" si="13"/>
        <v>0</v>
      </c>
      <c r="U876" s="3"/>
    </row>
    <row r="877" spans="1:21" x14ac:dyDescent="0.35">
      <c r="A877" s="3" t="s">
        <v>1775</v>
      </c>
      <c r="B877" s="3" t="s">
        <v>1776</v>
      </c>
      <c r="C877" s="3" t="s">
        <v>57</v>
      </c>
      <c r="D877" s="3" t="s">
        <v>62</v>
      </c>
      <c r="E877" s="6">
        <v>45405</v>
      </c>
      <c r="F877" s="3" t="s">
        <v>14</v>
      </c>
      <c r="G877" s="3">
        <v>4905</v>
      </c>
      <c r="H877" s="3">
        <v>8239</v>
      </c>
      <c r="I877" s="3">
        <v>3.24</v>
      </c>
      <c r="J877" s="3">
        <v>13</v>
      </c>
      <c r="K877" s="15">
        <f ca="1">IF(F877="Enrolled",TODAY()-E877,"0")</f>
        <v>649</v>
      </c>
      <c r="L877" s="3" t="str">
        <f>IF(I877&gt;=3.5,"Excellent",IF(I877&gt;=3,"Good",IF(I877&gt;=2,"Average","Poor")))</f>
        <v>Good</v>
      </c>
      <c r="M877" s="3" t="str">
        <v>Dr.Sinha</v>
      </c>
      <c r="N877" s="3" t="str">
        <f>IF(H877 &gt; (G877*50%), "Yes", "No")</f>
        <v>Yes</v>
      </c>
      <c r="O877" s="16">
        <f>G877-H877</f>
        <v>-3334</v>
      </c>
      <c r="P877" s="16">
        <f>SUMIFS(O877:O877,E877:E877,"Science",F877:F877,"Completed")</f>
        <v>0</v>
      </c>
      <c r="Q877" s="3" t="str">
        <f>IF(MONTH(E877)&gt;=7, YEAR(E877)&amp;"-"&amp;YEAR(E877)+1, YEAR(E877)-1&amp;"-"&amp;YEAR(E877))</f>
        <v>2023-2024</v>
      </c>
      <c r="R877" s="3"/>
      <c r="S877" s="3"/>
      <c r="T877" s="15" t="str">
        <f t="shared" ca="1" si="13"/>
        <v>0</v>
      </c>
      <c r="U877" s="3"/>
    </row>
    <row r="878" spans="1:21" x14ac:dyDescent="0.35">
      <c r="A878" s="3" t="s">
        <v>1777</v>
      </c>
      <c r="B878" s="3" t="s">
        <v>1778</v>
      </c>
      <c r="C878" s="3" t="s">
        <v>36</v>
      </c>
      <c r="D878" s="3" t="s">
        <v>62</v>
      </c>
      <c r="E878" s="6">
        <v>45071</v>
      </c>
      <c r="F878" s="3" t="s">
        <v>14</v>
      </c>
      <c r="G878" s="3">
        <v>12331</v>
      </c>
      <c r="H878" s="3">
        <v>1249</v>
      </c>
      <c r="I878" s="3">
        <v>2.46</v>
      </c>
      <c r="J878" s="3">
        <v>29</v>
      </c>
      <c r="K878" s="15">
        <f ca="1">IF(F878="Enrolled",TODAY()-E878,"0")</f>
        <v>983</v>
      </c>
      <c r="L878" s="3" t="str">
        <f>IF(I878&gt;=3.5,"Excellent",IF(I878&gt;=3,"Good",IF(I878&gt;=2,"Average","Poor")))</f>
        <v>Average</v>
      </c>
      <c r="M878" s="3" t="str">
        <v>Dr.Sinha</v>
      </c>
      <c r="N878" s="3" t="str">
        <f>IF(H878 &gt; (G878*50%), "Yes", "No")</f>
        <v>No</v>
      </c>
      <c r="O878" s="16">
        <f>G878-H878</f>
        <v>11082</v>
      </c>
      <c r="P878" s="16">
        <f>SUMIFS(O878:O878,E878:E878,"Science",F878:F878,"Completed")</f>
        <v>0</v>
      </c>
      <c r="Q878" s="3" t="str">
        <f>IF(MONTH(E878)&gt;=7, YEAR(E878)&amp;"-"&amp;YEAR(E878)+1, YEAR(E878)-1&amp;"-"&amp;YEAR(E878))</f>
        <v>2022-2023</v>
      </c>
      <c r="R878" s="3"/>
      <c r="S878" s="3"/>
      <c r="T878" s="15" t="str">
        <f t="shared" ca="1" si="13"/>
        <v>0</v>
      </c>
      <c r="U878" s="3"/>
    </row>
    <row r="879" spans="1:21" x14ac:dyDescent="0.35">
      <c r="A879" s="3" t="s">
        <v>1779</v>
      </c>
      <c r="B879" s="3" t="s">
        <v>1780</v>
      </c>
      <c r="C879" s="3" t="s">
        <v>57</v>
      </c>
      <c r="D879" s="3" t="s">
        <v>62</v>
      </c>
      <c r="E879" s="6">
        <v>45041</v>
      </c>
      <c r="F879" s="3" t="s">
        <v>39</v>
      </c>
      <c r="G879" s="3">
        <v>13471</v>
      </c>
      <c r="H879" s="3">
        <v>786</v>
      </c>
      <c r="I879" s="3">
        <v>3.26</v>
      </c>
      <c r="J879" s="3">
        <v>94</v>
      </c>
      <c r="K879" s="15" t="str">
        <f ca="1">IF(F879="Enrolled",TODAY()-E879,"0")</f>
        <v>0</v>
      </c>
      <c r="L879" s="3" t="str">
        <f>IF(I879&gt;=3.5,"Excellent",IF(I879&gt;=3,"Good",IF(I879&gt;=2,"Average","Poor")))</f>
        <v>Good</v>
      </c>
      <c r="M879" s="3" t="str">
        <v>Dr.Sinha</v>
      </c>
      <c r="N879" s="3" t="str">
        <f>IF(H879 &gt; (G879*50%), "Yes", "No")</f>
        <v>No</v>
      </c>
      <c r="O879" s="16">
        <f>G879-H879</f>
        <v>12685</v>
      </c>
      <c r="P879" s="16">
        <f>SUMIFS(O879:O879,E879:E879,"Science",F879:F879,"Completed")</f>
        <v>0</v>
      </c>
      <c r="Q879" s="3" t="str">
        <f>IF(MONTH(E879)&gt;=7, YEAR(E879)&amp;"-"&amp;YEAR(E879)+1, YEAR(E879)-1&amp;"-"&amp;YEAR(E879))</f>
        <v>2022-2023</v>
      </c>
      <c r="R879" s="3"/>
      <c r="S879" s="3"/>
      <c r="T879" s="15" t="str">
        <f t="shared" ca="1" si="13"/>
        <v>0</v>
      </c>
      <c r="U879" s="3"/>
    </row>
    <row r="880" spans="1:21" x14ac:dyDescent="0.35">
      <c r="A880" s="3" t="s">
        <v>1781</v>
      </c>
      <c r="B880" s="3" t="s">
        <v>1782</v>
      </c>
      <c r="C880" s="3" t="s">
        <v>22</v>
      </c>
      <c r="D880" s="3" t="s">
        <v>31</v>
      </c>
      <c r="E880" s="6">
        <v>44894</v>
      </c>
      <c r="F880" s="3" t="s">
        <v>14</v>
      </c>
      <c r="G880" s="3">
        <v>9678</v>
      </c>
      <c r="H880" s="3">
        <v>6115</v>
      </c>
      <c r="I880" s="3">
        <v>3.56</v>
      </c>
      <c r="J880" s="3">
        <v>81</v>
      </c>
      <c r="K880" s="15">
        <f ca="1">IF(F880="Enrolled",TODAY()-E880,"0")</f>
        <v>1160</v>
      </c>
      <c r="L880" s="3" t="str">
        <f>IF(I880&gt;=3.5,"Excellent",IF(I880&gt;=3,"Good",IF(I880&gt;=2,"Average","Poor")))</f>
        <v>Excellent</v>
      </c>
      <c r="M880" s="3" t="str">
        <v>Dr.Sharma</v>
      </c>
      <c r="N880" s="3" t="str">
        <f>IF(H880 &gt; (G880*50%), "Yes", "No")</f>
        <v>Yes</v>
      </c>
      <c r="O880" s="16">
        <f>G880-H880</f>
        <v>3563</v>
      </c>
      <c r="P880" s="16">
        <f>SUMIFS(O880:O880,E880:E880,"Science",F880:F880,"Completed")</f>
        <v>0</v>
      </c>
      <c r="Q880" s="3" t="str">
        <f>IF(MONTH(E880)&gt;=7, YEAR(E880)&amp;"-"&amp;YEAR(E880)+1, YEAR(E880)-1&amp;"-"&amp;YEAR(E880))</f>
        <v>2022-2023</v>
      </c>
      <c r="R880" s="3"/>
      <c r="S880" s="3"/>
      <c r="T880" s="15" t="str">
        <f t="shared" ca="1" si="13"/>
        <v>0</v>
      </c>
      <c r="U880" s="3"/>
    </row>
    <row r="881" spans="1:21" x14ac:dyDescent="0.35">
      <c r="A881" s="3" t="s">
        <v>1783</v>
      </c>
      <c r="B881" s="3" t="s">
        <v>1784</v>
      </c>
      <c r="C881" s="3" t="s">
        <v>17</v>
      </c>
      <c r="D881" s="3" t="s">
        <v>13</v>
      </c>
      <c r="E881" s="6">
        <v>44796</v>
      </c>
      <c r="F881" s="3" t="s">
        <v>14</v>
      </c>
      <c r="G881" s="3">
        <v>9888</v>
      </c>
      <c r="H881" s="3">
        <v>7169</v>
      </c>
      <c r="I881" s="3">
        <v>3.71</v>
      </c>
      <c r="J881" s="3">
        <v>15</v>
      </c>
      <c r="K881" s="15">
        <f ca="1">IF(F881="Enrolled",TODAY()-E881,"0")</f>
        <v>1258</v>
      </c>
      <c r="L881" s="3" t="str">
        <f>IF(I881&gt;=3.5,"Excellent",IF(I881&gt;=3,"Good",IF(I881&gt;=2,"Average","Poor")))</f>
        <v>Excellent</v>
      </c>
      <c r="M881" s="3" t="str">
        <v>Dr.Mehta</v>
      </c>
      <c r="N881" s="3" t="str">
        <f>IF(H881 &gt; (G881*50%), "Yes", "No")</f>
        <v>Yes</v>
      </c>
      <c r="O881" s="16">
        <f>G881-H881</f>
        <v>2719</v>
      </c>
      <c r="P881" s="16">
        <f>SUMIFS(O881:O881,E881:E881,"Science",F881:F881,"Completed")</f>
        <v>0</v>
      </c>
      <c r="Q881" s="3" t="str">
        <f>IF(MONTH(E881)&gt;=7, YEAR(E881)&amp;"-"&amp;YEAR(E881)+1, YEAR(E881)-1&amp;"-"&amp;YEAR(E881))</f>
        <v>2022-2023</v>
      </c>
      <c r="R881" s="3"/>
      <c r="S881" s="3"/>
      <c r="T881" s="15" t="str">
        <f t="shared" ca="1" si="13"/>
        <v>0</v>
      </c>
      <c r="U881" s="3"/>
    </row>
    <row r="882" spans="1:21" x14ac:dyDescent="0.35">
      <c r="A882" s="3" t="s">
        <v>1785</v>
      </c>
      <c r="B882" s="3" t="s">
        <v>1786</v>
      </c>
      <c r="C882" s="3" t="s">
        <v>25</v>
      </c>
      <c r="D882" s="3" t="s">
        <v>18</v>
      </c>
      <c r="E882" s="6">
        <v>44955</v>
      </c>
      <c r="F882" s="3" t="s">
        <v>14</v>
      </c>
      <c r="G882" s="3">
        <v>11687</v>
      </c>
      <c r="H882" s="3">
        <v>8105</v>
      </c>
      <c r="I882" s="3">
        <v>3.45</v>
      </c>
      <c r="J882" s="3">
        <v>89</v>
      </c>
      <c r="K882" s="15">
        <f ca="1">IF(F882="Enrolled",TODAY()-E882,"0")</f>
        <v>1099</v>
      </c>
      <c r="L882" s="3" t="str">
        <f>IF(I882&gt;=3.5,"Excellent",IF(I882&gt;=3,"Good",IF(I882&gt;=2,"Average","Poor")))</f>
        <v>Good</v>
      </c>
      <c r="M882" s="3" t="str">
        <v>Dr.Roy</v>
      </c>
      <c r="N882" s="3" t="str">
        <f>IF(H882 &gt; (G882*50%), "Yes", "No")</f>
        <v>Yes</v>
      </c>
      <c r="O882" s="16">
        <f>G882-H882</f>
        <v>3582</v>
      </c>
      <c r="P882" s="16">
        <f>SUMIFS(O882:O882,E882:E882,"Science",F882:F882,"Completed")</f>
        <v>0</v>
      </c>
      <c r="Q882" s="3" t="str">
        <f>IF(MONTH(E882)&gt;=7, YEAR(E882)&amp;"-"&amp;YEAR(E882)+1, YEAR(E882)-1&amp;"-"&amp;YEAR(E882))</f>
        <v>2022-2023</v>
      </c>
      <c r="R882" s="3"/>
      <c r="S882" s="3"/>
      <c r="T882" s="15" t="str">
        <f t="shared" ca="1" si="13"/>
        <v>0</v>
      </c>
      <c r="U882" s="3"/>
    </row>
    <row r="883" spans="1:21" x14ac:dyDescent="0.35">
      <c r="A883" s="3" t="s">
        <v>1787</v>
      </c>
      <c r="B883" s="3" t="s">
        <v>1788</v>
      </c>
      <c r="C883" s="3" t="s">
        <v>36</v>
      </c>
      <c r="D883" s="3" t="s">
        <v>13</v>
      </c>
      <c r="E883" s="6">
        <v>45057</v>
      </c>
      <c r="F883" s="3" t="s">
        <v>14</v>
      </c>
      <c r="G883" s="3">
        <v>7453</v>
      </c>
      <c r="H883" s="3">
        <v>143</v>
      </c>
      <c r="I883" s="3">
        <v>2.73</v>
      </c>
      <c r="J883" s="3">
        <v>64</v>
      </c>
      <c r="K883" s="15">
        <f ca="1">IF(F883="Enrolled",TODAY()-E883,"0")</f>
        <v>997</v>
      </c>
      <c r="L883" s="3" t="str">
        <f>IF(I883&gt;=3.5,"Excellent",IF(I883&gt;=3,"Good",IF(I883&gt;=2,"Average","Poor")))</f>
        <v>Average</v>
      </c>
      <c r="M883" s="3" t="str">
        <v>Dr.Mehta</v>
      </c>
      <c r="N883" s="3" t="str">
        <f>IF(H883 &gt; (G883*50%), "Yes", "No")</f>
        <v>No</v>
      </c>
      <c r="O883" s="16">
        <f>G883-H883</f>
        <v>7310</v>
      </c>
      <c r="P883" s="16">
        <f>SUMIFS(O883:O883,E883:E883,"Science",F883:F883,"Completed")</f>
        <v>0</v>
      </c>
      <c r="Q883" s="3" t="str">
        <f>IF(MONTH(E883)&gt;=7, YEAR(E883)&amp;"-"&amp;YEAR(E883)+1, YEAR(E883)-1&amp;"-"&amp;YEAR(E883))</f>
        <v>2022-2023</v>
      </c>
      <c r="R883" s="3"/>
      <c r="S883" s="3"/>
      <c r="T883" s="15" t="str">
        <f t="shared" ca="1" si="13"/>
        <v>0</v>
      </c>
      <c r="U883" s="3"/>
    </row>
    <row r="884" spans="1:21" x14ac:dyDescent="0.35">
      <c r="A884" s="3" t="s">
        <v>1789</v>
      </c>
      <c r="B884" s="3" t="s">
        <v>1790</v>
      </c>
      <c r="C884" s="3" t="s">
        <v>28</v>
      </c>
      <c r="D884" s="3" t="s">
        <v>62</v>
      </c>
      <c r="E884" s="6">
        <v>44932</v>
      </c>
      <c r="F884" s="3" t="s">
        <v>14</v>
      </c>
      <c r="G884" s="3">
        <v>8695</v>
      </c>
      <c r="H884" s="3">
        <v>7266</v>
      </c>
      <c r="I884" s="3">
        <v>3.03</v>
      </c>
      <c r="J884" s="3">
        <v>71</v>
      </c>
      <c r="K884" s="15">
        <f ca="1">IF(F884="Enrolled",TODAY()-E884,"0")</f>
        <v>1122</v>
      </c>
      <c r="L884" s="3" t="str">
        <f>IF(I884&gt;=3.5,"Excellent",IF(I884&gt;=3,"Good",IF(I884&gt;=2,"Average","Poor")))</f>
        <v>Good</v>
      </c>
      <c r="M884" s="3" t="str">
        <v>Dr.Sinha</v>
      </c>
      <c r="N884" s="3" t="str">
        <f>IF(H884 &gt; (G884*50%), "Yes", "No")</f>
        <v>Yes</v>
      </c>
      <c r="O884" s="16">
        <f>G884-H884</f>
        <v>1429</v>
      </c>
      <c r="P884" s="16">
        <f>SUMIFS(O884:O884,E884:E884,"Science",F884:F884,"Completed")</f>
        <v>0</v>
      </c>
      <c r="Q884" s="3" t="str">
        <f>IF(MONTH(E884)&gt;=7, YEAR(E884)&amp;"-"&amp;YEAR(E884)+1, YEAR(E884)-1&amp;"-"&amp;YEAR(E884))</f>
        <v>2022-2023</v>
      </c>
      <c r="R884" s="3"/>
      <c r="S884" s="3"/>
      <c r="T884" s="15" t="str">
        <f t="shared" ca="1" si="13"/>
        <v>0</v>
      </c>
      <c r="U884" s="3"/>
    </row>
    <row r="885" spans="1:21" x14ac:dyDescent="0.35">
      <c r="A885" s="3" t="s">
        <v>1791</v>
      </c>
      <c r="B885" s="3" t="s">
        <v>1792</v>
      </c>
      <c r="C885" s="3" t="s">
        <v>57</v>
      </c>
      <c r="D885" s="3" t="s">
        <v>31</v>
      </c>
      <c r="E885" s="6">
        <v>45001</v>
      </c>
      <c r="F885" s="3" t="s">
        <v>19</v>
      </c>
      <c r="G885" s="3">
        <v>4856</v>
      </c>
      <c r="H885" s="3">
        <v>878</v>
      </c>
      <c r="I885" s="3">
        <v>2.65</v>
      </c>
      <c r="J885" s="3">
        <v>29</v>
      </c>
      <c r="K885" s="15" t="str">
        <f ca="1">IF(F885="Enrolled",TODAY()-E885,"0")</f>
        <v>0</v>
      </c>
      <c r="L885" s="3" t="str">
        <f>IF(I885&gt;=3.5,"Excellent",IF(I885&gt;=3,"Good",IF(I885&gt;=2,"Average","Poor")))</f>
        <v>Average</v>
      </c>
      <c r="M885" s="3" t="str">
        <v>Dr.Sharma</v>
      </c>
      <c r="N885" s="3" t="str">
        <f>IF(H885 &gt; (G885*50%), "Yes", "No")</f>
        <v>No</v>
      </c>
      <c r="O885" s="16">
        <f>G885-H885</f>
        <v>3978</v>
      </c>
      <c r="P885" s="16">
        <f>SUMIFS(O885:O885,E885:E885,"Science",F885:F885,"Completed")</f>
        <v>0</v>
      </c>
      <c r="Q885" s="3" t="str">
        <f>IF(MONTH(E885)&gt;=7, YEAR(E885)&amp;"-"&amp;YEAR(E885)+1, YEAR(E885)-1&amp;"-"&amp;YEAR(E885))</f>
        <v>2022-2023</v>
      </c>
      <c r="R885" s="3"/>
      <c r="S885" s="3"/>
      <c r="T885" s="15">
        <f t="shared" ca="1" si="13"/>
        <v>1053</v>
      </c>
      <c r="U885" s="3"/>
    </row>
    <row r="886" spans="1:21" x14ac:dyDescent="0.35">
      <c r="A886" s="3" t="s">
        <v>1793</v>
      </c>
      <c r="B886" s="3" t="s">
        <v>1794</v>
      </c>
      <c r="C886" s="3" t="s">
        <v>12</v>
      </c>
      <c r="D886" s="3" t="s">
        <v>62</v>
      </c>
      <c r="E886" s="6">
        <v>45231</v>
      </c>
      <c r="F886" s="3" t="s">
        <v>39</v>
      </c>
      <c r="G886" s="3">
        <v>6249</v>
      </c>
      <c r="H886" s="3">
        <v>1193</v>
      </c>
      <c r="I886" s="3">
        <v>3.99</v>
      </c>
      <c r="J886" s="3">
        <v>59</v>
      </c>
      <c r="K886" s="15" t="str">
        <f ca="1">IF(F886="Enrolled",TODAY()-E886,"0")</f>
        <v>0</v>
      </c>
      <c r="L886" s="3" t="str">
        <f>IF(I886&gt;=3.5,"Excellent",IF(I886&gt;=3,"Good",IF(I886&gt;=2,"Average","Poor")))</f>
        <v>Excellent</v>
      </c>
      <c r="M886" s="3" t="str">
        <v>Dr.Sinha</v>
      </c>
      <c r="N886" s="3" t="str">
        <f>IF(H886 &gt; (G886*50%), "Yes", "No")</f>
        <v>No</v>
      </c>
      <c r="O886" s="16">
        <f>G886-H886</f>
        <v>5056</v>
      </c>
      <c r="P886" s="16">
        <f>SUMIFS(O886:O886,E886:E886,"Science",F886:F886,"Completed")</f>
        <v>0</v>
      </c>
      <c r="Q886" s="3" t="str">
        <f>IF(MONTH(E886)&gt;=7, YEAR(E886)&amp;"-"&amp;YEAR(E886)+1, YEAR(E886)-1&amp;"-"&amp;YEAR(E886))</f>
        <v>2023-2024</v>
      </c>
      <c r="R886" s="3"/>
      <c r="S886" s="3"/>
      <c r="T886" s="15" t="str">
        <f t="shared" ca="1" si="13"/>
        <v>0</v>
      </c>
      <c r="U886" s="3"/>
    </row>
    <row r="887" spans="1:21" x14ac:dyDescent="0.35">
      <c r="A887" s="3" t="s">
        <v>1795</v>
      </c>
      <c r="B887" s="3" t="s">
        <v>1796</v>
      </c>
      <c r="C887" s="3" t="s">
        <v>57</v>
      </c>
      <c r="D887" s="3" t="s">
        <v>31</v>
      </c>
      <c r="E887" s="6">
        <v>45294</v>
      </c>
      <c r="F887" s="3" t="s">
        <v>14</v>
      </c>
      <c r="G887" s="3">
        <v>14319</v>
      </c>
      <c r="H887" s="3">
        <v>4428</v>
      </c>
      <c r="I887" s="3">
        <v>3.31</v>
      </c>
      <c r="J887" s="3">
        <v>36</v>
      </c>
      <c r="K887" s="15">
        <f ca="1">IF(F887="Enrolled",TODAY()-E887,"0")</f>
        <v>760</v>
      </c>
      <c r="L887" s="3" t="str">
        <f>IF(I887&gt;=3.5,"Excellent",IF(I887&gt;=3,"Good",IF(I887&gt;=2,"Average","Poor")))</f>
        <v>Good</v>
      </c>
      <c r="M887" s="3" t="str">
        <v>Dr.Sharma</v>
      </c>
      <c r="N887" s="3" t="str">
        <f>IF(H887 &gt; (G887*50%), "Yes", "No")</f>
        <v>No</v>
      </c>
      <c r="O887" s="16">
        <f>G887-H887</f>
        <v>9891</v>
      </c>
      <c r="P887" s="16">
        <f>SUMIFS(O887:O887,E887:E887,"Science",F887:F887,"Completed")</f>
        <v>0</v>
      </c>
      <c r="Q887" s="3" t="str">
        <f>IF(MONTH(E887)&gt;=7, YEAR(E887)&amp;"-"&amp;YEAR(E887)+1, YEAR(E887)-1&amp;"-"&amp;YEAR(E887))</f>
        <v>2023-2024</v>
      </c>
      <c r="R887" s="3"/>
      <c r="S887" s="3"/>
      <c r="T887" s="15" t="str">
        <f t="shared" ca="1" si="13"/>
        <v>0</v>
      </c>
      <c r="U887" s="3"/>
    </row>
    <row r="888" spans="1:21" x14ac:dyDescent="0.35">
      <c r="A888" s="3" t="s">
        <v>1797</v>
      </c>
      <c r="B888" s="3" t="s">
        <v>1798</v>
      </c>
      <c r="C888" s="3" t="s">
        <v>36</v>
      </c>
      <c r="D888" s="3" t="s">
        <v>31</v>
      </c>
      <c r="E888" s="6">
        <v>45227</v>
      </c>
      <c r="F888" s="3" t="s">
        <v>14</v>
      </c>
      <c r="G888" s="3">
        <v>2324</v>
      </c>
      <c r="H888" s="3">
        <v>6152</v>
      </c>
      <c r="I888" s="3">
        <v>3.91</v>
      </c>
      <c r="J888" s="3">
        <v>18</v>
      </c>
      <c r="K888" s="15">
        <f ca="1">IF(F888="Enrolled",TODAY()-E888,"0")</f>
        <v>827</v>
      </c>
      <c r="L888" s="3" t="str">
        <f>IF(I888&gt;=3.5,"Excellent",IF(I888&gt;=3,"Good",IF(I888&gt;=2,"Average","Poor")))</f>
        <v>Excellent</v>
      </c>
      <c r="M888" s="3" t="str">
        <v>Dr.Sharma</v>
      </c>
      <c r="N888" s="3" t="str">
        <f>IF(H888 &gt; (G888*50%), "Yes", "No")</f>
        <v>Yes</v>
      </c>
      <c r="O888" s="16">
        <f>G888-H888</f>
        <v>-3828</v>
      </c>
      <c r="P888" s="16">
        <f>SUMIFS(O888:O888,E888:E888,"Science",F888:F888,"Completed")</f>
        <v>0</v>
      </c>
      <c r="Q888" s="3" t="str">
        <f>IF(MONTH(E888)&gt;=7, YEAR(E888)&amp;"-"&amp;YEAR(E888)+1, YEAR(E888)-1&amp;"-"&amp;YEAR(E888))</f>
        <v>2023-2024</v>
      </c>
      <c r="R888" s="3"/>
      <c r="S888" s="3"/>
      <c r="T888" s="15" t="str">
        <f t="shared" ca="1" si="13"/>
        <v>0</v>
      </c>
      <c r="U888" s="3"/>
    </row>
    <row r="889" spans="1:21" x14ac:dyDescent="0.35">
      <c r="A889" s="3" t="s">
        <v>1799</v>
      </c>
      <c r="B889" s="3" t="s">
        <v>1800</v>
      </c>
      <c r="C889" s="3" t="s">
        <v>22</v>
      </c>
      <c r="D889" s="3" t="s">
        <v>13</v>
      </c>
      <c r="E889" s="6">
        <v>44663</v>
      </c>
      <c r="F889" s="3" t="s">
        <v>14</v>
      </c>
      <c r="G889" s="3">
        <v>6137</v>
      </c>
      <c r="H889" s="3">
        <v>1513</v>
      </c>
      <c r="I889" s="3">
        <v>2.93</v>
      </c>
      <c r="J889" s="3">
        <v>86</v>
      </c>
      <c r="K889" s="15">
        <f ca="1">IF(F889="Enrolled",TODAY()-E889,"0")</f>
        <v>1391</v>
      </c>
      <c r="L889" s="3" t="str">
        <f>IF(I889&gt;=3.5,"Excellent",IF(I889&gt;=3,"Good",IF(I889&gt;=2,"Average","Poor")))</f>
        <v>Average</v>
      </c>
      <c r="M889" s="3" t="str">
        <v>Dr.Mehta</v>
      </c>
      <c r="N889" s="3" t="str">
        <f>IF(H889 &gt; (G889*50%), "Yes", "No")</f>
        <v>No</v>
      </c>
      <c r="O889" s="16">
        <f>G889-H889</f>
        <v>4624</v>
      </c>
      <c r="P889" s="16">
        <f>SUMIFS(O889:O889,E889:E889,"Science",F889:F889,"Completed")</f>
        <v>0</v>
      </c>
      <c r="Q889" s="3" t="str">
        <f>IF(MONTH(E889)&gt;=7, YEAR(E889)&amp;"-"&amp;YEAR(E889)+1, YEAR(E889)-1&amp;"-"&amp;YEAR(E889))</f>
        <v>2021-2022</v>
      </c>
      <c r="R889" s="3"/>
      <c r="S889" s="3"/>
      <c r="T889" s="15" t="str">
        <f t="shared" ca="1" si="13"/>
        <v>0</v>
      </c>
      <c r="U889" s="3"/>
    </row>
    <row r="890" spans="1:21" x14ac:dyDescent="0.35">
      <c r="A890" s="3" t="s">
        <v>1801</v>
      </c>
      <c r="B890" s="3" t="s">
        <v>1802</v>
      </c>
      <c r="C890" s="3" t="s">
        <v>12</v>
      </c>
      <c r="D890" s="3" t="s">
        <v>31</v>
      </c>
      <c r="E890" s="6">
        <v>45157</v>
      </c>
      <c r="F890" s="3" t="s">
        <v>14</v>
      </c>
      <c r="G890" s="3">
        <v>3993</v>
      </c>
      <c r="H890" s="3">
        <v>488</v>
      </c>
      <c r="I890" s="3">
        <v>3.87</v>
      </c>
      <c r="J890" s="3">
        <v>30</v>
      </c>
      <c r="K890" s="15">
        <f ca="1">IF(F890="Enrolled",TODAY()-E890,"0")</f>
        <v>897</v>
      </c>
      <c r="L890" s="3" t="str">
        <f>IF(I890&gt;=3.5,"Excellent",IF(I890&gt;=3,"Good",IF(I890&gt;=2,"Average","Poor")))</f>
        <v>Excellent</v>
      </c>
      <c r="M890" s="3" t="str">
        <v>Dr.Sharma</v>
      </c>
      <c r="N890" s="3" t="str">
        <f>IF(H890 &gt; (G890*50%), "Yes", "No")</f>
        <v>No</v>
      </c>
      <c r="O890" s="16">
        <f>G890-H890</f>
        <v>3505</v>
      </c>
      <c r="P890" s="16">
        <f>SUMIFS(O890:O890,E890:E890,"Science",F890:F890,"Completed")</f>
        <v>0</v>
      </c>
      <c r="Q890" s="3" t="str">
        <f>IF(MONTH(E890)&gt;=7, YEAR(E890)&amp;"-"&amp;YEAR(E890)+1, YEAR(E890)-1&amp;"-"&amp;YEAR(E890))</f>
        <v>2023-2024</v>
      </c>
      <c r="R890" s="3"/>
      <c r="S890" s="3"/>
      <c r="T890" s="15" t="str">
        <f t="shared" ca="1" si="13"/>
        <v>0</v>
      </c>
      <c r="U890" s="3"/>
    </row>
    <row r="891" spans="1:21" x14ac:dyDescent="0.35">
      <c r="A891" s="3" t="s">
        <v>1803</v>
      </c>
      <c r="B891" s="3" t="s">
        <v>1804</v>
      </c>
      <c r="C891" s="3" t="s">
        <v>54</v>
      </c>
      <c r="D891" s="3" t="s">
        <v>13</v>
      </c>
      <c r="E891" s="6">
        <v>45296</v>
      </c>
      <c r="F891" s="3" t="s">
        <v>14</v>
      </c>
      <c r="G891" s="3">
        <v>3592</v>
      </c>
      <c r="H891" s="3">
        <v>5288</v>
      </c>
      <c r="I891" s="3">
        <v>2.31</v>
      </c>
      <c r="J891" s="3">
        <v>57</v>
      </c>
      <c r="K891" s="15">
        <f ca="1">IF(F891="Enrolled",TODAY()-E891,"0")</f>
        <v>758</v>
      </c>
      <c r="L891" s="3" t="str">
        <f>IF(I891&gt;=3.5,"Excellent",IF(I891&gt;=3,"Good",IF(I891&gt;=2,"Average","Poor")))</f>
        <v>Average</v>
      </c>
      <c r="M891" s="3" t="str">
        <v>Dr.Mehta</v>
      </c>
      <c r="N891" s="3" t="str">
        <f>IF(H891 &gt; (G891*50%), "Yes", "No")</f>
        <v>Yes</v>
      </c>
      <c r="O891" s="16">
        <f>G891-H891</f>
        <v>-1696</v>
      </c>
      <c r="P891" s="16">
        <f>SUMIFS(O891:O891,E891:E891,"Science",F891:F891,"Completed")</f>
        <v>0</v>
      </c>
      <c r="Q891" s="3" t="str">
        <f>IF(MONTH(E891)&gt;=7, YEAR(E891)&amp;"-"&amp;YEAR(E891)+1, YEAR(E891)-1&amp;"-"&amp;YEAR(E891))</f>
        <v>2023-2024</v>
      </c>
      <c r="R891" s="3"/>
      <c r="S891" s="3"/>
      <c r="T891" s="15" t="str">
        <f t="shared" ca="1" si="13"/>
        <v>0</v>
      </c>
      <c r="U891" s="3"/>
    </row>
    <row r="892" spans="1:21" x14ac:dyDescent="0.35">
      <c r="A892" s="3" t="s">
        <v>1805</v>
      </c>
      <c r="B892" s="3" t="s">
        <v>1806</v>
      </c>
      <c r="C892" s="3" t="s">
        <v>36</v>
      </c>
      <c r="D892" s="3" t="s">
        <v>62</v>
      </c>
      <c r="E892" s="6">
        <v>45322</v>
      </c>
      <c r="F892" s="3" t="s">
        <v>14</v>
      </c>
      <c r="G892" s="3">
        <v>6150</v>
      </c>
      <c r="H892" s="3">
        <v>7731</v>
      </c>
      <c r="I892" s="3">
        <v>2.79</v>
      </c>
      <c r="J892" s="3">
        <v>15</v>
      </c>
      <c r="K892" s="15">
        <f ca="1">IF(F892="Enrolled",TODAY()-E892,"0")</f>
        <v>732</v>
      </c>
      <c r="L892" s="3" t="str">
        <f>IF(I892&gt;=3.5,"Excellent",IF(I892&gt;=3,"Good",IF(I892&gt;=2,"Average","Poor")))</f>
        <v>Average</v>
      </c>
      <c r="M892" s="3" t="str">
        <v>Dr.Sinha</v>
      </c>
      <c r="N892" s="3" t="str">
        <f>IF(H892 &gt; (G892*50%), "Yes", "No")</f>
        <v>Yes</v>
      </c>
      <c r="O892" s="16">
        <f>G892-H892</f>
        <v>-1581</v>
      </c>
      <c r="P892" s="16">
        <f>SUMIFS(O892:O892,E892:E892,"Science",F892:F892,"Completed")</f>
        <v>0</v>
      </c>
      <c r="Q892" s="3" t="str">
        <f>IF(MONTH(E892)&gt;=7, YEAR(E892)&amp;"-"&amp;YEAR(E892)+1, YEAR(E892)-1&amp;"-"&amp;YEAR(E892))</f>
        <v>2023-2024</v>
      </c>
      <c r="R892" s="3"/>
      <c r="S892" s="3"/>
      <c r="T892" s="15" t="str">
        <f t="shared" ca="1" si="13"/>
        <v>0</v>
      </c>
      <c r="U892" s="3"/>
    </row>
    <row r="893" spans="1:21" x14ac:dyDescent="0.35">
      <c r="A893" s="3" t="s">
        <v>1807</v>
      </c>
      <c r="B893" s="3" t="s">
        <v>1808</v>
      </c>
      <c r="C893" s="3" t="s">
        <v>25</v>
      </c>
      <c r="D893" s="3" t="s">
        <v>31</v>
      </c>
      <c r="E893" s="6">
        <v>44664</v>
      </c>
      <c r="F893" s="3" t="s">
        <v>39</v>
      </c>
      <c r="G893" s="3">
        <v>6690</v>
      </c>
      <c r="H893" s="3">
        <v>9543</v>
      </c>
      <c r="I893" s="3">
        <v>3.4</v>
      </c>
      <c r="J893" s="3">
        <v>56</v>
      </c>
      <c r="K893" s="15" t="str">
        <f ca="1">IF(F893="Enrolled",TODAY()-E893,"0")</f>
        <v>0</v>
      </c>
      <c r="L893" s="3" t="str">
        <f>IF(I893&gt;=3.5,"Excellent",IF(I893&gt;=3,"Good",IF(I893&gt;=2,"Average","Poor")))</f>
        <v>Good</v>
      </c>
      <c r="M893" s="3" t="str">
        <v>Dr.Sharma</v>
      </c>
      <c r="N893" s="3" t="str">
        <f>IF(H893 &gt; (G893*50%), "Yes", "No")</f>
        <v>Yes</v>
      </c>
      <c r="O893" s="16">
        <f>G893-H893</f>
        <v>-2853</v>
      </c>
      <c r="P893" s="16">
        <f>SUMIFS(O893:O893,E893:E893,"Science",F893:F893,"Completed")</f>
        <v>0</v>
      </c>
      <c r="Q893" s="3" t="str">
        <f>IF(MONTH(E893)&gt;=7, YEAR(E893)&amp;"-"&amp;YEAR(E893)+1, YEAR(E893)-1&amp;"-"&amp;YEAR(E893))</f>
        <v>2021-2022</v>
      </c>
      <c r="R893" s="3"/>
      <c r="S893" s="3"/>
      <c r="T893" s="15" t="str">
        <f t="shared" ca="1" si="13"/>
        <v>0</v>
      </c>
      <c r="U893" s="3"/>
    </row>
    <row r="894" spans="1:21" x14ac:dyDescent="0.35">
      <c r="A894" s="3" t="s">
        <v>1809</v>
      </c>
      <c r="B894" s="3" t="s">
        <v>1810</v>
      </c>
      <c r="C894" s="3" t="s">
        <v>36</v>
      </c>
      <c r="D894" s="3" t="s">
        <v>31</v>
      </c>
      <c r="E894" s="6">
        <v>44614</v>
      </c>
      <c r="F894" s="3" t="s">
        <v>19</v>
      </c>
      <c r="G894" s="3">
        <v>11719</v>
      </c>
      <c r="H894" s="3">
        <v>2949</v>
      </c>
      <c r="I894" s="3">
        <v>2.93</v>
      </c>
      <c r="J894" s="3">
        <v>107</v>
      </c>
      <c r="K894" s="15" t="str">
        <f ca="1">IF(F894="Enrolled",TODAY()-E894,"0")</f>
        <v>0</v>
      </c>
      <c r="L894" s="3" t="str">
        <f>IF(I894&gt;=3.5,"Excellent",IF(I894&gt;=3,"Good",IF(I894&gt;=2,"Average","Poor")))</f>
        <v>Average</v>
      </c>
      <c r="M894" s="3" t="str">
        <v>Dr.Sharma</v>
      </c>
      <c r="N894" s="3" t="str">
        <f>IF(H894 &gt; (G894*50%), "Yes", "No")</f>
        <v>No</v>
      </c>
      <c r="O894" s="16">
        <f>G894-H894</f>
        <v>8770</v>
      </c>
      <c r="P894" s="16">
        <f>SUMIFS(O894:O894,E894:E894,"Science",F894:F894,"Completed")</f>
        <v>0</v>
      </c>
      <c r="Q894" s="3" t="str">
        <f>IF(MONTH(E894)&gt;=7, YEAR(E894)&amp;"-"&amp;YEAR(E894)+1, YEAR(E894)-1&amp;"-"&amp;YEAR(E894))</f>
        <v>2021-2022</v>
      </c>
      <c r="R894" s="3"/>
      <c r="S894" s="3"/>
      <c r="T894" s="15">
        <f t="shared" ca="1" si="13"/>
        <v>1440</v>
      </c>
      <c r="U894" s="3"/>
    </row>
    <row r="895" spans="1:21" x14ac:dyDescent="0.35">
      <c r="A895" s="3" t="s">
        <v>1811</v>
      </c>
      <c r="B895" s="3" t="s">
        <v>1812</v>
      </c>
      <c r="C895" s="3" t="s">
        <v>17</v>
      </c>
      <c r="D895" s="3" t="s">
        <v>18</v>
      </c>
      <c r="E895" s="6">
        <v>45447</v>
      </c>
      <c r="F895" s="3" t="s">
        <v>14</v>
      </c>
      <c r="G895" s="3">
        <v>2659</v>
      </c>
      <c r="H895" s="3">
        <v>2093</v>
      </c>
      <c r="I895" s="3">
        <v>3.8</v>
      </c>
      <c r="J895" s="3">
        <v>101</v>
      </c>
      <c r="K895" s="15">
        <f ca="1">IF(F895="Enrolled",TODAY()-E895,"0")</f>
        <v>607</v>
      </c>
      <c r="L895" s="3" t="str">
        <f>IF(I895&gt;=3.5,"Excellent",IF(I895&gt;=3,"Good",IF(I895&gt;=2,"Average","Poor")))</f>
        <v>Excellent</v>
      </c>
      <c r="M895" s="3" t="str">
        <v>Dr.Roy</v>
      </c>
      <c r="N895" s="3" t="str">
        <f>IF(H895 &gt; (G895*50%), "Yes", "No")</f>
        <v>Yes</v>
      </c>
      <c r="O895" s="16">
        <f>G895-H895</f>
        <v>566</v>
      </c>
      <c r="P895" s="16">
        <f>SUMIFS(O895:O895,E895:E895,"Science",F895:F895,"Completed")</f>
        <v>0</v>
      </c>
      <c r="Q895" s="3" t="str">
        <f>IF(MONTH(E895)&gt;=7, YEAR(E895)&amp;"-"&amp;YEAR(E895)+1, YEAR(E895)-1&amp;"-"&amp;YEAR(E895))</f>
        <v>2023-2024</v>
      </c>
      <c r="R895" s="3"/>
      <c r="S895" s="3"/>
      <c r="T895" s="15" t="str">
        <f t="shared" ca="1" si="13"/>
        <v>0</v>
      </c>
      <c r="U895" s="3"/>
    </row>
    <row r="896" spans="1:21" x14ac:dyDescent="0.35">
      <c r="A896" s="3" t="s">
        <v>1813</v>
      </c>
      <c r="B896" s="3" t="s">
        <v>1814</v>
      </c>
      <c r="C896" s="3" t="s">
        <v>12</v>
      </c>
      <c r="D896" s="3" t="s">
        <v>62</v>
      </c>
      <c r="E896" s="6">
        <v>44922</v>
      </c>
      <c r="F896" s="3" t="s">
        <v>14</v>
      </c>
      <c r="G896" s="3">
        <v>9484</v>
      </c>
      <c r="H896" s="3">
        <v>2759</v>
      </c>
      <c r="I896" s="3">
        <v>2.25</v>
      </c>
      <c r="J896" s="3">
        <v>114</v>
      </c>
      <c r="K896" s="15">
        <f ca="1">IF(F896="Enrolled",TODAY()-E896,"0")</f>
        <v>1132</v>
      </c>
      <c r="L896" s="3" t="str">
        <f>IF(I896&gt;=3.5,"Excellent",IF(I896&gt;=3,"Good",IF(I896&gt;=2,"Average","Poor")))</f>
        <v>Average</v>
      </c>
      <c r="M896" s="3" t="str">
        <v>Dr.Sinha</v>
      </c>
      <c r="N896" s="3" t="str">
        <f>IF(H896 &gt; (G896*50%), "Yes", "No")</f>
        <v>No</v>
      </c>
      <c r="O896" s="16">
        <f>G896-H896</f>
        <v>6725</v>
      </c>
      <c r="P896" s="16">
        <f>SUMIFS(O896:O896,E896:E896,"Science",F896:F896,"Completed")</f>
        <v>0</v>
      </c>
      <c r="Q896" s="3" t="str">
        <f>IF(MONTH(E896)&gt;=7, YEAR(E896)&amp;"-"&amp;YEAR(E896)+1, YEAR(E896)-1&amp;"-"&amp;YEAR(E896))</f>
        <v>2022-2023</v>
      </c>
      <c r="R896" s="3"/>
      <c r="S896" s="3"/>
      <c r="T896" s="15" t="str">
        <f t="shared" ca="1" si="13"/>
        <v>0</v>
      </c>
      <c r="U896" s="3"/>
    </row>
    <row r="897" spans="1:21" x14ac:dyDescent="0.35">
      <c r="A897" s="3" t="s">
        <v>1815</v>
      </c>
      <c r="B897" s="3" t="s">
        <v>1816</v>
      </c>
      <c r="C897" s="3" t="s">
        <v>57</v>
      </c>
      <c r="D897" s="3" t="s">
        <v>18</v>
      </c>
      <c r="E897" s="6">
        <v>44892</v>
      </c>
      <c r="F897" s="3" t="s">
        <v>14</v>
      </c>
      <c r="G897" s="3">
        <v>2133</v>
      </c>
      <c r="H897" s="3">
        <v>244</v>
      </c>
      <c r="I897" s="3">
        <v>3.72</v>
      </c>
      <c r="J897" s="3">
        <v>17</v>
      </c>
      <c r="K897" s="15">
        <f ca="1">IF(F897="Enrolled",TODAY()-E897,"0")</f>
        <v>1162</v>
      </c>
      <c r="L897" s="3" t="str">
        <f>IF(I897&gt;=3.5,"Excellent",IF(I897&gt;=3,"Good",IF(I897&gt;=2,"Average","Poor")))</f>
        <v>Excellent</v>
      </c>
      <c r="M897" s="3" t="str">
        <v>Dr.Roy</v>
      </c>
      <c r="N897" s="3" t="str">
        <f>IF(H897 &gt; (G897*50%), "Yes", "No")</f>
        <v>No</v>
      </c>
      <c r="O897" s="16">
        <f>G897-H897</f>
        <v>1889</v>
      </c>
      <c r="P897" s="16">
        <f>SUMIFS(O897:O897,E897:E897,"Science",F897:F897,"Completed")</f>
        <v>0</v>
      </c>
      <c r="Q897" s="3" t="str">
        <f>IF(MONTH(E897)&gt;=7, YEAR(E897)&amp;"-"&amp;YEAR(E897)+1, YEAR(E897)-1&amp;"-"&amp;YEAR(E897))</f>
        <v>2022-2023</v>
      </c>
      <c r="R897" s="3"/>
      <c r="S897" s="3"/>
      <c r="T897" s="15" t="str">
        <f t="shared" ca="1" si="13"/>
        <v>0</v>
      </c>
      <c r="U897" s="3"/>
    </row>
    <row r="898" spans="1:21" x14ac:dyDescent="0.35">
      <c r="A898" s="3" t="s">
        <v>1817</v>
      </c>
      <c r="B898" s="3" t="s">
        <v>1818</v>
      </c>
      <c r="C898" s="3" t="s">
        <v>12</v>
      </c>
      <c r="D898" s="3" t="s">
        <v>13</v>
      </c>
      <c r="E898" s="6">
        <v>44734</v>
      </c>
      <c r="F898" s="3" t="s">
        <v>14</v>
      </c>
      <c r="G898" s="3">
        <v>6910</v>
      </c>
      <c r="H898" s="3">
        <v>6618</v>
      </c>
      <c r="I898" s="3">
        <v>2.23</v>
      </c>
      <c r="J898" s="3">
        <v>19</v>
      </c>
      <c r="K898" s="15">
        <f ca="1">IF(F898="Enrolled",TODAY()-E898,"0")</f>
        <v>1320</v>
      </c>
      <c r="L898" s="3" t="str">
        <f>IF(I898&gt;=3.5,"Excellent",IF(I898&gt;=3,"Good",IF(I898&gt;=2,"Average","Poor")))</f>
        <v>Average</v>
      </c>
      <c r="M898" s="3" t="str">
        <v>Dr.Mehta</v>
      </c>
      <c r="N898" s="3" t="str">
        <f>IF(H898 &gt; (G898*50%), "Yes", "No")</f>
        <v>Yes</v>
      </c>
      <c r="O898" s="16">
        <f>G898-H898</f>
        <v>292</v>
      </c>
      <c r="P898" s="16">
        <f>SUMIFS(O898:O898,E898:E898,"Science",F898:F898,"Completed")</f>
        <v>0</v>
      </c>
      <c r="Q898" s="3" t="str">
        <f>IF(MONTH(E898)&gt;=7, YEAR(E898)&amp;"-"&amp;YEAR(E898)+1, YEAR(E898)-1&amp;"-"&amp;YEAR(E898))</f>
        <v>2021-2022</v>
      </c>
      <c r="R898" s="3"/>
      <c r="S898" s="3"/>
      <c r="T898" s="15" t="str">
        <f t="shared" ca="1" si="13"/>
        <v>0</v>
      </c>
      <c r="U898" s="3"/>
    </row>
    <row r="899" spans="1:21" x14ac:dyDescent="0.35">
      <c r="A899" s="3" t="s">
        <v>1819</v>
      </c>
      <c r="B899" s="3" t="s">
        <v>1820</v>
      </c>
      <c r="C899" s="3" t="s">
        <v>25</v>
      </c>
      <c r="D899" s="3" t="s">
        <v>18</v>
      </c>
      <c r="E899" s="6">
        <v>44768</v>
      </c>
      <c r="F899" s="3" t="s">
        <v>14</v>
      </c>
      <c r="G899" s="3">
        <v>13914</v>
      </c>
      <c r="H899" s="3">
        <v>7642</v>
      </c>
      <c r="I899" s="3">
        <v>3.94</v>
      </c>
      <c r="J899" s="3">
        <v>57</v>
      </c>
      <c r="K899" s="15">
        <f ca="1">IF(F899="Enrolled",TODAY()-E899,"0")</f>
        <v>1286</v>
      </c>
      <c r="L899" s="3" t="str">
        <f>IF(I899&gt;=3.5,"Excellent",IF(I899&gt;=3,"Good",IF(I899&gt;=2,"Average","Poor")))</f>
        <v>Excellent</v>
      </c>
      <c r="M899" s="3" t="str">
        <v>Dr.Roy</v>
      </c>
      <c r="N899" s="3" t="str">
        <f>IF(H899 &gt; (G899*50%), "Yes", "No")</f>
        <v>Yes</v>
      </c>
      <c r="O899" s="16">
        <f>G899-H899</f>
        <v>6272</v>
      </c>
      <c r="P899" s="16">
        <f>SUMIFS(O899:O899,E899:E899,"Science",F899:F899,"Completed")</f>
        <v>0</v>
      </c>
      <c r="Q899" s="3" t="str">
        <f>IF(MONTH(E899)&gt;=7, YEAR(E899)&amp;"-"&amp;YEAR(E899)+1, YEAR(E899)-1&amp;"-"&amp;YEAR(E899))</f>
        <v>2022-2023</v>
      </c>
      <c r="R899" s="3"/>
      <c r="S899" s="3"/>
      <c r="T899" s="15" t="str">
        <f t="shared" ref="T899:T962" ca="1" si="14">IF(F899="Completed",TODAY()-E899,"0")</f>
        <v>0</v>
      </c>
      <c r="U899" s="3"/>
    </row>
    <row r="900" spans="1:21" x14ac:dyDescent="0.35">
      <c r="A900" s="3" t="s">
        <v>1821</v>
      </c>
      <c r="B900" s="3" t="s">
        <v>1822</v>
      </c>
      <c r="C900" s="3" t="s">
        <v>25</v>
      </c>
      <c r="D900" s="3" t="s">
        <v>13</v>
      </c>
      <c r="E900" s="6">
        <v>45016</v>
      </c>
      <c r="F900" s="3" t="s">
        <v>19</v>
      </c>
      <c r="G900" s="3">
        <v>11039</v>
      </c>
      <c r="H900" s="3">
        <v>9104</v>
      </c>
      <c r="I900" s="3">
        <v>3.98</v>
      </c>
      <c r="J900" s="3">
        <v>52</v>
      </c>
      <c r="K900" s="15" t="str">
        <f ca="1">IF(F900="Enrolled",TODAY()-E900,"0")</f>
        <v>0</v>
      </c>
      <c r="L900" s="3" t="str">
        <f>IF(I900&gt;=3.5,"Excellent",IF(I900&gt;=3,"Good",IF(I900&gt;=2,"Average","Poor")))</f>
        <v>Excellent</v>
      </c>
      <c r="M900" s="3" t="str">
        <v>Dr.Mehta</v>
      </c>
      <c r="N900" s="3" t="str">
        <f>IF(H900 &gt; (G900*50%), "Yes", "No")</f>
        <v>Yes</v>
      </c>
      <c r="O900" s="16">
        <f>G900-H900</f>
        <v>1935</v>
      </c>
      <c r="P900" s="16">
        <f>SUMIFS(O900:O900,E900:E900,"Science",F900:F900,"Completed")</f>
        <v>0</v>
      </c>
      <c r="Q900" s="3" t="str">
        <f>IF(MONTH(E900)&gt;=7, YEAR(E900)&amp;"-"&amp;YEAR(E900)+1, YEAR(E900)-1&amp;"-"&amp;YEAR(E900))</f>
        <v>2022-2023</v>
      </c>
      <c r="R900" s="3"/>
      <c r="S900" s="3"/>
      <c r="T900" s="15">
        <f t="shared" ca="1" si="14"/>
        <v>1038</v>
      </c>
      <c r="U900" s="3"/>
    </row>
    <row r="901" spans="1:21" x14ac:dyDescent="0.35">
      <c r="A901" s="3" t="s">
        <v>1823</v>
      </c>
      <c r="B901" s="3" t="s">
        <v>1824</v>
      </c>
      <c r="C901" s="3" t="s">
        <v>25</v>
      </c>
      <c r="D901" s="3" t="s">
        <v>13</v>
      </c>
      <c r="E901" s="6">
        <v>44773</v>
      </c>
      <c r="F901" s="3" t="s">
        <v>14</v>
      </c>
      <c r="G901" s="3">
        <v>8134</v>
      </c>
      <c r="H901" s="3">
        <v>3190</v>
      </c>
      <c r="I901" s="3">
        <v>2.73</v>
      </c>
      <c r="J901" s="3">
        <v>68</v>
      </c>
      <c r="K901" s="15">
        <f ca="1">IF(F901="Enrolled",TODAY()-E901,"0")</f>
        <v>1281</v>
      </c>
      <c r="L901" s="3" t="str">
        <f>IF(I901&gt;=3.5,"Excellent",IF(I901&gt;=3,"Good",IF(I901&gt;=2,"Average","Poor")))</f>
        <v>Average</v>
      </c>
      <c r="M901" s="3" t="str">
        <v>Dr.Mehta</v>
      </c>
      <c r="N901" s="3" t="str">
        <f>IF(H901 &gt; (G901*50%), "Yes", "No")</f>
        <v>No</v>
      </c>
      <c r="O901" s="16">
        <f>G901-H901</f>
        <v>4944</v>
      </c>
      <c r="P901" s="16">
        <f>SUMIFS(O901:O901,E901:E901,"Science",F901:F901,"Completed")</f>
        <v>0</v>
      </c>
      <c r="Q901" s="3" t="str">
        <f>IF(MONTH(E901)&gt;=7, YEAR(E901)&amp;"-"&amp;YEAR(E901)+1, YEAR(E901)-1&amp;"-"&amp;YEAR(E901))</f>
        <v>2022-2023</v>
      </c>
      <c r="R901" s="3"/>
      <c r="S901" s="3"/>
      <c r="T901" s="15" t="str">
        <f t="shared" ca="1" si="14"/>
        <v>0</v>
      </c>
      <c r="U901" s="3"/>
    </row>
    <row r="902" spans="1:21" x14ac:dyDescent="0.35">
      <c r="A902" s="3" t="s">
        <v>1825</v>
      </c>
      <c r="B902" s="3" t="s">
        <v>1826</v>
      </c>
      <c r="C902" s="3" t="s">
        <v>54</v>
      </c>
      <c r="D902" s="3" t="s">
        <v>31</v>
      </c>
      <c r="E902" s="6">
        <v>45175</v>
      </c>
      <c r="F902" s="3" t="s">
        <v>19</v>
      </c>
      <c r="G902" s="3">
        <v>5424</v>
      </c>
      <c r="H902" s="3">
        <v>5871</v>
      </c>
      <c r="I902" s="3">
        <v>3.18</v>
      </c>
      <c r="J902" s="3">
        <v>32</v>
      </c>
      <c r="K902" s="15" t="str">
        <f ca="1">IF(F902="Enrolled",TODAY()-E902,"0")</f>
        <v>0</v>
      </c>
      <c r="L902" s="3" t="str">
        <f>IF(I902&gt;=3.5,"Excellent",IF(I902&gt;=3,"Good",IF(I902&gt;=2,"Average","Poor")))</f>
        <v>Good</v>
      </c>
      <c r="M902" s="3" t="str">
        <v>Dr.Sharma</v>
      </c>
      <c r="N902" s="3" t="str">
        <f>IF(H902 &gt; (G902*50%), "Yes", "No")</f>
        <v>Yes</v>
      </c>
      <c r="O902" s="16">
        <f>G902-H902</f>
        <v>-447</v>
      </c>
      <c r="P902" s="16">
        <f>SUMIFS(O902:O902,E902:E902,"Science",F902:F902,"Completed")</f>
        <v>0</v>
      </c>
      <c r="Q902" s="3" t="str">
        <f>IF(MONTH(E902)&gt;=7, YEAR(E902)&amp;"-"&amp;YEAR(E902)+1, YEAR(E902)-1&amp;"-"&amp;YEAR(E902))</f>
        <v>2023-2024</v>
      </c>
      <c r="R902" s="3"/>
      <c r="S902" s="3"/>
      <c r="T902" s="15">
        <f t="shared" ca="1" si="14"/>
        <v>879</v>
      </c>
      <c r="U902" s="3"/>
    </row>
    <row r="903" spans="1:21" x14ac:dyDescent="0.35">
      <c r="A903" s="3" t="s">
        <v>1827</v>
      </c>
      <c r="B903" s="3" t="s">
        <v>1828</v>
      </c>
      <c r="C903" s="3" t="s">
        <v>22</v>
      </c>
      <c r="D903" s="3" t="s">
        <v>62</v>
      </c>
      <c r="E903" s="6">
        <v>44948</v>
      </c>
      <c r="F903" s="3" t="s">
        <v>14</v>
      </c>
      <c r="G903" s="3">
        <v>14379</v>
      </c>
      <c r="H903" s="3">
        <v>7146</v>
      </c>
      <c r="I903" s="3">
        <v>3.15</v>
      </c>
      <c r="J903" s="3">
        <v>80</v>
      </c>
      <c r="K903" s="15">
        <f ca="1">IF(F903="Enrolled",TODAY()-E903,"0")</f>
        <v>1106</v>
      </c>
      <c r="L903" s="3" t="str">
        <f>IF(I903&gt;=3.5,"Excellent",IF(I903&gt;=3,"Good",IF(I903&gt;=2,"Average","Poor")))</f>
        <v>Good</v>
      </c>
      <c r="M903" s="3" t="str">
        <v>Dr.Sinha</v>
      </c>
      <c r="N903" s="3" t="str">
        <f>IF(H903 &gt; (G903*50%), "Yes", "No")</f>
        <v>No</v>
      </c>
      <c r="O903" s="16">
        <f>G903-H903</f>
        <v>7233</v>
      </c>
      <c r="P903" s="16">
        <f>SUMIFS(O903:O903,E903:E903,"Science",F903:F903,"Completed")</f>
        <v>0</v>
      </c>
      <c r="Q903" s="3" t="str">
        <f>IF(MONTH(E903)&gt;=7, YEAR(E903)&amp;"-"&amp;YEAR(E903)+1, YEAR(E903)-1&amp;"-"&amp;YEAR(E903))</f>
        <v>2022-2023</v>
      </c>
      <c r="R903" s="3"/>
      <c r="S903" s="3"/>
      <c r="T903" s="15" t="str">
        <f t="shared" ca="1" si="14"/>
        <v>0</v>
      </c>
      <c r="U903" s="3"/>
    </row>
    <row r="904" spans="1:21" x14ac:dyDescent="0.35">
      <c r="A904" s="3" t="s">
        <v>1829</v>
      </c>
      <c r="B904" s="3" t="s">
        <v>1830</v>
      </c>
      <c r="C904" s="3" t="s">
        <v>57</v>
      </c>
      <c r="D904" s="3" t="s">
        <v>18</v>
      </c>
      <c r="E904" s="6">
        <v>45115</v>
      </c>
      <c r="F904" s="3" t="s">
        <v>14</v>
      </c>
      <c r="G904" s="3">
        <v>5400</v>
      </c>
      <c r="H904" s="3">
        <v>6864</v>
      </c>
      <c r="I904" s="3">
        <v>3.76</v>
      </c>
      <c r="J904" s="3">
        <v>88</v>
      </c>
      <c r="K904" s="15">
        <f ca="1">IF(F904="Enrolled",TODAY()-E904,"0")</f>
        <v>939</v>
      </c>
      <c r="L904" s="3" t="str">
        <f>IF(I904&gt;=3.5,"Excellent",IF(I904&gt;=3,"Good",IF(I904&gt;=2,"Average","Poor")))</f>
        <v>Excellent</v>
      </c>
      <c r="M904" s="3" t="str">
        <v>Dr.Roy</v>
      </c>
      <c r="N904" s="3" t="str">
        <f>IF(H904 &gt; (G904*50%), "Yes", "No")</f>
        <v>Yes</v>
      </c>
      <c r="O904" s="16">
        <f>G904-H904</f>
        <v>-1464</v>
      </c>
      <c r="P904" s="16">
        <f>SUMIFS(O904:O904,E904:E904,"Science",F904:F904,"Completed")</f>
        <v>0</v>
      </c>
      <c r="Q904" s="3" t="str">
        <f>IF(MONTH(E904)&gt;=7, YEAR(E904)&amp;"-"&amp;YEAR(E904)+1, YEAR(E904)-1&amp;"-"&amp;YEAR(E904))</f>
        <v>2023-2024</v>
      </c>
      <c r="R904" s="3"/>
      <c r="S904" s="3"/>
      <c r="T904" s="15" t="str">
        <f t="shared" ca="1" si="14"/>
        <v>0</v>
      </c>
      <c r="U904" s="3"/>
    </row>
    <row r="905" spans="1:21" x14ac:dyDescent="0.35">
      <c r="A905" s="3" t="s">
        <v>1831</v>
      </c>
      <c r="B905" s="3" t="s">
        <v>1832</v>
      </c>
      <c r="C905" s="3" t="s">
        <v>25</v>
      </c>
      <c r="D905" s="3" t="s">
        <v>62</v>
      </c>
      <c r="E905" s="6">
        <v>44790</v>
      </c>
      <c r="F905" s="3" t="s">
        <v>19</v>
      </c>
      <c r="G905" s="3">
        <v>9862</v>
      </c>
      <c r="H905" s="3">
        <v>3356</v>
      </c>
      <c r="I905" s="3">
        <v>3.23</v>
      </c>
      <c r="J905" s="3">
        <v>103</v>
      </c>
      <c r="K905" s="15" t="str">
        <f ca="1">IF(F905="Enrolled",TODAY()-E905,"0")</f>
        <v>0</v>
      </c>
      <c r="L905" s="3" t="str">
        <f>IF(I905&gt;=3.5,"Excellent",IF(I905&gt;=3,"Good",IF(I905&gt;=2,"Average","Poor")))</f>
        <v>Good</v>
      </c>
      <c r="M905" s="3" t="str">
        <v>Dr.Sinha</v>
      </c>
      <c r="N905" s="3" t="str">
        <f>IF(H905 &gt; (G905*50%), "Yes", "No")</f>
        <v>No</v>
      </c>
      <c r="O905" s="16">
        <f>G905-H905</f>
        <v>6506</v>
      </c>
      <c r="P905" s="16">
        <f>SUMIFS(O905:O905,E905:E905,"Science",F905:F905,"Completed")</f>
        <v>0</v>
      </c>
      <c r="Q905" s="3" t="str">
        <f>IF(MONTH(E905)&gt;=7, YEAR(E905)&amp;"-"&amp;YEAR(E905)+1, YEAR(E905)-1&amp;"-"&amp;YEAR(E905))</f>
        <v>2022-2023</v>
      </c>
      <c r="R905" s="3"/>
      <c r="S905" s="3"/>
      <c r="T905" s="15">
        <f t="shared" ca="1" si="14"/>
        <v>1264</v>
      </c>
      <c r="U905" s="3"/>
    </row>
    <row r="906" spans="1:21" x14ac:dyDescent="0.35">
      <c r="A906" s="3" t="s">
        <v>1833</v>
      </c>
      <c r="B906" s="3" t="s">
        <v>1834</v>
      </c>
      <c r="C906" s="3" t="s">
        <v>12</v>
      </c>
      <c r="D906" s="3" t="s">
        <v>62</v>
      </c>
      <c r="E906" s="6">
        <v>45357</v>
      </c>
      <c r="F906" s="3" t="s">
        <v>14</v>
      </c>
      <c r="G906" s="3">
        <v>8496</v>
      </c>
      <c r="H906" s="3">
        <v>3990</v>
      </c>
      <c r="I906" s="3">
        <v>2.1800000000000002</v>
      </c>
      <c r="J906" s="3">
        <v>44</v>
      </c>
      <c r="K906" s="15">
        <f ca="1">IF(F906="Enrolled",TODAY()-E906,"0")</f>
        <v>697</v>
      </c>
      <c r="L906" s="3" t="str">
        <f>IF(I906&gt;=3.5,"Excellent",IF(I906&gt;=3,"Good",IF(I906&gt;=2,"Average","Poor")))</f>
        <v>Average</v>
      </c>
      <c r="M906" s="3" t="str">
        <v>Dr.Sinha</v>
      </c>
      <c r="N906" s="3" t="str">
        <f>IF(H906 &gt; (G906*50%), "Yes", "No")</f>
        <v>No</v>
      </c>
      <c r="O906" s="16">
        <f>G906-H906</f>
        <v>4506</v>
      </c>
      <c r="P906" s="16">
        <f>SUMIFS(O906:O906,E906:E906,"Science",F906:F906,"Completed")</f>
        <v>0</v>
      </c>
      <c r="Q906" s="3" t="str">
        <f>IF(MONTH(E906)&gt;=7, YEAR(E906)&amp;"-"&amp;YEAR(E906)+1, YEAR(E906)-1&amp;"-"&amp;YEAR(E906))</f>
        <v>2023-2024</v>
      </c>
      <c r="R906" s="3"/>
      <c r="S906" s="3"/>
      <c r="T906" s="15" t="str">
        <f t="shared" ca="1" si="14"/>
        <v>0</v>
      </c>
      <c r="U906" s="3"/>
    </row>
    <row r="907" spans="1:21" x14ac:dyDescent="0.35">
      <c r="A907" s="3" t="s">
        <v>1835</v>
      </c>
      <c r="B907" s="3" t="s">
        <v>1836</v>
      </c>
      <c r="C907" s="3" t="s">
        <v>57</v>
      </c>
      <c r="D907" s="3" t="s">
        <v>62</v>
      </c>
      <c r="E907" s="6">
        <v>44801</v>
      </c>
      <c r="F907" s="3" t="s">
        <v>14</v>
      </c>
      <c r="G907" s="3">
        <v>7820</v>
      </c>
      <c r="H907" s="3">
        <v>809</v>
      </c>
      <c r="I907" s="3">
        <v>2.75</v>
      </c>
      <c r="J907" s="3">
        <v>64</v>
      </c>
      <c r="K907" s="15">
        <f ca="1">IF(F907="Enrolled",TODAY()-E907,"0")</f>
        <v>1253</v>
      </c>
      <c r="L907" s="3" t="str">
        <f>IF(I907&gt;=3.5,"Excellent",IF(I907&gt;=3,"Good",IF(I907&gt;=2,"Average","Poor")))</f>
        <v>Average</v>
      </c>
      <c r="M907" s="3" t="str">
        <v>Dr.Sinha</v>
      </c>
      <c r="N907" s="3" t="str">
        <f>IF(H907 &gt; (G907*50%), "Yes", "No")</f>
        <v>No</v>
      </c>
      <c r="O907" s="16">
        <f>G907-H907</f>
        <v>7011</v>
      </c>
      <c r="P907" s="16">
        <f>SUMIFS(O907:O907,E907:E907,"Science",F907:F907,"Completed")</f>
        <v>0</v>
      </c>
      <c r="Q907" s="3" t="str">
        <f>IF(MONTH(E907)&gt;=7, YEAR(E907)&amp;"-"&amp;YEAR(E907)+1, YEAR(E907)-1&amp;"-"&amp;YEAR(E907))</f>
        <v>2022-2023</v>
      </c>
      <c r="R907" s="3"/>
      <c r="S907" s="3"/>
      <c r="T907" s="15" t="str">
        <f t="shared" ca="1" si="14"/>
        <v>0</v>
      </c>
      <c r="U907" s="3"/>
    </row>
    <row r="908" spans="1:21" x14ac:dyDescent="0.35">
      <c r="A908" s="3" t="s">
        <v>1837</v>
      </c>
      <c r="B908" s="3" t="s">
        <v>1838</v>
      </c>
      <c r="C908" s="3" t="s">
        <v>36</v>
      </c>
      <c r="D908" s="3" t="s">
        <v>31</v>
      </c>
      <c r="E908" s="6">
        <v>45402</v>
      </c>
      <c r="F908" s="3" t="s">
        <v>14</v>
      </c>
      <c r="G908" s="3">
        <v>14630</v>
      </c>
      <c r="H908" s="3">
        <v>7086</v>
      </c>
      <c r="I908" s="3">
        <v>2.0099999999999998</v>
      </c>
      <c r="J908" s="3">
        <v>31</v>
      </c>
      <c r="K908" s="15">
        <f ca="1">IF(F908="Enrolled",TODAY()-E908,"0")</f>
        <v>652</v>
      </c>
      <c r="L908" s="3" t="str">
        <f>IF(I908&gt;=3.5,"Excellent",IF(I908&gt;=3,"Good",IF(I908&gt;=2,"Average","Poor")))</f>
        <v>Average</v>
      </c>
      <c r="M908" s="3" t="str">
        <v>Dr.Sharma</v>
      </c>
      <c r="N908" s="3" t="str">
        <f>IF(H908 &gt; (G908*50%), "Yes", "No")</f>
        <v>No</v>
      </c>
      <c r="O908" s="16">
        <f>G908-H908</f>
        <v>7544</v>
      </c>
      <c r="P908" s="16">
        <f>SUMIFS(O908:O908,E908:E908,"Science",F908:F908,"Completed")</f>
        <v>0</v>
      </c>
      <c r="Q908" s="3" t="str">
        <f>IF(MONTH(E908)&gt;=7, YEAR(E908)&amp;"-"&amp;YEAR(E908)+1, YEAR(E908)-1&amp;"-"&amp;YEAR(E908))</f>
        <v>2023-2024</v>
      </c>
      <c r="R908" s="3"/>
      <c r="S908" s="3"/>
      <c r="T908" s="15" t="str">
        <f t="shared" ca="1" si="14"/>
        <v>0</v>
      </c>
      <c r="U908" s="3"/>
    </row>
    <row r="909" spans="1:21" x14ac:dyDescent="0.35">
      <c r="A909" s="3" t="s">
        <v>1839</v>
      </c>
      <c r="B909" s="3" t="s">
        <v>1840</v>
      </c>
      <c r="C909" s="3" t="s">
        <v>22</v>
      </c>
      <c r="D909" s="3" t="s">
        <v>18</v>
      </c>
      <c r="E909" s="6">
        <v>44848</v>
      </c>
      <c r="F909" s="3" t="s">
        <v>14</v>
      </c>
      <c r="G909" s="3">
        <v>7470</v>
      </c>
      <c r="H909" s="3">
        <v>6312</v>
      </c>
      <c r="I909" s="3">
        <v>3.06</v>
      </c>
      <c r="J909" s="3">
        <v>86</v>
      </c>
      <c r="K909" s="15">
        <f ca="1">IF(F909="Enrolled",TODAY()-E909,"0")</f>
        <v>1206</v>
      </c>
      <c r="L909" s="3" t="str">
        <f>IF(I909&gt;=3.5,"Excellent",IF(I909&gt;=3,"Good",IF(I909&gt;=2,"Average","Poor")))</f>
        <v>Good</v>
      </c>
      <c r="M909" s="3" t="str">
        <v>Dr.Roy</v>
      </c>
      <c r="N909" s="3" t="str">
        <f>IF(H909 &gt; (G909*50%), "Yes", "No")</f>
        <v>Yes</v>
      </c>
      <c r="O909" s="16">
        <f>G909-H909</f>
        <v>1158</v>
      </c>
      <c r="P909" s="16">
        <f>SUMIFS(O909:O909,E909:E909,"Science",F909:F909,"Completed")</f>
        <v>0</v>
      </c>
      <c r="Q909" s="3" t="str">
        <f>IF(MONTH(E909)&gt;=7, YEAR(E909)&amp;"-"&amp;YEAR(E909)+1, YEAR(E909)-1&amp;"-"&amp;YEAR(E909))</f>
        <v>2022-2023</v>
      </c>
      <c r="R909" s="3"/>
      <c r="S909" s="3"/>
      <c r="T909" s="15" t="str">
        <f t="shared" ca="1" si="14"/>
        <v>0</v>
      </c>
      <c r="U909" s="3"/>
    </row>
    <row r="910" spans="1:21" x14ac:dyDescent="0.35">
      <c r="A910" s="3" t="s">
        <v>1841</v>
      </c>
      <c r="B910" s="3" t="s">
        <v>1842</v>
      </c>
      <c r="C910" s="3" t="s">
        <v>17</v>
      </c>
      <c r="D910" s="3" t="s">
        <v>18</v>
      </c>
      <c r="E910" s="6">
        <v>44654</v>
      </c>
      <c r="F910" s="3" t="s">
        <v>14</v>
      </c>
      <c r="G910" s="3">
        <v>6296</v>
      </c>
      <c r="H910" s="3">
        <v>958</v>
      </c>
      <c r="I910" s="3">
        <v>3.45</v>
      </c>
      <c r="J910" s="3">
        <v>62</v>
      </c>
      <c r="K910" s="15">
        <f ca="1">IF(F910="Enrolled",TODAY()-E910,"0")</f>
        <v>1400</v>
      </c>
      <c r="L910" s="3" t="str">
        <f>IF(I910&gt;=3.5,"Excellent",IF(I910&gt;=3,"Good",IF(I910&gt;=2,"Average","Poor")))</f>
        <v>Good</v>
      </c>
      <c r="M910" s="3" t="str">
        <v>Dr.Roy</v>
      </c>
      <c r="N910" s="3" t="str">
        <f>IF(H910 &gt; (G910*50%), "Yes", "No")</f>
        <v>No</v>
      </c>
      <c r="O910" s="16">
        <f>G910-H910</f>
        <v>5338</v>
      </c>
      <c r="P910" s="16">
        <f>SUMIFS(O910:O910,E910:E910,"Science",F910:F910,"Completed")</f>
        <v>0</v>
      </c>
      <c r="Q910" s="3" t="str">
        <f>IF(MONTH(E910)&gt;=7, YEAR(E910)&amp;"-"&amp;YEAR(E910)+1, YEAR(E910)-1&amp;"-"&amp;YEAR(E910))</f>
        <v>2021-2022</v>
      </c>
      <c r="R910" s="3"/>
      <c r="S910" s="3"/>
      <c r="T910" s="15" t="str">
        <f t="shared" ca="1" si="14"/>
        <v>0</v>
      </c>
      <c r="U910" s="3"/>
    </row>
    <row r="911" spans="1:21" x14ac:dyDescent="0.35">
      <c r="A911" s="3" t="s">
        <v>1843</v>
      </c>
      <c r="B911" s="3" t="s">
        <v>1844</v>
      </c>
      <c r="C911" s="3" t="s">
        <v>57</v>
      </c>
      <c r="D911" s="3" t="s">
        <v>62</v>
      </c>
      <c r="E911" s="6">
        <v>44770</v>
      </c>
      <c r="F911" s="3" t="s">
        <v>19</v>
      </c>
      <c r="G911" s="3">
        <v>2346</v>
      </c>
      <c r="H911" s="3">
        <v>5333</v>
      </c>
      <c r="I911" s="3">
        <v>2.74</v>
      </c>
      <c r="J911" s="3">
        <v>105</v>
      </c>
      <c r="K911" s="15" t="str">
        <f ca="1">IF(F911="Enrolled",TODAY()-E911,"0")</f>
        <v>0</v>
      </c>
      <c r="L911" s="3" t="str">
        <f>IF(I911&gt;=3.5,"Excellent",IF(I911&gt;=3,"Good",IF(I911&gt;=2,"Average","Poor")))</f>
        <v>Average</v>
      </c>
      <c r="M911" s="3" t="str">
        <v>Dr.Sinha</v>
      </c>
      <c r="N911" s="3" t="str">
        <f>IF(H911 &gt; (G911*50%), "Yes", "No")</f>
        <v>Yes</v>
      </c>
      <c r="O911" s="16">
        <f>G911-H911</f>
        <v>-2987</v>
      </c>
      <c r="P911" s="16">
        <f>SUMIFS(O911:O911,E911:E911,"Science",F911:F911,"Completed")</f>
        <v>0</v>
      </c>
      <c r="Q911" s="3" t="str">
        <f>IF(MONTH(E911)&gt;=7, YEAR(E911)&amp;"-"&amp;YEAR(E911)+1, YEAR(E911)-1&amp;"-"&amp;YEAR(E911))</f>
        <v>2022-2023</v>
      </c>
      <c r="R911" s="3"/>
      <c r="S911" s="3"/>
      <c r="T911" s="15">
        <f t="shared" ca="1" si="14"/>
        <v>1284</v>
      </c>
      <c r="U911" s="3"/>
    </row>
    <row r="912" spans="1:21" x14ac:dyDescent="0.35">
      <c r="A912" s="3" t="s">
        <v>1845</v>
      </c>
      <c r="B912" s="3" t="s">
        <v>1846</v>
      </c>
      <c r="C912" s="3" t="s">
        <v>17</v>
      </c>
      <c r="D912" s="3" t="s">
        <v>13</v>
      </c>
      <c r="E912" s="6">
        <v>45377</v>
      </c>
      <c r="F912" s="3" t="s">
        <v>14</v>
      </c>
      <c r="G912" s="3">
        <v>5749</v>
      </c>
      <c r="H912" s="3">
        <v>6273</v>
      </c>
      <c r="I912" s="3">
        <v>3.05</v>
      </c>
      <c r="J912" s="3">
        <v>26</v>
      </c>
      <c r="K912" s="15">
        <f ca="1">IF(F912="Enrolled",TODAY()-E912,"0")</f>
        <v>677</v>
      </c>
      <c r="L912" s="3" t="str">
        <f>IF(I912&gt;=3.5,"Excellent",IF(I912&gt;=3,"Good",IF(I912&gt;=2,"Average","Poor")))</f>
        <v>Good</v>
      </c>
      <c r="M912" s="3" t="str">
        <v>Dr.Mehta</v>
      </c>
      <c r="N912" s="3" t="str">
        <f>IF(H912 &gt; (G912*50%), "Yes", "No")</f>
        <v>Yes</v>
      </c>
      <c r="O912" s="16">
        <f>G912-H912</f>
        <v>-524</v>
      </c>
      <c r="P912" s="16">
        <f>SUMIFS(O912:O912,E912:E912,"Science",F912:F912,"Completed")</f>
        <v>0</v>
      </c>
      <c r="Q912" s="3" t="str">
        <f>IF(MONTH(E912)&gt;=7, YEAR(E912)&amp;"-"&amp;YEAR(E912)+1, YEAR(E912)-1&amp;"-"&amp;YEAR(E912))</f>
        <v>2023-2024</v>
      </c>
      <c r="R912" s="3"/>
      <c r="S912" s="3"/>
      <c r="T912" s="15" t="str">
        <f t="shared" ca="1" si="14"/>
        <v>0</v>
      </c>
      <c r="U912" s="3"/>
    </row>
    <row r="913" spans="1:21" x14ac:dyDescent="0.35">
      <c r="A913" s="3" t="s">
        <v>1847</v>
      </c>
      <c r="B913" s="3" t="s">
        <v>1848</v>
      </c>
      <c r="C913" s="3" t="s">
        <v>28</v>
      </c>
      <c r="D913" s="3" t="s">
        <v>13</v>
      </c>
      <c r="E913" s="6">
        <v>45457</v>
      </c>
      <c r="F913" s="3" t="s">
        <v>14</v>
      </c>
      <c r="G913" s="3">
        <v>10732</v>
      </c>
      <c r="H913" s="3">
        <v>29</v>
      </c>
      <c r="I913" s="3">
        <v>3.03</v>
      </c>
      <c r="J913" s="3">
        <v>44</v>
      </c>
      <c r="K913" s="15">
        <f ca="1">IF(F913="Enrolled",TODAY()-E913,"0")</f>
        <v>597</v>
      </c>
      <c r="L913" s="3" t="str">
        <f>IF(I913&gt;=3.5,"Excellent",IF(I913&gt;=3,"Good",IF(I913&gt;=2,"Average","Poor")))</f>
        <v>Good</v>
      </c>
      <c r="M913" s="3" t="str">
        <v>Dr.Mehta</v>
      </c>
      <c r="N913" s="3" t="str">
        <f>IF(H913 &gt; (G913*50%), "Yes", "No")</f>
        <v>No</v>
      </c>
      <c r="O913" s="16">
        <f>G913-H913</f>
        <v>10703</v>
      </c>
      <c r="P913" s="16">
        <f>SUMIFS(O913:O913,E913:E913,"Science",F913:F913,"Completed")</f>
        <v>0</v>
      </c>
      <c r="Q913" s="3" t="str">
        <f>IF(MONTH(E913)&gt;=7, YEAR(E913)&amp;"-"&amp;YEAR(E913)+1, YEAR(E913)-1&amp;"-"&amp;YEAR(E913))</f>
        <v>2023-2024</v>
      </c>
      <c r="R913" s="3"/>
      <c r="S913" s="3"/>
      <c r="T913" s="15" t="str">
        <f t="shared" ca="1" si="14"/>
        <v>0</v>
      </c>
      <c r="U913" s="3"/>
    </row>
    <row r="914" spans="1:21" x14ac:dyDescent="0.35">
      <c r="A914" s="3" t="s">
        <v>1849</v>
      </c>
      <c r="B914" s="3" t="s">
        <v>1850</v>
      </c>
      <c r="C914" s="3" t="s">
        <v>36</v>
      </c>
      <c r="D914" s="3" t="s">
        <v>13</v>
      </c>
      <c r="E914" s="6">
        <v>44753</v>
      </c>
      <c r="F914" s="3" t="s">
        <v>39</v>
      </c>
      <c r="G914" s="3">
        <v>5938</v>
      </c>
      <c r="H914" s="3">
        <v>8341</v>
      </c>
      <c r="I914" s="3">
        <v>2.99</v>
      </c>
      <c r="J914" s="3">
        <v>101</v>
      </c>
      <c r="K914" s="15" t="str">
        <f ca="1">IF(F914="Enrolled",TODAY()-E914,"0")</f>
        <v>0</v>
      </c>
      <c r="L914" s="3" t="str">
        <f>IF(I914&gt;=3.5,"Excellent",IF(I914&gt;=3,"Good",IF(I914&gt;=2,"Average","Poor")))</f>
        <v>Average</v>
      </c>
      <c r="M914" s="3" t="str">
        <v>Dr.Mehta</v>
      </c>
      <c r="N914" s="3" t="str">
        <f>IF(H914 &gt; (G914*50%), "Yes", "No")</f>
        <v>Yes</v>
      </c>
      <c r="O914" s="16">
        <f>G914-H914</f>
        <v>-2403</v>
      </c>
      <c r="P914" s="16">
        <f>SUMIFS(O914:O914,E914:E914,"Science",F914:F914,"Completed")</f>
        <v>0</v>
      </c>
      <c r="Q914" s="3" t="str">
        <f>IF(MONTH(E914)&gt;=7, YEAR(E914)&amp;"-"&amp;YEAR(E914)+1, YEAR(E914)-1&amp;"-"&amp;YEAR(E914))</f>
        <v>2022-2023</v>
      </c>
      <c r="R914" s="3"/>
      <c r="S914" s="3"/>
      <c r="T914" s="15" t="str">
        <f t="shared" ca="1" si="14"/>
        <v>0</v>
      </c>
      <c r="U914" s="3"/>
    </row>
    <row r="915" spans="1:21" x14ac:dyDescent="0.35">
      <c r="A915" s="3" t="s">
        <v>1851</v>
      </c>
      <c r="B915" s="3" t="s">
        <v>1852</v>
      </c>
      <c r="C915" s="3" t="s">
        <v>28</v>
      </c>
      <c r="D915" s="3" t="s">
        <v>31</v>
      </c>
      <c r="E915" s="6">
        <v>45302</v>
      </c>
      <c r="F915" s="3" t="s">
        <v>14</v>
      </c>
      <c r="G915" s="3">
        <v>3278</v>
      </c>
      <c r="H915" s="3">
        <v>1851</v>
      </c>
      <c r="I915" s="3">
        <v>3.37</v>
      </c>
      <c r="J915" s="3">
        <v>85</v>
      </c>
      <c r="K915" s="15">
        <f ca="1">IF(F915="Enrolled",TODAY()-E915,"0")</f>
        <v>752</v>
      </c>
      <c r="L915" s="3" t="str">
        <f>IF(I915&gt;=3.5,"Excellent",IF(I915&gt;=3,"Good",IF(I915&gt;=2,"Average","Poor")))</f>
        <v>Good</v>
      </c>
      <c r="M915" s="3" t="str">
        <v>Dr.Sharma</v>
      </c>
      <c r="N915" s="3" t="str">
        <f>IF(H915 &gt; (G915*50%), "Yes", "No")</f>
        <v>Yes</v>
      </c>
      <c r="O915" s="16">
        <f>G915-H915</f>
        <v>1427</v>
      </c>
      <c r="P915" s="16">
        <f>SUMIFS(O915:O915,E915:E915,"Science",F915:F915,"Completed")</f>
        <v>0</v>
      </c>
      <c r="Q915" s="3" t="str">
        <f>IF(MONTH(E915)&gt;=7, YEAR(E915)&amp;"-"&amp;YEAR(E915)+1, YEAR(E915)-1&amp;"-"&amp;YEAR(E915))</f>
        <v>2023-2024</v>
      </c>
      <c r="R915" s="3"/>
      <c r="S915" s="3"/>
      <c r="T915" s="15" t="str">
        <f t="shared" ca="1" si="14"/>
        <v>0</v>
      </c>
      <c r="U915" s="3"/>
    </row>
    <row r="916" spans="1:21" x14ac:dyDescent="0.35">
      <c r="A916" s="3" t="s">
        <v>1853</v>
      </c>
      <c r="B916" s="3" t="s">
        <v>1854</v>
      </c>
      <c r="C916" s="3" t="s">
        <v>57</v>
      </c>
      <c r="D916" s="3" t="s">
        <v>13</v>
      </c>
      <c r="E916" s="6">
        <v>45083</v>
      </c>
      <c r="F916" s="3" t="s">
        <v>14</v>
      </c>
      <c r="G916" s="3">
        <v>14845</v>
      </c>
      <c r="H916" s="3">
        <v>823</v>
      </c>
      <c r="I916" s="3">
        <v>3.11</v>
      </c>
      <c r="J916" s="3">
        <v>27</v>
      </c>
      <c r="K916" s="15">
        <f ca="1">IF(F916="Enrolled",TODAY()-E916,"0")</f>
        <v>971</v>
      </c>
      <c r="L916" s="3" t="str">
        <f>IF(I916&gt;=3.5,"Excellent",IF(I916&gt;=3,"Good",IF(I916&gt;=2,"Average","Poor")))</f>
        <v>Good</v>
      </c>
      <c r="M916" s="3" t="str">
        <v>Dr.Mehta</v>
      </c>
      <c r="N916" s="3" t="str">
        <f>IF(H916 &gt; (G916*50%), "Yes", "No")</f>
        <v>No</v>
      </c>
      <c r="O916" s="16">
        <f>G916-H916</f>
        <v>14022</v>
      </c>
      <c r="P916" s="16">
        <f>SUMIFS(O916:O916,E916:E916,"Science",F916:F916,"Completed")</f>
        <v>0</v>
      </c>
      <c r="Q916" s="3" t="str">
        <f>IF(MONTH(E916)&gt;=7, YEAR(E916)&amp;"-"&amp;YEAR(E916)+1, YEAR(E916)-1&amp;"-"&amp;YEAR(E916))</f>
        <v>2022-2023</v>
      </c>
      <c r="R916" s="3"/>
      <c r="S916" s="3"/>
      <c r="T916" s="15" t="str">
        <f t="shared" ca="1" si="14"/>
        <v>0</v>
      </c>
      <c r="U916" s="3"/>
    </row>
    <row r="917" spans="1:21" x14ac:dyDescent="0.35">
      <c r="A917" s="3" t="s">
        <v>1855</v>
      </c>
      <c r="B917" s="3" t="s">
        <v>1856</v>
      </c>
      <c r="C917" s="3" t="s">
        <v>54</v>
      </c>
      <c r="D917" s="3" t="s">
        <v>31</v>
      </c>
      <c r="E917" s="6">
        <v>44646</v>
      </c>
      <c r="F917" s="3" t="s">
        <v>19</v>
      </c>
      <c r="G917" s="3">
        <v>11658</v>
      </c>
      <c r="H917" s="3">
        <v>2778</v>
      </c>
      <c r="I917" s="3">
        <v>3.52</v>
      </c>
      <c r="J917" s="3">
        <v>95</v>
      </c>
      <c r="K917" s="15" t="str">
        <f ca="1">IF(F917="Enrolled",TODAY()-E917,"0")</f>
        <v>0</v>
      </c>
      <c r="L917" s="3" t="str">
        <f>IF(I917&gt;=3.5,"Excellent",IF(I917&gt;=3,"Good",IF(I917&gt;=2,"Average","Poor")))</f>
        <v>Excellent</v>
      </c>
      <c r="M917" s="3" t="str">
        <v>Dr.Sharma</v>
      </c>
      <c r="N917" s="3" t="str">
        <f>IF(H917 &gt; (G917*50%), "Yes", "No")</f>
        <v>No</v>
      </c>
      <c r="O917" s="16">
        <f>G917-H917</f>
        <v>8880</v>
      </c>
      <c r="P917" s="16">
        <f>SUMIFS(O917:O917,E917:E917,"Science",F917:F917,"Completed")</f>
        <v>0</v>
      </c>
      <c r="Q917" s="3" t="str">
        <f>IF(MONTH(E917)&gt;=7, YEAR(E917)&amp;"-"&amp;YEAR(E917)+1, YEAR(E917)-1&amp;"-"&amp;YEAR(E917))</f>
        <v>2021-2022</v>
      </c>
      <c r="R917" s="3"/>
      <c r="S917" s="3"/>
      <c r="T917" s="15">
        <f t="shared" ca="1" si="14"/>
        <v>1408</v>
      </c>
      <c r="U917" s="3"/>
    </row>
    <row r="918" spans="1:21" x14ac:dyDescent="0.35">
      <c r="A918" s="3" t="s">
        <v>1857</v>
      </c>
      <c r="B918" s="3" t="s">
        <v>1858</v>
      </c>
      <c r="C918" s="3" t="s">
        <v>12</v>
      </c>
      <c r="D918" s="3" t="s">
        <v>18</v>
      </c>
      <c r="E918" s="6">
        <v>45410</v>
      </c>
      <c r="F918" s="3" t="s">
        <v>19</v>
      </c>
      <c r="G918" s="3">
        <v>11979</v>
      </c>
      <c r="H918" s="3">
        <v>4170</v>
      </c>
      <c r="I918" s="3">
        <v>2.75</v>
      </c>
      <c r="J918" s="3">
        <v>22</v>
      </c>
      <c r="K918" s="15" t="str">
        <f ca="1">IF(F918="Enrolled",TODAY()-E918,"0")</f>
        <v>0</v>
      </c>
      <c r="L918" s="3" t="str">
        <f>IF(I918&gt;=3.5,"Excellent",IF(I918&gt;=3,"Good",IF(I918&gt;=2,"Average","Poor")))</f>
        <v>Average</v>
      </c>
      <c r="M918" s="3" t="str">
        <v>Dr.Roy</v>
      </c>
      <c r="N918" s="3" t="str">
        <f>IF(H918 &gt; (G918*50%), "Yes", "No")</f>
        <v>No</v>
      </c>
      <c r="O918" s="16">
        <f>G918-H918</f>
        <v>7809</v>
      </c>
      <c r="P918" s="16">
        <f>SUMIFS(O918:O918,E918:E918,"Science",F918:F918,"Completed")</f>
        <v>0</v>
      </c>
      <c r="Q918" s="3" t="str">
        <f>IF(MONTH(E918)&gt;=7, YEAR(E918)&amp;"-"&amp;YEAR(E918)+1, YEAR(E918)-1&amp;"-"&amp;YEAR(E918))</f>
        <v>2023-2024</v>
      </c>
      <c r="R918" s="3"/>
      <c r="S918" s="3"/>
      <c r="T918" s="15">
        <f t="shared" ca="1" si="14"/>
        <v>644</v>
      </c>
      <c r="U918" s="3"/>
    </row>
    <row r="919" spans="1:21" x14ac:dyDescent="0.35">
      <c r="A919" s="3" t="s">
        <v>1859</v>
      </c>
      <c r="B919" s="3" t="s">
        <v>1860</v>
      </c>
      <c r="C919" s="3" t="s">
        <v>22</v>
      </c>
      <c r="D919" s="3" t="s">
        <v>31</v>
      </c>
      <c r="E919" s="6">
        <v>44802</v>
      </c>
      <c r="F919" s="3" t="s">
        <v>14</v>
      </c>
      <c r="G919" s="3">
        <v>5650</v>
      </c>
      <c r="H919" s="3">
        <v>9181</v>
      </c>
      <c r="I919" s="3">
        <v>3.13</v>
      </c>
      <c r="J919" s="3">
        <v>18</v>
      </c>
      <c r="K919" s="15">
        <f ca="1">IF(F919="Enrolled",TODAY()-E919,"0")</f>
        <v>1252</v>
      </c>
      <c r="L919" s="3" t="str">
        <f>IF(I919&gt;=3.5,"Excellent",IF(I919&gt;=3,"Good",IF(I919&gt;=2,"Average","Poor")))</f>
        <v>Good</v>
      </c>
      <c r="M919" s="3" t="str">
        <v>Dr.Sharma</v>
      </c>
      <c r="N919" s="3" t="str">
        <f>IF(H919 &gt; (G919*50%), "Yes", "No")</f>
        <v>Yes</v>
      </c>
      <c r="O919" s="16">
        <f>G919-H919</f>
        <v>-3531</v>
      </c>
      <c r="P919" s="16">
        <f>SUMIFS(O919:O919,E919:E919,"Science",F919:F919,"Completed")</f>
        <v>0</v>
      </c>
      <c r="Q919" s="3" t="str">
        <f>IF(MONTH(E919)&gt;=7, YEAR(E919)&amp;"-"&amp;YEAR(E919)+1, YEAR(E919)-1&amp;"-"&amp;YEAR(E919))</f>
        <v>2022-2023</v>
      </c>
      <c r="R919" s="3"/>
      <c r="S919" s="3"/>
      <c r="T919" s="15" t="str">
        <f t="shared" ca="1" si="14"/>
        <v>0</v>
      </c>
      <c r="U919" s="3"/>
    </row>
    <row r="920" spans="1:21" x14ac:dyDescent="0.35">
      <c r="A920" s="3" t="s">
        <v>1861</v>
      </c>
      <c r="B920" s="3" t="s">
        <v>1862</v>
      </c>
      <c r="C920" s="3" t="s">
        <v>25</v>
      </c>
      <c r="D920" s="3" t="s">
        <v>13</v>
      </c>
      <c r="E920" s="6">
        <v>45018</v>
      </c>
      <c r="F920" s="3" t="s">
        <v>39</v>
      </c>
      <c r="G920" s="3">
        <v>9224</v>
      </c>
      <c r="H920" s="3">
        <v>5014</v>
      </c>
      <c r="I920" s="3">
        <v>2.75</v>
      </c>
      <c r="J920" s="3">
        <v>79</v>
      </c>
      <c r="K920" s="15" t="str">
        <f ca="1">IF(F920="Enrolled",TODAY()-E920,"0")</f>
        <v>0</v>
      </c>
      <c r="L920" s="3" t="str">
        <f>IF(I920&gt;=3.5,"Excellent",IF(I920&gt;=3,"Good",IF(I920&gt;=2,"Average","Poor")))</f>
        <v>Average</v>
      </c>
      <c r="M920" s="3" t="str">
        <v>Dr.Mehta</v>
      </c>
      <c r="N920" s="3" t="str">
        <f>IF(H920 &gt; (G920*50%), "Yes", "No")</f>
        <v>Yes</v>
      </c>
      <c r="O920" s="16">
        <f>G920-H920</f>
        <v>4210</v>
      </c>
      <c r="P920" s="16">
        <f>SUMIFS(O920:O920,E920:E920,"Science",F920:F920,"Completed")</f>
        <v>0</v>
      </c>
      <c r="Q920" s="3" t="str">
        <f>IF(MONTH(E920)&gt;=7, YEAR(E920)&amp;"-"&amp;YEAR(E920)+1, YEAR(E920)-1&amp;"-"&amp;YEAR(E920))</f>
        <v>2022-2023</v>
      </c>
      <c r="R920" s="3"/>
      <c r="S920" s="3"/>
      <c r="T920" s="15" t="str">
        <f t="shared" ca="1" si="14"/>
        <v>0</v>
      </c>
      <c r="U920" s="3"/>
    </row>
    <row r="921" spans="1:21" x14ac:dyDescent="0.35">
      <c r="A921" s="3" t="s">
        <v>1863</v>
      </c>
      <c r="B921" s="3" t="s">
        <v>1864</v>
      </c>
      <c r="C921" s="3" t="s">
        <v>17</v>
      </c>
      <c r="D921" s="3" t="s">
        <v>31</v>
      </c>
      <c r="E921" s="6">
        <v>45115</v>
      </c>
      <c r="F921" s="3" t="s">
        <v>19</v>
      </c>
      <c r="G921" s="3">
        <v>12893</v>
      </c>
      <c r="H921" s="3">
        <v>6823</v>
      </c>
      <c r="I921" s="3">
        <v>3.9</v>
      </c>
      <c r="J921" s="3">
        <v>62</v>
      </c>
      <c r="K921" s="15" t="str">
        <f ca="1">IF(F921="Enrolled",TODAY()-E921,"0")</f>
        <v>0</v>
      </c>
      <c r="L921" s="3" t="str">
        <f>IF(I921&gt;=3.5,"Excellent",IF(I921&gt;=3,"Good",IF(I921&gt;=2,"Average","Poor")))</f>
        <v>Excellent</v>
      </c>
      <c r="M921" s="3" t="str">
        <v>Dr.Sharma</v>
      </c>
      <c r="N921" s="3" t="str">
        <f>IF(H921 &gt; (G921*50%), "Yes", "No")</f>
        <v>Yes</v>
      </c>
      <c r="O921" s="16">
        <f>G921-H921</f>
        <v>6070</v>
      </c>
      <c r="P921" s="16">
        <f>SUMIFS(O921:O921,E921:E921,"Science",F921:F921,"Completed")</f>
        <v>0</v>
      </c>
      <c r="Q921" s="3" t="str">
        <f>IF(MONTH(E921)&gt;=7, YEAR(E921)&amp;"-"&amp;YEAR(E921)+1, YEAR(E921)-1&amp;"-"&amp;YEAR(E921))</f>
        <v>2023-2024</v>
      </c>
      <c r="R921" s="3"/>
      <c r="S921" s="3"/>
      <c r="T921" s="15">
        <f t="shared" ca="1" si="14"/>
        <v>939</v>
      </c>
      <c r="U921" s="3"/>
    </row>
    <row r="922" spans="1:21" x14ac:dyDescent="0.35">
      <c r="A922" s="3" t="s">
        <v>1865</v>
      </c>
      <c r="B922" s="3" t="s">
        <v>1866</v>
      </c>
      <c r="C922" s="3" t="s">
        <v>36</v>
      </c>
      <c r="D922" s="3" t="s">
        <v>13</v>
      </c>
      <c r="E922" s="6">
        <v>45246</v>
      </c>
      <c r="F922" s="3" t="s">
        <v>14</v>
      </c>
      <c r="G922" s="3">
        <v>10635</v>
      </c>
      <c r="H922" s="3">
        <v>7334</v>
      </c>
      <c r="I922" s="3">
        <v>2.12</v>
      </c>
      <c r="J922" s="3">
        <v>87</v>
      </c>
      <c r="K922" s="15">
        <f ca="1">IF(F922="Enrolled",TODAY()-E922,"0")</f>
        <v>808</v>
      </c>
      <c r="L922" s="3" t="str">
        <f>IF(I922&gt;=3.5,"Excellent",IF(I922&gt;=3,"Good",IF(I922&gt;=2,"Average","Poor")))</f>
        <v>Average</v>
      </c>
      <c r="M922" s="3" t="str">
        <v>Dr.Mehta</v>
      </c>
      <c r="N922" s="3" t="str">
        <f>IF(H922 &gt; (G922*50%), "Yes", "No")</f>
        <v>Yes</v>
      </c>
      <c r="O922" s="16">
        <f>G922-H922</f>
        <v>3301</v>
      </c>
      <c r="P922" s="16">
        <f>SUMIFS(O922:O922,E922:E922,"Science",F922:F922,"Completed")</f>
        <v>0</v>
      </c>
      <c r="Q922" s="3" t="str">
        <f>IF(MONTH(E922)&gt;=7, YEAR(E922)&amp;"-"&amp;YEAR(E922)+1, YEAR(E922)-1&amp;"-"&amp;YEAR(E922))</f>
        <v>2023-2024</v>
      </c>
      <c r="R922" s="3"/>
      <c r="S922" s="3"/>
      <c r="T922" s="15" t="str">
        <f t="shared" ca="1" si="14"/>
        <v>0</v>
      </c>
      <c r="U922" s="3"/>
    </row>
    <row r="923" spans="1:21" x14ac:dyDescent="0.35">
      <c r="A923" s="3" t="s">
        <v>1867</v>
      </c>
      <c r="B923" s="3" t="s">
        <v>1868</v>
      </c>
      <c r="C923" s="3" t="s">
        <v>12</v>
      </c>
      <c r="D923" s="3" t="s">
        <v>62</v>
      </c>
      <c r="E923" s="6">
        <v>44687</v>
      </c>
      <c r="F923" s="3" t="s">
        <v>19</v>
      </c>
      <c r="G923" s="3">
        <v>5161</v>
      </c>
      <c r="H923" s="3">
        <v>3191</v>
      </c>
      <c r="I923" s="3">
        <v>3.4</v>
      </c>
      <c r="J923" s="3">
        <v>18</v>
      </c>
      <c r="K923" s="15" t="str">
        <f ca="1">IF(F923="Enrolled",TODAY()-E923,"0")</f>
        <v>0</v>
      </c>
      <c r="L923" s="3" t="str">
        <f>IF(I923&gt;=3.5,"Excellent",IF(I923&gt;=3,"Good",IF(I923&gt;=2,"Average","Poor")))</f>
        <v>Good</v>
      </c>
      <c r="M923" s="3" t="str">
        <v>Dr.Sinha</v>
      </c>
      <c r="N923" s="3" t="str">
        <f>IF(H923 &gt; (G923*50%), "Yes", "No")</f>
        <v>Yes</v>
      </c>
      <c r="O923" s="16">
        <f>G923-H923</f>
        <v>1970</v>
      </c>
      <c r="P923" s="16">
        <f>SUMIFS(O923:O923,E923:E923,"Science",F923:F923,"Completed")</f>
        <v>0</v>
      </c>
      <c r="Q923" s="3" t="str">
        <f>IF(MONTH(E923)&gt;=7, YEAR(E923)&amp;"-"&amp;YEAR(E923)+1, YEAR(E923)-1&amp;"-"&amp;YEAR(E923))</f>
        <v>2021-2022</v>
      </c>
      <c r="R923" s="3"/>
      <c r="S923" s="3"/>
      <c r="T923" s="15">
        <f t="shared" ca="1" si="14"/>
        <v>1367</v>
      </c>
      <c r="U923" s="3"/>
    </row>
    <row r="924" spans="1:21" x14ac:dyDescent="0.35">
      <c r="A924" s="3" t="s">
        <v>1869</v>
      </c>
      <c r="B924" s="3" t="s">
        <v>1870</v>
      </c>
      <c r="C924" s="3" t="s">
        <v>22</v>
      </c>
      <c r="D924" s="3" t="s">
        <v>62</v>
      </c>
      <c r="E924" s="6">
        <v>45308</v>
      </c>
      <c r="F924" s="3" t="s">
        <v>19</v>
      </c>
      <c r="G924" s="3">
        <v>2310</v>
      </c>
      <c r="H924" s="3">
        <v>7992</v>
      </c>
      <c r="I924" s="3">
        <v>3.78</v>
      </c>
      <c r="J924" s="3">
        <v>84</v>
      </c>
      <c r="K924" s="15" t="str">
        <f ca="1">IF(F924="Enrolled",TODAY()-E924,"0")</f>
        <v>0</v>
      </c>
      <c r="L924" s="3" t="str">
        <f>IF(I924&gt;=3.5,"Excellent",IF(I924&gt;=3,"Good",IF(I924&gt;=2,"Average","Poor")))</f>
        <v>Excellent</v>
      </c>
      <c r="M924" s="3" t="str">
        <v>Dr.Sinha</v>
      </c>
      <c r="N924" s="3" t="str">
        <f>IF(H924 &gt; (G924*50%), "Yes", "No")</f>
        <v>Yes</v>
      </c>
      <c r="O924" s="16">
        <f>G924-H924</f>
        <v>-5682</v>
      </c>
      <c r="P924" s="16">
        <f>SUMIFS(O924:O924,E924:E924,"Science",F924:F924,"Completed")</f>
        <v>0</v>
      </c>
      <c r="Q924" s="3" t="str">
        <f>IF(MONTH(E924)&gt;=7, YEAR(E924)&amp;"-"&amp;YEAR(E924)+1, YEAR(E924)-1&amp;"-"&amp;YEAR(E924))</f>
        <v>2023-2024</v>
      </c>
      <c r="R924" s="3"/>
      <c r="S924" s="3"/>
      <c r="T924" s="15">
        <f t="shared" ca="1" si="14"/>
        <v>746</v>
      </c>
      <c r="U924" s="3"/>
    </row>
    <row r="925" spans="1:21" x14ac:dyDescent="0.35">
      <c r="A925" s="3" t="s">
        <v>1871</v>
      </c>
      <c r="B925" s="3" t="s">
        <v>1872</v>
      </c>
      <c r="C925" s="3" t="s">
        <v>36</v>
      </c>
      <c r="D925" s="3" t="s">
        <v>18</v>
      </c>
      <c r="E925" s="6">
        <v>44902</v>
      </c>
      <c r="F925" s="3" t="s">
        <v>19</v>
      </c>
      <c r="G925" s="3">
        <v>14238</v>
      </c>
      <c r="H925" s="3">
        <v>3624</v>
      </c>
      <c r="I925" s="3">
        <v>2.0499999999999998</v>
      </c>
      <c r="J925" s="3">
        <v>111</v>
      </c>
      <c r="K925" s="15" t="str">
        <f ca="1">IF(F925="Enrolled",TODAY()-E925,"0")</f>
        <v>0</v>
      </c>
      <c r="L925" s="3" t="str">
        <f>IF(I925&gt;=3.5,"Excellent",IF(I925&gt;=3,"Good",IF(I925&gt;=2,"Average","Poor")))</f>
        <v>Average</v>
      </c>
      <c r="M925" s="3" t="str">
        <v>Dr.Roy</v>
      </c>
      <c r="N925" s="3" t="str">
        <f>IF(H925 &gt; (G925*50%), "Yes", "No")</f>
        <v>No</v>
      </c>
      <c r="O925" s="16">
        <f>G925-H925</f>
        <v>10614</v>
      </c>
      <c r="P925" s="16">
        <f>SUMIFS(O925:O925,E925:E925,"Science",F925:F925,"Completed")</f>
        <v>0</v>
      </c>
      <c r="Q925" s="3" t="str">
        <f>IF(MONTH(E925)&gt;=7, YEAR(E925)&amp;"-"&amp;YEAR(E925)+1, YEAR(E925)-1&amp;"-"&amp;YEAR(E925))</f>
        <v>2022-2023</v>
      </c>
      <c r="R925" s="3"/>
      <c r="S925" s="3"/>
      <c r="T925" s="15">
        <f t="shared" ca="1" si="14"/>
        <v>1152</v>
      </c>
      <c r="U925" s="3"/>
    </row>
    <row r="926" spans="1:21" x14ac:dyDescent="0.35">
      <c r="A926" s="3" t="s">
        <v>1873</v>
      </c>
      <c r="B926" s="3" t="s">
        <v>1874</v>
      </c>
      <c r="C926" s="3" t="s">
        <v>22</v>
      </c>
      <c r="D926" s="3" t="s">
        <v>18</v>
      </c>
      <c r="E926" s="6">
        <v>44762</v>
      </c>
      <c r="F926" s="3" t="s">
        <v>14</v>
      </c>
      <c r="G926" s="3">
        <v>6256</v>
      </c>
      <c r="H926" s="3">
        <v>9774</v>
      </c>
      <c r="I926" s="3">
        <v>3.04</v>
      </c>
      <c r="J926" s="3">
        <v>92</v>
      </c>
      <c r="K926" s="15">
        <f ca="1">IF(F926="Enrolled",TODAY()-E926,"0")</f>
        <v>1292</v>
      </c>
      <c r="L926" s="3" t="str">
        <f>IF(I926&gt;=3.5,"Excellent",IF(I926&gt;=3,"Good",IF(I926&gt;=2,"Average","Poor")))</f>
        <v>Good</v>
      </c>
      <c r="M926" s="3" t="str">
        <v>Dr.Roy</v>
      </c>
      <c r="N926" s="3" t="str">
        <f>IF(H926 &gt; (G926*50%), "Yes", "No")</f>
        <v>Yes</v>
      </c>
      <c r="O926" s="16">
        <f>G926-H926</f>
        <v>-3518</v>
      </c>
      <c r="P926" s="16">
        <f>SUMIFS(O926:O926,E926:E926,"Science",F926:F926,"Completed")</f>
        <v>0</v>
      </c>
      <c r="Q926" s="3" t="str">
        <f>IF(MONTH(E926)&gt;=7, YEAR(E926)&amp;"-"&amp;YEAR(E926)+1, YEAR(E926)-1&amp;"-"&amp;YEAR(E926))</f>
        <v>2022-2023</v>
      </c>
      <c r="R926" s="3"/>
      <c r="S926" s="3"/>
      <c r="T926" s="15" t="str">
        <f t="shared" ca="1" si="14"/>
        <v>0</v>
      </c>
      <c r="U926" s="3"/>
    </row>
    <row r="927" spans="1:21" x14ac:dyDescent="0.35">
      <c r="A927" s="3" t="s">
        <v>1875</v>
      </c>
      <c r="B927" s="3" t="s">
        <v>1876</v>
      </c>
      <c r="C927" s="3" t="s">
        <v>36</v>
      </c>
      <c r="D927" s="3" t="s">
        <v>18</v>
      </c>
      <c r="E927" s="6">
        <v>44809</v>
      </c>
      <c r="F927" s="3" t="s">
        <v>39</v>
      </c>
      <c r="G927" s="3">
        <v>12707</v>
      </c>
      <c r="H927" s="3">
        <v>6931</v>
      </c>
      <c r="I927" s="3">
        <v>3.19</v>
      </c>
      <c r="J927" s="3">
        <v>46</v>
      </c>
      <c r="K927" s="15" t="str">
        <f ca="1">IF(F927="Enrolled",TODAY()-E927,"0")</f>
        <v>0</v>
      </c>
      <c r="L927" s="3" t="str">
        <f>IF(I927&gt;=3.5,"Excellent",IF(I927&gt;=3,"Good",IF(I927&gt;=2,"Average","Poor")))</f>
        <v>Good</v>
      </c>
      <c r="M927" s="3" t="str">
        <v>Dr.Roy</v>
      </c>
      <c r="N927" s="3" t="str">
        <f>IF(H927 &gt; (G927*50%), "Yes", "No")</f>
        <v>Yes</v>
      </c>
      <c r="O927" s="16">
        <f>G927-H927</f>
        <v>5776</v>
      </c>
      <c r="P927" s="16">
        <f>SUMIFS(O927:O927,E927:E927,"Science",F927:F927,"Completed")</f>
        <v>0</v>
      </c>
      <c r="Q927" s="3" t="str">
        <f>IF(MONTH(E927)&gt;=7, YEAR(E927)&amp;"-"&amp;YEAR(E927)+1, YEAR(E927)-1&amp;"-"&amp;YEAR(E927))</f>
        <v>2022-2023</v>
      </c>
      <c r="R927" s="3"/>
      <c r="S927" s="3"/>
      <c r="T927" s="15" t="str">
        <f t="shared" ca="1" si="14"/>
        <v>0</v>
      </c>
      <c r="U927" s="3"/>
    </row>
    <row r="928" spans="1:21" x14ac:dyDescent="0.35">
      <c r="A928" s="3" t="s">
        <v>1877</v>
      </c>
      <c r="B928" s="3" t="s">
        <v>1878</v>
      </c>
      <c r="C928" s="3" t="s">
        <v>28</v>
      </c>
      <c r="D928" s="3" t="s">
        <v>18</v>
      </c>
      <c r="E928" s="6">
        <v>44708</v>
      </c>
      <c r="F928" s="3" t="s">
        <v>14</v>
      </c>
      <c r="G928" s="3">
        <v>14485</v>
      </c>
      <c r="H928" s="3">
        <v>2925</v>
      </c>
      <c r="I928" s="3">
        <v>2.13</v>
      </c>
      <c r="J928" s="3">
        <v>15</v>
      </c>
      <c r="K928" s="15">
        <f ca="1">IF(F928="Enrolled",TODAY()-E928,"0")</f>
        <v>1346</v>
      </c>
      <c r="L928" s="3" t="str">
        <f>IF(I928&gt;=3.5,"Excellent",IF(I928&gt;=3,"Good",IF(I928&gt;=2,"Average","Poor")))</f>
        <v>Average</v>
      </c>
      <c r="M928" s="3" t="str">
        <v>Dr.Roy</v>
      </c>
      <c r="N928" s="3" t="str">
        <f>IF(H928 &gt; (G928*50%), "Yes", "No")</f>
        <v>No</v>
      </c>
      <c r="O928" s="16">
        <f>G928-H928</f>
        <v>11560</v>
      </c>
      <c r="P928" s="16">
        <f>SUMIFS(O928:O928,E928:E928,"Science",F928:F928,"Completed")</f>
        <v>0</v>
      </c>
      <c r="Q928" s="3" t="str">
        <f>IF(MONTH(E928)&gt;=7, YEAR(E928)&amp;"-"&amp;YEAR(E928)+1, YEAR(E928)-1&amp;"-"&amp;YEAR(E928))</f>
        <v>2021-2022</v>
      </c>
      <c r="R928" s="3"/>
      <c r="S928" s="3"/>
      <c r="T928" s="15" t="str">
        <f t="shared" ca="1" si="14"/>
        <v>0</v>
      </c>
      <c r="U928" s="3"/>
    </row>
    <row r="929" spans="1:21" x14ac:dyDescent="0.35">
      <c r="A929" s="3" t="s">
        <v>1879</v>
      </c>
      <c r="B929" s="3" t="s">
        <v>1880</v>
      </c>
      <c r="C929" s="3" t="s">
        <v>12</v>
      </c>
      <c r="D929" s="3" t="s">
        <v>13</v>
      </c>
      <c r="E929" s="6">
        <v>45183</v>
      </c>
      <c r="F929" s="3" t="s">
        <v>14</v>
      </c>
      <c r="G929" s="3">
        <v>6109</v>
      </c>
      <c r="H929" s="3">
        <v>1355</v>
      </c>
      <c r="I929" s="3">
        <v>3.41</v>
      </c>
      <c r="J929" s="3">
        <v>97</v>
      </c>
      <c r="K929" s="15">
        <f ca="1">IF(F929="Enrolled",TODAY()-E929,"0")</f>
        <v>871</v>
      </c>
      <c r="L929" s="3" t="str">
        <f>IF(I929&gt;=3.5,"Excellent",IF(I929&gt;=3,"Good",IF(I929&gt;=2,"Average","Poor")))</f>
        <v>Good</v>
      </c>
      <c r="M929" s="3" t="str">
        <v>Dr.Mehta</v>
      </c>
      <c r="N929" s="3" t="str">
        <f>IF(H929 &gt; (G929*50%), "Yes", "No")</f>
        <v>No</v>
      </c>
      <c r="O929" s="16">
        <f>G929-H929</f>
        <v>4754</v>
      </c>
      <c r="P929" s="16">
        <f>SUMIFS(O929:O929,E929:E929,"Science",F929:F929,"Completed")</f>
        <v>0</v>
      </c>
      <c r="Q929" s="3" t="str">
        <f>IF(MONTH(E929)&gt;=7, YEAR(E929)&amp;"-"&amp;YEAR(E929)+1, YEAR(E929)-1&amp;"-"&amp;YEAR(E929))</f>
        <v>2023-2024</v>
      </c>
      <c r="R929" s="3"/>
      <c r="S929" s="3"/>
      <c r="T929" s="15" t="str">
        <f t="shared" ca="1" si="14"/>
        <v>0</v>
      </c>
      <c r="U929" s="3"/>
    </row>
    <row r="930" spans="1:21" x14ac:dyDescent="0.35">
      <c r="A930" s="3" t="s">
        <v>1881</v>
      </c>
      <c r="B930" s="3" t="s">
        <v>1882</v>
      </c>
      <c r="C930" s="3" t="s">
        <v>36</v>
      </c>
      <c r="D930" s="3" t="s">
        <v>18</v>
      </c>
      <c r="E930" s="6">
        <v>45345</v>
      </c>
      <c r="F930" s="3" t="s">
        <v>39</v>
      </c>
      <c r="G930" s="3">
        <v>12380</v>
      </c>
      <c r="H930" s="3">
        <v>7327</v>
      </c>
      <c r="I930" s="3">
        <v>2.54</v>
      </c>
      <c r="J930" s="3">
        <v>72</v>
      </c>
      <c r="K930" s="15" t="str">
        <f ca="1">IF(F930="Enrolled",TODAY()-E930,"0")</f>
        <v>0</v>
      </c>
      <c r="L930" s="3" t="str">
        <f>IF(I930&gt;=3.5,"Excellent",IF(I930&gt;=3,"Good",IF(I930&gt;=2,"Average","Poor")))</f>
        <v>Average</v>
      </c>
      <c r="M930" s="3" t="str">
        <v>Dr.Roy</v>
      </c>
      <c r="N930" s="3" t="str">
        <f>IF(H930 &gt; (G930*50%), "Yes", "No")</f>
        <v>Yes</v>
      </c>
      <c r="O930" s="16">
        <f>G930-H930</f>
        <v>5053</v>
      </c>
      <c r="P930" s="16">
        <f>SUMIFS(O930:O930,E930:E930,"Science",F930:F930,"Completed")</f>
        <v>0</v>
      </c>
      <c r="Q930" s="3" t="str">
        <f>IF(MONTH(E930)&gt;=7, YEAR(E930)&amp;"-"&amp;YEAR(E930)+1, YEAR(E930)-1&amp;"-"&amp;YEAR(E930))</f>
        <v>2023-2024</v>
      </c>
      <c r="R930" s="3"/>
      <c r="S930" s="3"/>
      <c r="T930" s="15" t="str">
        <f t="shared" ca="1" si="14"/>
        <v>0</v>
      </c>
      <c r="U930" s="3"/>
    </row>
    <row r="931" spans="1:21" x14ac:dyDescent="0.35">
      <c r="A931" s="3" t="s">
        <v>1883</v>
      </c>
      <c r="B931" s="3" t="s">
        <v>1884</v>
      </c>
      <c r="C931" s="3" t="s">
        <v>36</v>
      </c>
      <c r="D931" s="3" t="s">
        <v>18</v>
      </c>
      <c r="E931" s="6">
        <v>44675</v>
      </c>
      <c r="F931" s="3" t="s">
        <v>19</v>
      </c>
      <c r="G931" s="3">
        <v>7050</v>
      </c>
      <c r="H931" s="3">
        <v>537</v>
      </c>
      <c r="I931" s="3">
        <v>2.84</v>
      </c>
      <c r="J931" s="3">
        <v>68</v>
      </c>
      <c r="K931" s="15" t="str">
        <f ca="1">IF(F931="Enrolled",TODAY()-E931,"0")</f>
        <v>0</v>
      </c>
      <c r="L931" s="3" t="str">
        <f>IF(I931&gt;=3.5,"Excellent",IF(I931&gt;=3,"Good",IF(I931&gt;=2,"Average","Poor")))</f>
        <v>Average</v>
      </c>
      <c r="M931" s="3" t="str">
        <v>Dr.Roy</v>
      </c>
      <c r="N931" s="3" t="str">
        <f>IF(H931 &gt; (G931*50%), "Yes", "No")</f>
        <v>No</v>
      </c>
      <c r="O931" s="16">
        <f>G931-H931</f>
        <v>6513</v>
      </c>
      <c r="P931" s="16">
        <f>SUMIFS(O931:O931,E931:E931,"Science",F931:F931,"Completed")</f>
        <v>0</v>
      </c>
      <c r="Q931" s="3" t="str">
        <f>IF(MONTH(E931)&gt;=7, YEAR(E931)&amp;"-"&amp;YEAR(E931)+1, YEAR(E931)-1&amp;"-"&amp;YEAR(E931))</f>
        <v>2021-2022</v>
      </c>
      <c r="R931" s="3"/>
      <c r="S931" s="3"/>
      <c r="T931" s="15">
        <f t="shared" ca="1" si="14"/>
        <v>1379</v>
      </c>
      <c r="U931" s="3"/>
    </row>
    <row r="932" spans="1:21" x14ac:dyDescent="0.35">
      <c r="A932" s="3" t="s">
        <v>1885</v>
      </c>
      <c r="B932" s="3" t="s">
        <v>1886</v>
      </c>
      <c r="C932" s="3" t="s">
        <v>22</v>
      </c>
      <c r="D932" s="3" t="s">
        <v>62</v>
      </c>
      <c r="E932" s="6">
        <v>44738</v>
      </c>
      <c r="F932" s="3" t="s">
        <v>19</v>
      </c>
      <c r="G932" s="3">
        <v>13686</v>
      </c>
      <c r="H932" s="3">
        <v>5137</v>
      </c>
      <c r="I932" s="3">
        <v>3.59</v>
      </c>
      <c r="J932" s="3">
        <v>75</v>
      </c>
      <c r="K932" s="15" t="str">
        <f ca="1">IF(F932="Enrolled",TODAY()-E932,"0")</f>
        <v>0</v>
      </c>
      <c r="L932" s="3" t="str">
        <f>IF(I932&gt;=3.5,"Excellent",IF(I932&gt;=3,"Good",IF(I932&gt;=2,"Average","Poor")))</f>
        <v>Excellent</v>
      </c>
      <c r="M932" s="3" t="str">
        <v>Dr.Sinha</v>
      </c>
      <c r="N932" s="3" t="str">
        <f>IF(H932 &gt; (G932*50%), "Yes", "No")</f>
        <v>No</v>
      </c>
      <c r="O932" s="16">
        <f>G932-H932</f>
        <v>8549</v>
      </c>
      <c r="P932" s="16">
        <f>SUMIFS(O932:O932,E932:E932,"Science",F932:F932,"Completed")</f>
        <v>0</v>
      </c>
      <c r="Q932" s="3" t="str">
        <f>IF(MONTH(E932)&gt;=7, YEAR(E932)&amp;"-"&amp;YEAR(E932)+1, YEAR(E932)-1&amp;"-"&amp;YEAR(E932))</f>
        <v>2021-2022</v>
      </c>
      <c r="R932" s="3"/>
      <c r="S932" s="3"/>
      <c r="T932" s="15">
        <f t="shared" ca="1" si="14"/>
        <v>1316</v>
      </c>
      <c r="U932" s="3"/>
    </row>
    <row r="933" spans="1:21" x14ac:dyDescent="0.35">
      <c r="A933" s="3" t="s">
        <v>1887</v>
      </c>
      <c r="B933" s="3" t="s">
        <v>1888</v>
      </c>
      <c r="C933" s="3" t="s">
        <v>36</v>
      </c>
      <c r="D933" s="3" t="s">
        <v>13</v>
      </c>
      <c r="E933" s="6">
        <v>45400</v>
      </c>
      <c r="F933" s="3" t="s">
        <v>14</v>
      </c>
      <c r="G933" s="3">
        <v>3224</v>
      </c>
      <c r="H933" s="3">
        <v>6436</v>
      </c>
      <c r="I933" s="3">
        <v>3.96</v>
      </c>
      <c r="J933" s="3">
        <v>103</v>
      </c>
      <c r="K933" s="15">
        <f ca="1">IF(F933="Enrolled",TODAY()-E933,"0")</f>
        <v>654</v>
      </c>
      <c r="L933" s="3" t="str">
        <f>IF(I933&gt;=3.5,"Excellent",IF(I933&gt;=3,"Good",IF(I933&gt;=2,"Average","Poor")))</f>
        <v>Excellent</v>
      </c>
      <c r="M933" s="3" t="str">
        <v>Dr.Mehta</v>
      </c>
      <c r="N933" s="3" t="str">
        <f>IF(H933 &gt; (G933*50%), "Yes", "No")</f>
        <v>Yes</v>
      </c>
      <c r="O933" s="16">
        <f>G933-H933</f>
        <v>-3212</v>
      </c>
      <c r="P933" s="16">
        <f>SUMIFS(O933:O933,E933:E933,"Science",F933:F933,"Completed")</f>
        <v>0</v>
      </c>
      <c r="Q933" s="3" t="str">
        <f>IF(MONTH(E933)&gt;=7, YEAR(E933)&amp;"-"&amp;YEAR(E933)+1, YEAR(E933)-1&amp;"-"&amp;YEAR(E933))</f>
        <v>2023-2024</v>
      </c>
      <c r="R933" s="3"/>
      <c r="S933" s="3"/>
      <c r="T933" s="15" t="str">
        <f t="shared" ca="1" si="14"/>
        <v>0</v>
      </c>
      <c r="U933" s="3"/>
    </row>
    <row r="934" spans="1:21" x14ac:dyDescent="0.35">
      <c r="A934" s="3" t="s">
        <v>1889</v>
      </c>
      <c r="B934" s="3" t="s">
        <v>1890</v>
      </c>
      <c r="C934" s="3" t="s">
        <v>36</v>
      </c>
      <c r="D934" s="3" t="s">
        <v>31</v>
      </c>
      <c r="E934" s="6">
        <v>44726</v>
      </c>
      <c r="F934" s="3" t="s">
        <v>14</v>
      </c>
      <c r="G934" s="3">
        <v>8505</v>
      </c>
      <c r="H934" s="3">
        <v>8006</v>
      </c>
      <c r="I934" s="3">
        <v>2.61</v>
      </c>
      <c r="J934" s="3">
        <v>10</v>
      </c>
      <c r="K934" s="15">
        <f ca="1">IF(F934="Enrolled",TODAY()-E934,"0")</f>
        <v>1328</v>
      </c>
      <c r="L934" s="3" t="str">
        <f>IF(I934&gt;=3.5,"Excellent",IF(I934&gt;=3,"Good",IF(I934&gt;=2,"Average","Poor")))</f>
        <v>Average</v>
      </c>
      <c r="M934" s="3" t="str">
        <v>Dr.Sharma</v>
      </c>
      <c r="N934" s="3" t="str">
        <f>IF(H934 &gt; (G934*50%), "Yes", "No")</f>
        <v>Yes</v>
      </c>
      <c r="O934" s="16">
        <f>G934-H934</f>
        <v>499</v>
      </c>
      <c r="P934" s="16">
        <f>SUMIFS(O934:O934,E934:E934,"Science",F934:F934,"Completed")</f>
        <v>0</v>
      </c>
      <c r="Q934" s="3" t="str">
        <f>IF(MONTH(E934)&gt;=7, YEAR(E934)&amp;"-"&amp;YEAR(E934)+1, YEAR(E934)-1&amp;"-"&amp;YEAR(E934))</f>
        <v>2021-2022</v>
      </c>
      <c r="R934" s="3"/>
      <c r="S934" s="3"/>
      <c r="T934" s="15" t="str">
        <f t="shared" ca="1" si="14"/>
        <v>0</v>
      </c>
      <c r="U934" s="3"/>
    </row>
    <row r="935" spans="1:21" x14ac:dyDescent="0.35">
      <c r="A935" s="3" t="s">
        <v>1891</v>
      </c>
      <c r="B935" s="3" t="s">
        <v>1892</v>
      </c>
      <c r="C935" s="3" t="s">
        <v>12</v>
      </c>
      <c r="D935" s="3" t="s">
        <v>13</v>
      </c>
      <c r="E935" s="6">
        <v>44965</v>
      </c>
      <c r="F935" s="3" t="s">
        <v>19</v>
      </c>
      <c r="G935" s="3">
        <v>8846</v>
      </c>
      <c r="H935" s="3">
        <v>1192</v>
      </c>
      <c r="I935" s="3">
        <v>3.59</v>
      </c>
      <c r="J935" s="3">
        <v>36</v>
      </c>
      <c r="K935" s="15" t="str">
        <f ca="1">IF(F935="Enrolled",TODAY()-E935,"0")</f>
        <v>0</v>
      </c>
      <c r="L935" s="3" t="str">
        <f>IF(I935&gt;=3.5,"Excellent",IF(I935&gt;=3,"Good",IF(I935&gt;=2,"Average","Poor")))</f>
        <v>Excellent</v>
      </c>
      <c r="M935" s="3" t="str">
        <v>Dr.Mehta</v>
      </c>
      <c r="N935" s="3" t="str">
        <f>IF(H935 &gt; (G935*50%), "Yes", "No")</f>
        <v>No</v>
      </c>
      <c r="O935" s="16">
        <f>G935-H935</f>
        <v>7654</v>
      </c>
      <c r="P935" s="16">
        <f>SUMIFS(O935:O935,E935:E935,"Science",F935:F935,"Completed")</f>
        <v>0</v>
      </c>
      <c r="Q935" s="3" t="str">
        <f>IF(MONTH(E935)&gt;=7, YEAR(E935)&amp;"-"&amp;YEAR(E935)+1, YEAR(E935)-1&amp;"-"&amp;YEAR(E935))</f>
        <v>2022-2023</v>
      </c>
      <c r="R935" s="3"/>
      <c r="S935" s="3"/>
      <c r="T935" s="15">
        <f t="shared" ca="1" si="14"/>
        <v>1089</v>
      </c>
      <c r="U935" s="3"/>
    </row>
    <row r="936" spans="1:21" x14ac:dyDescent="0.35">
      <c r="A936" s="3" t="s">
        <v>1893</v>
      </c>
      <c r="B936" s="3" t="s">
        <v>1894</v>
      </c>
      <c r="C936" s="3" t="s">
        <v>25</v>
      </c>
      <c r="D936" s="3" t="s">
        <v>18</v>
      </c>
      <c r="E936" s="6">
        <v>45103</v>
      </c>
      <c r="F936" s="3" t="s">
        <v>14</v>
      </c>
      <c r="G936" s="3">
        <v>12177</v>
      </c>
      <c r="H936" s="3">
        <v>6105</v>
      </c>
      <c r="I936" s="3">
        <v>2.98</v>
      </c>
      <c r="J936" s="3">
        <v>55</v>
      </c>
      <c r="K936" s="15">
        <f ca="1">IF(F936="Enrolled",TODAY()-E936,"0")</f>
        <v>951</v>
      </c>
      <c r="L936" s="3" t="str">
        <f>IF(I936&gt;=3.5,"Excellent",IF(I936&gt;=3,"Good",IF(I936&gt;=2,"Average","Poor")))</f>
        <v>Average</v>
      </c>
      <c r="M936" s="3" t="str">
        <v>Dr.Roy</v>
      </c>
      <c r="N936" s="3" t="str">
        <f>IF(H936 &gt; (G936*50%), "Yes", "No")</f>
        <v>Yes</v>
      </c>
      <c r="O936" s="16">
        <f>G936-H936</f>
        <v>6072</v>
      </c>
      <c r="P936" s="16">
        <f>SUMIFS(O936:O936,E936:E936,"Science",F936:F936,"Completed")</f>
        <v>0</v>
      </c>
      <c r="Q936" s="3" t="str">
        <f>IF(MONTH(E936)&gt;=7, YEAR(E936)&amp;"-"&amp;YEAR(E936)+1, YEAR(E936)-1&amp;"-"&amp;YEAR(E936))</f>
        <v>2022-2023</v>
      </c>
      <c r="R936" s="3"/>
      <c r="S936" s="3"/>
      <c r="T936" s="15" t="str">
        <f t="shared" ca="1" si="14"/>
        <v>0</v>
      </c>
      <c r="U936" s="3"/>
    </row>
    <row r="937" spans="1:21" x14ac:dyDescent="0.35">
      <c r="A937" s="3" t="s">
        <v>1895</v>
      </c>
      <c r="B937" s="3" t="s">
        <v>1896</v>
      </c>
      <c r="C937" s="3" t="s">
        <v>36</v>
      </c>
      <c r="D937" s="3" t="s">
        <v>18</v>
      </c>
      <c r="E937" s="6">
        <v>44814</v>
      </c>
      <c r="F937" s="3" t="s">
        <v>14</v>
      </c>
      <c r="G937" s="3">
        <v>2016</v>
      </c>
      <c r="H937" s="3">
        <v>2170</v>
      </c>
      <c r="I937" s="3">
        <v>3.56</v>
      </c>
      <c r="J937" s="3">
        <v>41</v>
      </c>
      <c r="K937" s="15">
        <f ca="1">IF(F937="Enrolled",TODAY()-E937,"0")</f>
        <v>1240</v>
      </c>
      <c r="L937" s="3" t="str">
        <f>IF(I937&gt;=3.5,"Excellent",IF(I937&gt;=3,"Good",IF(I937&gt;=2,"Average","Poor")))</f>
        <v>Excellent</v>
      </c>
      <c r="M937" s="3" t="str">
        <v>Dr.Roy</v>
      </c>
      <c r="N937" s="3" t="str">
        <f>IF(H937 &gt; (G937*50%), "Yes", "No")</f>
        <v>Yes</v>
      </c>
      <c r="O937" s="16">
        <f>G937-H937</f>
        <v>-154</v>
      </c>
      <c r="P937" s="16">
        <f>SUMIFS(O937:O937,E937:E937,"Science",F937:F937,"Completed")</f>
        <v>0</v>
      </c>
      <c r="Q937" s="3" t="str">
        <f>IF(MONTH(E937)&gt;=7, YEAR(E937)&amp;"-"&amp;YEAR(E937)+1, YEAR(E937)-1&amp;"-"&amp;YEAR(E937))</f>
        <v>2022-2023</v>
      </c>
      <c r="R937" s="3"/>
      <c r="S937" s="3"/>
      <c r="T937" s="15" t="str">
        <f t="shared" ca="1" si="14"/>
        <v>0</v>
      </c>
      <c r="U937" s="3"/>
    </row>
    <row r="938" spans="1:21" x14ac:dyDescent="0.35">
      <c r="A938" s="3" t="s">
        <v>1897</v>
      </c>
      <c r="B938" s="3" t="s">
        <v>1898</v>
      </c>
      <c r="C938" s="3" t="s">
        <v>12</v>
      </c>
      <c r="D938" s="3" t="s">
        <v>62</v>
      </c>
      <c r="E938" s="6">
        <v>45026</v>
      </c>
      <c r="F938" s="3" t="s">
        <v>19</v>
      </c>
      <c r="G938" s="3">
        <v>11375</v>
      </c>
      <c r="H938" s="3">
        <v>6971</v>
      </c>
      <c r="I938" s="3">
        <v>3.52</v>
      </c>
      <c r="J938" s="3">
        <v>72</v>
      </c>
      <c r="K938" s="15" t="str">
        <f ca="1">IF(F938="Enrolled",TODAY()-E938,"0")</f>
        <v>0</v>
      </c>
      <c r="L938" s="3" t="str">
        <f>IF(I938&gt;=3.5,"Excellent",IF(I938&gt;=3,"Good",IF(I938&gt;=2,"Average","Poor")))</f>
        <v>Excellent</v>
      </c>
      <c r="M938" s="3" t="str">
        <v>Dr.Sinha</v>
      </c>
      <c r="N938" s="3" t="str">
        <f>IF(H938 &gt; (G938*50%), "Yes", "No")</f>
        <v>Yes</v>
      </c>
      <c r="O938" s="16">
        <f>G938-H938</f>
        <v>4404</v>
      </c>
      <c r="P938" s="16">
        <f>SUMIFS(O938:O938,E938:E938,"Science",F938:F938,"Completed")</f>
        <v>0</v>
      </c>
      <c r="Q938" s="3" t="str">
        <f>IF(MONTH(E938)&gt;=7, YEAR(E938)&amp;"-"&amp;YEAR(E938)+1, YEAR(E938)-1&amp;"-"&amp;YEAR(E938))</f>
        <v>2022-2023</v>
      </c>
      <c r="R938" s="3"/>
      <c r="S938" s="3"/>
      <c r="T938" s="15">
        <f t="shared" ca="1" si="14"/>
        <v>1028</v>
      </c>
      <c r="U938" s="3"/>
    </row>
    <row r="939" spans="1:21" x14ac:dyDescent="0.35">
      <c r="A939" s="3" t="s">
        <v>1899</v>
      </c>
      <c r="B939" s="3" t="s">
        <v>1900</v>
      </c>
      <c r="C939" s="3" t="s">
        <v>25</v>
      </c>
      <c r="D939" s="3" t="s">
        <v>13</v>
      </c>
      <c r="E939" s="6">
        <v>45252</v>
      </c>
      <c r="F939" s="3" t="s">
        <v>14</v>
      </c>
      <c r="G939" s="3">
        <v>2240</v>
      </c>
      <c r="H939" s="3">
        <v>359</v>
      </c>
      <c r="I939" s="3">
        <v>3.9</v>
      </c>
      <c r="J939" s="3">
        <v>48</v>
      </c>
      <c r="K939" s="15">
        <f ca="1">IF(F939="Enrolled",TODAY()-E939,"0")</f>
        <v>802</v>
      </c>
      <c r="L939" s="3" t="str">
        <f>IF(I939&gt;=3.5,"Excellent",IF(I939&gt;=3,"Good",IF(I939&gt;=2,"Average","Poor")))</f>
        <v>Excellent</v>
      </c>
      <c r="M939" s="3" t="str">
        <v>Dr.Mehta</v>
      </c>
      <c r="N939" s="3" t="str">
        <f>IF(H939 &gt; (G939*50%), "Yes", "No")</f>
        <v>No</v>
      </c>
      <c r="O939" s="16">
        <f>G939-H939</f>
        <v>1881</v>
      </c>
      <c r="P939" s="16">
        <f>SUMIFS(O939:O939,E939:E939,"Science",F939:F939,"Completed")</f>
        <v>0</v>
      </c>
      <c r="Q939" s="3" t="str">
        <f>IF(MONTH(E939)&gt;=7, YEAR(E939)&amp;"-"&amp;YEAR(E939)+1, YEAR(E939)-1&amp;"-"&amp;YEAR(E939))</f>
        <v>2023-2024</v>
      </c>
      <c r="R939" s="3"/>
      <c r="S939" s="3"/>
      <c r="T939" s="15" t="str">
        <f t="shared" ca="1" si="14"/>
        <v>0</v>
      </c>
      <c r="U939" s="3"/>
    </row>
    <row r="940" spans="1:21" x14ac:dyDescent="0.35">
      <c r="A940" s="3" t="s">
        <v>1901</v>
      </c>
      <c r="B940" s="3" t="s">
        <v>1902</v>
      </c>
      <c r="C940" s="3" t="s">
        <v>12</v>
      </c>
      <c r="D940" s="3" t="s">
        <v>31</v>
      </c>
      <c r="E940" s="6">
        <v>44738</v>
      </c>
      <c r="F940" s="3" t="s">
        <v>19</v>
      </c>
      <c r="G940" s="3">
        <v>6615</v>
      </c>
      <c r="H940" s="3">
        <v>6355</v>
      </c>
      <c r="I940" s="3">
        <v>3.2</v>
      </c>
      <c r="J940" s="3">
        <v>40</v>
      </c>
      <c r="K940" s="15" t="str">
        <f ca="1">IF(F940="Enrolled",TODAY()-E940,"0")</f>
        <v>0</v>
      </c>
      <c r="L940" s="3" t="str">
        <f>IF(I940&gt;=3.5,"Excellent",IF(I940&gt;=3,"Good",IF(I940&gt;=2,"Average","Poor")))</f>
        <v>Good</v>
      </c>
      <c r="M940" s="3" t="str">
        <v>Dr.Sharma</v>
      </c>
      <c r="N940" s="3" t="str">
        <f>IF(H940 &gt; (G940*50%), "Yes", "No")</f>
        <v>Yes</v>
      </c>
      <c r="O940" s="16">
        <f>G940-H940</f>
        <v>260</v>
      </c>
      <c r="P940" s="16">
        <f>SUMIFS(O940:O940,E940:E940,"Science",F940:F940,"Completed")</f>
        <v>0</v>
      </c>
      <c r="Q940" s="3" t="str">
        <f>IF(MONTH(E940)&gt;=7, YEAR(E940)&amp;"-"&amp;YEAR(E940)+1, YEAR(E940)-1&amp;"-"&amp;YEAR(E940))</f>
        <v>2021-2022</v>
      </c>
      <c r="R940" s="3"/>
      <c r="S940" s="3"/>
      <c r="T940" s="15">
        <f t="shared" ca="1" si="14"/>
        <v>1316</v>
      </c>
      <c r="U940" s="3"/>
    </row>
    <row r="941" spans="1:21" x14ac:dyDescent="0.35">
      <c r="A941" s="3" t="s">
        <v>1903</v>
      </c>
      <c r="B941" s="3" t="s">
        <v>1904</v>
      </c>
      <c r="C941" s="3" t="s">
        <v>17</v>
      </c>
      <c r="D941" s="3" t="s">
        <v>62</v>
      </c>
      <c r="E941" s="6">
        <v>44887</v>
      </c>
      <c r="F941" s="3" t="s">
        <v>14</v>
      </c>
      <c r="G941" s="3">
        <v>10054</v>
      </c>
      <c r="H941" s="3">
        <v>4005</v>
      </c>
      <c r="I941" s="3">
        <v>3.66</v>
      </c>
      <c r="J941" s="3">
        <v>61</v>
      </c>
      <c r="K941" s="15">
        <f ca="1">IF(F941="Enrolled",TODAY()-E941,"0")</f>
        <v>1167</v>
      </c>
      <c r="L941" s="3" t="str">
        <f>IF(I941&gt;=3.5,"Excellent",IF(I941&gt;=3,"Good",IF(I941&gt;=2,"Average","Poor")))</f>
        <v>Excellent</v>
      </c>
      <c r="M941" s="3" t="str">
        <v>Dr.Sinha</v>
      </c>
      <c r="N941" s="3" t="str">
        <f>IF(H941 &gt; (G941*50%), "Yes", "No")</f>
        <v>No</v>
      </c>
      <c r="O941" s="16">
        <f>G941-H941</f>
        <v>6049</v>
      </c>
      <c r="P941" s="16">
        <f>SUMIFS(O941:O941,E941:E941,"Science",F941:F941,"Completed")</f>
        <v>0</v>
      </c>
      <c r="Q941" s="3" t="str">
        <f>IF(MONTH(E941)&gt;=7, YEAR(E941)&amp;"-"&amp;YEAR(E941)+1, YEAR(E941)-1&amp;"-"&amp;YEAR(E941))</f>
        <v>2022-2023</v>
      </c>
      <c r="R941" s="3"/>
      <c r="S941" s="3"/>
      <c r="T941" s="15" t="str">
        <f t="shared" ca="1" si="14"/>
        <v>0</v>
      </c>
      <c r="U941" s="3"/>
    </row>
    <row r="942" spans="1:21" x14ac:dyDescent="0.35">
      <c r="A942" s="3" t="s">
        <v>1905</v>
      </c>
      <c r="B942" s="3" t="s">
        <v>1906</v>
      </c>
      <c r="C942" s="3" t="s">
        <v>54</v>
      </c>
      <c r="D942" s="3" t="s">
        <v>18</v>
      </c>
      <c r="E942" s="6">
        <v>45240</v>
      </c>
      <c r="F942" s="3" t="s">
        <v>14</v>
      </c>
      <c r="G942" s="3">
        <v>10579</v>
      </c>
      <c r="H942" s="3">
        <v>4678</v>
      </c>
      <c r="I942" s="3">
        <v>3.15</v>
      </c>
      <c r="J942" s="3">
        <v>43</v>
      </c>
      <c r="K942" s="15">
        <f ca="1">IF(F942="Enrolled",TODAY()-E942,"0")</f>
        <v>814</v>
      </c>
      <c r="L942" s="3" t="str">
        <f>IF(I942&gt;=3.5,"Excellent",IF(I942&gt;=3,"Good",IF(I942&gt;=2,"Average","Poor")))</f>
        <v>Good</v>
      </c>
      <c r="M942" s="3" t="str">
        <v>Dr.Roy</v>
      </c>
      <c r="N942" s="3" t="str">
        <f>IF(H942 &gt; (G942*50%), "Yes", "No")</f>
        <v>No</v>
      </c>
      <c r="O942" s="16">
        <f>G942-H942</f>
        <v>5901</v>
      </c>
      <c r="P942" s="16">
        <f>SUMIFS(O942:O942,E942:E942,"Science",F942:F942,"Completed")</f>
        <v>0</v>
      </c>
      <c r="Q942" s="3" t="str">
        <f>IF(MONTH(E942)&gt;=7, YEAR(E942)&amp;"-"&amp;YEAR(E942)+1, YEAR(E942)-1&amp;"-"&amp;YEAR(E942))</f>
        <v>2023-2024</v>
      </c>
      <c r="R942" s="3"/>
      <c r="S942" s="3"/>
      <c r="T942" s="15" t="str">
        <f t="shared" ca="1" si="14"/>
        <v>0</v>
      </c>
      <c r="U942" s="3"/>
    </row>
    <row r="943" spans="1:21" x14ac:dyDescent="0.35">
      <c r="A943" s="3" t="s">
        <v>1907</v>
      </c>
      <c r="B943" s="3" t="s">
        <v>1908</v>
      </c>
      <c r="C943" s="3" t="s">
        <v>54</v>
      </c>
      <c r="D943" s="3" t="s">
        <v>13</v>
      </c>
      <c r="E943" s="6">
        <v>44996</v>
      </c>
      <c r="F943" s="3" t="s">
        <v>14</v>
      </c>
      <c r="G943" s="3">
        <v>2260</v>
      </c>
      <c r="H943" s="3">
        <v>2232</v>
      </c>
      <c r="I943" s="3">
        <v>2.94</v>
      </c>
      <c r="J943" s="3">
        <v>35</v>
      </c>
      <c r="K943" s="15">
        <f ca="1">IF(F943="Enrolled",TODAY()-E943,"0")</f>
        <v>1058</v>
      </c>
      <c r="L943" s="3" t="str">
        <f>IF(I943&gt;=3.5,"Excellent",IF(I943&gt;=3,"Good",IF(I943&gt;=2,"Average","Poor")))</f>
        <v>Average</v>
      </c>
      <c r="M943" s="3" t="str">
        <v>Dr.Mehta</v>
      </c>
      <c r="N943" s="3" t="str">
        <f>IF(H943 &gt; (G943*50%), "Yes", "No")</f>
        <v>Yes</v>
      </c>
      <c r="O943" s="16">
        <f>G943-H943</f>
        <v>28</v>
      </c>
      <c r="P943" s="16">
        <f>SUMIFS(O943:O943,E943:E943,"Science",F943:F943,"Completed")</f>
        <v>0</v>
      </c>
      <c r="Q943" s="3" t="str">
        <f>IF(MONTH(E943)&gt;=7, YEAR(E943)&amp;"-"&amp;YEAR(E943)+1, YEAR(E943)-1&amp;"-"&amp;YEAR(E943))</f>
        <v>2022-2023</v>
      </c>
      <c r="R943" s="3"/>
      <c r="S943" s="3"/>
      <c r="T943" s="15" t="str">
        <f t="shared" ca="1" si="14"/>
        <v>0</v>
      </c>
      <c r="U943" s="3"/>
    </row>
    <row r="944" spans="1:21" x14ac:dyDescent="0.35">
      <c r="A944" s="3" t="s">
        <v>1909</v>
      </c>
      <c r="B944" s="3" t="s">
        <v>1910</v>
      </c>
      <c r="C944" s="3" t="s">
        <v>54</v>
      </c>
      <c r="D944" s="3" t="s">
        <v>18</v>
      </c>
      <c r="E944" s="6">
        <v>45373</v>
      </c>
      <c r="F944" s="3" t="s">
        <v>19</v>
      </c>
      <c r="G944" s="3">
        <v>7638</v>
      </c>
      <c r="H944" s="3">
        <v>5209</v>
      </c>
      <c r="I944" s="3">
        <v>3.8</v>
      </c>
      <c r="J944" s="3">
        <v>21</v>
      </c>
      <c r="K944" s="15" t="str">
        <f ca="1">IF(F944="Enrolled",TODAY()-E944,"0")</f>
        <v>0</v>
      </c>
      <c r="L944" s="3" t="str">
        <f>IF(I944&gt;=3.5,"Excellent",IF(I944&gt;=3,"Good",IF(I944&gt;=2,"Average","Poor")))</f>
        <v>Excellent</v>
      </c>
      <c r="M944" s="3" t="str">
        <v>Dr.Roy</v>
      </c>
      <c r="N944" s="3" t="str">
        <f>IF(H944 &gt; (G944*50%), "Yes", "No")</f>
        <v>Yes</v>
      </c>
      <c r="O944" s="16">
        <f>G944-H944</f>
        <v>2429</v>
      </c>
      <c r="P944" s="16">
        <f>SUMIFS(O944:O944,E944:E944,"Science",F944:F944,"Completed")</f>
        <v>0</v>
      </c>
      <c r="Q944" s="3" t="str">
        <f>IF(MONTH(E944)&gt;=7, YEAR(E944)&amp;"-"&amp;YEAR(E944)+1, YEAR(E944)-1&amp;"-"&amp;YEAR(E944))</f>
        <v>2023-2024</v>
      </c>
      <c r="R944" s="3"/>
      <c r="S944" s="3"/>
      <c r="T944" s="15">
        <f t="shared" ca="1" si="14"/>
        <v>681</v>
      </c>
      <c r="U944" s="3"/>
    </row>
    <row r="945" spans="1:21" x14ac:dyDescent="0.35">
      <c r="A945" s="3" t="s">
        <v>1911</v>
      </c>
      <c r="B945" s="3" t="s">
        <v>1912</v>
      </c>
      <c r="C945" s="3" t="s">
        <v>22</v>
      </c>
      <c r="D945" s="3" t="s">
        <v>62</v>
      </c>
      <c r="E945" s="6">
        <v>45258</v>
      </c>
      <c r="F945" s="3" t="s">
        <v>14</v>
      </c>
      <c r="G945" s="3">
        <v>3557</v>
      </c>
      <c r="H945" s="3">
        <v>2458</v>
      </c>
      <c r="I945" s="3">
        <v>2.95</v>
      </c>
      <c r="J945" s="3">
        <v>116</v>
      </c>
      <c r="K945" s="15">
        <f ca="1">IF(F945="Enrolled",TODAY()-E945,"0")</f>
        <v>796</v>
      </c>
      <c r="L945" s="3" t="str">
        <f>IF(I945&gt;=3.5,"Excellent",IF(I945&gt;=3,"Good",IF(I945&gt;=2,"Average","Poor")))</f>
        <v>Average</v>
      </c>
      <c r="M945" s="3" t="str">
        <v>Dr.Sinha</v>
      </c>
      <c r="N945" s="3" t="str">
        <f>IF(H945 &gt; (G945*50%), "Yes", "No")</f>
        <v>Yes</v>
      </c>
      <c r="O945" s="16">
        <f>G945-H945</f>
        <v>1099</v>
      </c>
      <c r="P945" s="16">
        <f>SUMIFS(O945:O945,E945:E945,"Science",F945:F945,"Completed")</f>
        <v>0</v>
      </c>
      <c r="Q945" s="3" t="str">
        <f>IF(MONTH(E945)&gt;=7, YEAR(E945)&amp;"-"&amp;YEAR(E945)+1, YEAR(E945)-1&amp;"-"&amp;YEAR(E945))</f>
        <v>2023-2024</v>
      </c>
      <c r="R945" s="3"/>
      <c r="S945" s="3"/>
      <c r="T945" s="15" t="str">
        <f t="shared" ca="1" si="14"/>
        <v>0</v>
      </c>
      <c r="U945" s="3"/>
    </row>
    <row r="946" spans="1:21" x14ac:dyDescent="0.35">
      <c r="A946" s="3" t="s">
        <v>1913</v>
      </c>
      <c r="B946" s="3" t="s">
        <v>1914</v>
      </c>
      <c r="C946" s="3" t="s">
        <v>28</v>
      </c>
      <c r="D946" s="3" t="s">
        <v>13</v>
      </c>
      <c r="E946" s="6">
        <v>44769</v>
      </c>
      <c r="F946" s="3" t="s">
        <v>14</v>
      </c>
      <c r="G946" s="3">
        <v>4417</v>
      </c>
      <c r="H946" s="3">
        <v>1293</v>
      </c>
      <c r="I946" s="3">
        <v>3.32</v>
      </c>
      <c r="J946" s="3">
        <v>92</v>
      </c>
      <c r="K946" s="15">
        <f ca="1">IF(F946="Enrolled",TODAY()-E946,"0")</f>
        <v>1285</v>
      </c>
      <c r="L946" s="3" t="str">
        <f>IF(I946&gt;=3.5,"Excellent",IF(I946&gt;=3,"Good",IF(I946&gt;=2,"Average","Poor")))</f>
        <v>Good</v>
      </c>
      <c r="M946" s="3" t="str">
        <v>Dr.Mehta</v>
      </c>
      <c r="N946" s="3" t="str">
        <f>IF(H946 &gt; (G946*50%), "Yes", "No")</f>
        <v>No</v>
      </c>
      <c r="O946" s="16">
        <f>G946-H946</f>
        <v>3124</v>
      </c>
      <c r="P946" s="16">
        <f>SUMIFS(O946:O946,E946:E946,"Science",F946:F946,"Completed")</f>
        <v>0</v>
      </c>
      <c r="Q946" s="3" t="str">
        <f>IF(MONTH(E946)&gt;=7, YEAR(E946)&amp;"-"&amp;YEAR(E946)+1, YEAR(E946)-1&amp;"-"&amp;YEAR(E946))</f>
        <v>2022-2023</v>
      </c>
      <c r="R946" s="3"/>
      <c r="S946" s="3"/>
      <c r="T946" s="15" t="str">
        <f t="shared" ca="1" si="14"/>
        <v>0</v>
      </c>
      <c r="U946" s="3"/>
    </row>
    <row r="947" spans="1:21" x14ac:dyDescent="0.35">
      <c r="A947" s="3" t="s">
        <v>1915</v>
      </c>
      <c r="B947" s="3" t="s">
        <v>1916</v>
      </c>
      <c r="C947" s="3" t="s">
        <v>17</v>
      </c>
      <c r="D947" s="3" t="s">
        <v>18</v>
      </c>
      <c r="E947" s="6">
        <v>44760</v>
      </c>
      <c r="F947" s="3" t="s">
        <v>14</v>
      </c>
      <c r="G947" s="3">
        <v>12066</v>
      </c>
      <c r="H947" s="3">
        <v>8134</v>
      </c>
      <c r="I947" s="3">
        <v>3.63</v>
      </c>
      <c r="J947" s="3">
        <v>103</v>
      </c>
      <c r="K947" s="15">
        <f ca="1">IF(F947="Enrolled",TODAY()-E947,"0")</f>
        <v>1294</v>
      </c>
      <c r="L947" s="3" t="str">
        <f>IF(I947&gt;=3.5,"Excellent",IF(I947&gt;=3,"Good",IF(I947&gt;=2,"Average","Poor")))</f>
        <v>Excellent</v>
      </c>
      <c r="M947" s="3" t="str">
        <v>Dr.Roy</v>
      </c>
      <c r="N947" s="3" t="str">
        <f>IF(H947 &gt; (G947*50%), "Yes", "No")</f>
        <v>Yes</v>
      </c>
      <c r="O947" s="16">
        <f>G947-H947</f>
        <v>3932</v>
      </c>
      <c r="P947" s="16">
        <f>SUMIFS(O947:O947,E947:E947,"Science",F947:F947,"Completed")</f>
        <v>0</v>
      </c>
      <c r="Q947" s="3" t="str">
        <f>IF(MONTH(E947)&gt;=7, YEAR(E947)&amp;"-"&amp;YEAR(E947)+1, YEAR(E947)-1&amp;"-"&amp;YEAR(E947))</f>
        <v>2022-2023</v>
      </c>
      <c r="R947" s="3"/>
      <c r="S947" s="3"/>
      <c r="T947" s="15" t="str">
        <f t="shared" ca="1" si="14"/>
        <v>0</v>
      </c>
      <c r="U947" s="3"/>
    </row>
    <row r="948" spans="1:21" x14ac:dyDescent="0.35">
      <c r="A948" s="3" t="s">
        <v>1917</v>
      </c>
      <c r="B948" s="3" t="s">
        <v>1918</v>
      </c>
      <c r="C948" s="3" t="s">
        <v>57</v>
      </c>
      <c r="D948" s="3" t="s">
        <v>31</v>
      </c>
      <c r="E948" s="6">
        <v>45315</v>
      </c>
      <c r="F948" s="3" t="s">
        <v>14</v>
      </c>
      <c r="G948" s="3">
        <v>2266</v>
      </c>
      <c r="H948" s="3">
        <v>3921</v>
      </c>
      <c r="I948" s="3">
        <v>3.84</v>
      </c>
      <c r="J948" s="3">
        <v>3</v>
      </c>
      <c r="K948" s="15">
        <f ca="1">IF(F948="Enrolled",TODAY()-E948,"0")</f>
        <v>739</v>
      </c>
      <c r="L948" s="3" t="str">
        <f>IF(I948&gt;=3.5,"Excellent",IF(I948&gt;=3,"Good",IF(I948&gt;=2,"Average","Poor")))</f>
        <v>Excellent</v>
      </c>
      <c r="M948" s="3" t="str">
        <v>Dr.Sharma</v>
      </c>
      <c r="N948" s="3" t="str">
        <f>IF(H948 &gt; (G948*50%), "Yes", "No")</f>
        <v>Yes</v>
      </c>
      <c r="O948" s="16">
        <f>G948-H948</f>
        <v>-1655</v>
      </c>
      <c r="P948" s="16">
        <f>SUMIFS(O948:O948,E948:E948,"Science",F948:F948,"Completed")</f>
        <v>0</v>
      </c>
      <c r="Q948" s="3" t="str">
        <f>IF(MONTH(E948)&gt;=7, YEAR(E948)&amp;"-"&amp;YEAR(E948)+1, YEAR(E948)-1&amp;"-"&amp;YEAR(E948))</f>
        <v>2023-2024</v>
      </c>
      <c r="R948" s="3"/>
      <c r="S948" s="3"/>
      <c r="T948" s="15" t="str">
        <f t="shared" ca="1" si="14"/>
        <v>0</v>
      </c>
      <c r="U948" s="3"/>
    </row>
    <row r="949" spans="1:21" x14ac:dyDescent="0.35">
      <c r="A949" s="3" t="s">
        <v>1919</v>
      </c>
      <c r="B949" s="3" t="s">
        <v>1920</v>
      </c>
      <c r="C949" s="3" t="s">
        <v>36</v>
      </c>
      <c r="D949" s="3" t="s">
        <v>31</v>
      </c>
      <c r="E949" s="6">
        <v>45389</v>
      </c>
      <c r="F949" s="3" t="s">
        <v>14</v>
      </c>
      <c r="G949" s="3">
        <v>2363</v>
      </c>
      <c r="H949" s="3">
        <v>3593</v>
      </c>
      <c r="I949" s="3">
        <v>2.56</v>
      </c>
      <c r="J949" s="3">
        <v>119</v>
      </c>
      <c r="K949" s="15">
        <f ca="1">IF(F949="Enrolled",TODAY()-E949,"0")</f>
        <v>665</v>
      </c>
      <c r="L949" s="3" t="str">
        <f>IF(I949&gt;=3.5,"Excellent",IF(I949&gt;=3,"Good",IF(I949&gt;=2,"Average","Poor")))</f>
        <v>Average</v>
      </c>
      <c r="M949" s="3" t="str">
        <v>Dr.Sharma</v>
      </c>
      <c r="N949" s="3" t="str">
        <f>IF(H949 &gt; (G949*50%), "Yes", "No")</f>
        <v>Yes</v>
      </c>
      <c r="O949" s="16">
        <f>G949-H949</f>
        <v>-1230</v>
      </c>
      <c r="P949" s="16">
        <f>SUMIFS(O949:O949,E949:E949,"Science",F949:F949,"Completed")</f>
        <v>0</v>
      </c>
      <c r="Q949" s="3" t="str">
        <f>IF(MONTH(E949)&gt;=7, YEAR(E949)&amp;"-"&amp;YEAR(E949)+1, YEAR(E949)-1&amp;"-"&amp;YEAR(E949))</f>
        <v>2023-2024</v>
      </c>
      <c r="R949" s="3"/>
      <c r="S949" s="3"/>
      <c r="T949" s="15" t="str">
        <f t="shared" ca="1" si="14"/>
        <v>0</v>
      </c>
      <c r="U949" s="3"/>
    </row>
    <row r="950" spans="1:21" x14ac:dyDescent="0.35">
      <c r="A950" s="3" t="s">
        <v>1921</v>
      </c>
      <c r="B950" s="3" t="s">
        <v>1922</v>
      </c>
      <c r="C950" s="3" t="s">
        <v>12</v>
      </c>
      <c r="D950" s="3" t="s">
        <v>18</v>
      </c>
      <c r="E950" s="6">
        <v>44678</v>
      </c>
      <c r="F950" s="3" t="s">
        <v>39</v>
      </c>
      <c r="G950" s="3">
        <v>2336</v>
      </c>
      <c r="H950" s="3">
        <v>7138</v>
      </c>
      <c r="I950" s="3">
        <v>3.58</v>
      </c>
      <c r="J950" s="3">
        <v>94</v>
      </c>
      <c r="K950" s="15" t="str">
        <f ca="1">IF(F950="Enrolled",TODAY()-E950,"0")</f>
        <v>0</v>
      </c>
      <c r="L950" s="3" t="str">
        <f>IF(I950&gt;=3.5,"Excellent",IF(I950&gt;=3,"Good",IF(I950&gt;=2,"Average","Poor")))</f>
        <v>Excellent</v>
      </c>
      <c r="M950" s="3" t="str">
        <v>Dr.Roy</v>
      </c>
      <c r="N950" s="3" t="str">
        <f>IF(H950 &gt; (G950*50%), "Yes", "No")</f>
        <v>Yes</v>
      </c>
      <c r="O950" s="16">
        <f>G950-H950</f>
        <v>-4802</v>
      </c>
      <c r="P950" s="16">
        <f>SUMIFS(O950:O950,E950:E950,"Science",F950:F950,"Completed")</f>
        <v>0</v>
      </c>
      <c r="Q950" s="3" t="str">
        <f>IF(MONTH(E950)&gt;=7, YEAR(E950)&amp;"-"&amp;YEAR(E950)+1, YEAR(E950)-1&amp;"-"&amp;YEAR(E950))</f>
        <v>2021-2022</v>
      </c>
      <c r="R950" s="3"/>
      <c r="S950" s="3"/>
      <c r="T950" s="15" t="str">
        <f t="shared" ca="1" si="14"/>
        <v>0</v>
      </c>
      <c r="U950" s="3"/>
    </row>
    <row r="951" spans="1:21" x14ac:dyDescent="0.35">
      <c r="A951" s="3" t="s">
        <v>1923</v>
      </c>
      <c r="B951" s="3" t="s">
        <v>1924</v>
      </c>
      <c r="C951" s="3" t="s">
        <v>57</v>
      </c>
      <c r="D951" s="3" t="s">
        <v>31</v>
      </c>
      <c r="E951" s="6">
        <v>45006</v>
      </c>
      <c r="F951" s="3" t="s">
        <v>19</v>
      </c>
      <c r="G951" s="3">
        <v>14712</v>
      </c>
      <c r="H951" s="3">
        <v>9626</v>
      </c>
      <c r="I951" s="3">
        <v>2.92</v>
      </c>
      <c r="J951" s="3">
        <v>18</v>
      </c>
      <c r="K951" s="15" t="str">
        <f ca="1">IF(F951="Enrolled",TODAY()-E951,"0")</f>
        <v>0</v>
      </c>
      <c r="L951" s="3" t="str">
        <f>IF(I951&gt;=3.5,"Excellent",IF(I951&gt;=3,"Good",IF(I951&gt;=2,"Average","Poor")))</f>
        <v>Average</v>
      </c>
      <c r="M951" s="3" t="str">
        <v>Dr.Sharma</v>
      </c>
      <c r="N951" s="3" t="str">
        <f>IF(H951 &gt; (G951*50%), "Yes", "No")</f>
        <v>Yes</v>
      </c>
      <c r="O951" s="16">
        <f>G951-H951</f>
        <v>5086</v>
      </c>
      <c r="P951" s="16">
        <f>SUMIFS(O951:O951,E951:E951,"Science",F951:F951,"Completed")</f>
        <v>0</v>
      </c>
      <c r="Q951" s="3" t="str">
        <f>IF(MONTH(E951)&gt;=7, YEAR(E951)&amp;"-"&amp;YEAR(E951)+1, YEAR(E951)-1&amp;"-"&amp;YEAR(E951))</f>
        <v>2022-2023</v>
      </c>
      <c r="R951" s="3"/>
      <c r="S951" s="3"/>
      <c r="T951" s="15">
        <f t="shared" ca="1" si="14"/>
        <v>1048</v>
      </c>
      <c r="U951" s="3"/>
    </row>
    <row r="952" spans="1:21" x14ac:dyDescent="0.35">
      <c r="A952" s="3" t="s">
        <v>1925</v>
      </c>
      <c r="B952" s="3" t="s">
        <v>1926</v>
      </c>
      <c r="C952" s="3" t="s">
        <v>12</v>
      </c>
      <c r="D952" s="3" t="s">
        <v>18</v>
      </c>
      <c r="E952" s="6">
        <v>44657</v>
      </c>
      <c r="F952" s="3" t="s">
        <v>19</v>
      </c>
      <c r="G952" s="3">
        <v>5822</v>
      </c>
      <c r="H952" s="3">
        <v>3156</v>
      </c>
      <c r="I952" s="3">
        <v>2.89</v>
      </c>
      <c r="J952" s="3">
        <v>53</v>
      </c>
      <c r="K952" s="15" t="str">
        <f ca="1">IF(F952="Enrolled",TODAY()-E952,"0")</f>
        <v>0</v>
      </c>
      <c r="L952" s="3" t="str">
        <f>IF(I952&gt;=3.5,"Excellent",IF(I952&gt;=3,"Good",IF(I952&gt;=2,"Average","Poor")))</f>
        <v>Average</v>
      </c>
      <c r="M952" s="3" t="str">
        <v>Dr.Roy</v>
      </c>
      <c r="N952" s="3" t="str">
        <f>IF(H952 &gt; (G952*50%), "Yes", "No")</f>
        <v>Yes</v>
      </c>
      <c r="O952" s="16">
        <f>G952-H952</f>
        <v>2666</v>
      </c>
      <c r="P952" s="16">
        <f>SUMIFS(O952:O952,E952:E952,"Science",F952:F952,"Completed")</f>
        <v>0</v>
      </c>
      <c r="Q952" s="3" t="str">
        <f>IF(MONTH(E952)&gt;=7, YEAR(E952)&amp;"-"&amp;YEAR(E952)+1, YEAR(E952)-1&amp;"-"&amp;YEAR(E952))</f>
        <v>2021-2022</v>
      </c>
      <c r="R952" s="3"/>
      <c r="S952" s="3"/>
      <c r="T952" s="15">
        <f t="shared" ca="1" si="14"/>
        <v>1397</v>
      </c>
      <c r="U952" s="3"/>
    </row>
    <row r="953" spans="1:21" x14ac:dyDescent="0.35">
      <c r="A953" s="3" t="s">
        <v>1927</v>
      </c>
      <c r="B953" s="3" t="s">
        <v>1928</v>
      </c>
      <c r="C953" s="3" t="s">
        <v>22</v>
      </c>
      <c r="D953" s="3" t="s">
        <v>31</v>
      </c>
      <c r="E953" s="6">
        <v>45407</v>
      </c>
      <c r="F953" s="3" t="s">
        <v>19</v>
      </c>
      <c r="G953" s="3">
        <v>13010</v>
      </c>
      <c r="H953" s="3">
        <v>5677</v>
      </c>
      <c r="I953" s="3">
        <v>2.0299999999999998</v>
      </c>
      <c r="J953" s="3">
        <v>72</v>
      </c>
      <c r="K953" s="15" t="str">
        <f ca="1">IF(F953="Enrolled",TODAY()-E953,"0")</f>
        <v>0</v>
      </c>
      <c r="L953" s="3" t="str">
        <f>IF(I953&gt;=3.5,"Excellent",IF(I953&gt;=3,"Good",IF(I953&gt;=2,"Average","Poor")))</f>
        <v>Average</v>
      </c>
      <c r="M953" s="3" t="str">
        <v>Dr.Sharma</v>
      </c>
      <c r="N953" s="3" t="str">
        <f>IF(H953 &gt; (G953*50%), "Yes", "No")</f>
        <v>No</v>
      </c>
      <c r="O953" s="16">
        <f>G953-H953</f>
        <v>7333</v>
      </c>
      <c r="P953" s="16">
        <f>SUMIFS(O953:O953,E953:E953,"Science",F953:F953,"Completed")</f>
        <v>0</v>
      </c>
      <c r="Q953" s="3" t="str">
        <f>IF(MONTH(E953)&gt;=7, YEAR(E953)&amp;"-"&amp;YEAR(E953)+1, YEAR(E953)-1&amp;"-"&amp;YEAR(E953))</f>
        <v>2023-2024</v>
      </c>
      <c r="R953" s="3"/>
      <c r="S953" s="3"/>
      <c r="T953" s="15">
        <f t="shared" ca="1" si="14"/>
        <v>647</v>
      </c>
      <c r="U953" s="3"/>
    </row>
    <row r="954" spans="1:21" x14ac:dyDescent="0.35">
      <c r="A954" s="3" t="s">
        <v>1929</v>
      </c>
      <c r="B954" s="3" t="s">
        <v>1930</v>
      </c>
      <c r="C954" s="3" t="s">
        <v>17</v>
      </c>
      <c r="D954" s="3" t="s">
        <v>13</v>
      </c>
      <c r="E954" s="6">
        <v>45414</v>
      </c>
      <c r="F954" s="3" t="s">
        <v>19</v>
      </c>
      <c r="G954" s="3">
        <v>6167</v>
      </c>
      <c r="H954" s="3">
        <v>6095</v>
      </c>
      <c r="I954" s="3">
        <v>2.99</v>
      </c>
      <c r="J954" s="3">
        <v>94</v>
      </c>
      <c r="K954" s="15" t="str">
        <f ca="1">IF(F954="Enrolled",TODAY()-E954,"0")</f>
        <v>0</v>
      </c>
      <c r="L954" s="3" t="str">
        <f>IF(I954&gt;=3.5,"Excellent",IF(I954&gt;=3,"Good",IF(I954&gt;=2,"Average","Poor")))</f>
        <v>Average</v>
      </c>
      <c r="M954" s="3" t="str">
        <v>Dr.Mehta</v>
      </c>
      <c r="N954" s="3" t="str">
        <f>IF(H954 &gt; (G954*50%), "Yes", "No")</f>
        <v>Yes</v>
      </c>
      <c r="O954" s="16">
        <f>G954-H954</f>
        <v>72</v>
      </c>
      <c r="P954" s="16">
        <f>SUMIFS(O954:O954,E954:E954,"Science",F954:F954,"Completed")</f>
        <v>0</v>
      </c>
      <c r="Q954" s="3" t="str">
        <f>IF(MONTH(E954)&gt;=7, YEAR(E954)&amp;"-"&amp;YEAR(E954)+1, YEAR(E954)-1&amp;"-"&amp;YEAR(E954))</f>
        <v>2023-2024</v>
      </c>
      <c r="R954" s="3"/>
      <c r="S954" s="3"/>
      <c r="T954" s="15">
        <f t="shared" ca="1" si="14"/>
        <v>640</v>
      </c>
      <c r="U954" s="3"/>
    </row>
    <row r="955" spans="1:21" x14ac:dyDescent="0.35">
      <c r="A955" s="3" t="s">
        <v>1931</v>
      </c>
      <c r="B955" s="3" t="s">
        <v>1932</v>
      </c>
      <c r="C955" s="3" t="s">
        <v>57</v>
      </c>
      <c r="D955" s="3" t="s">
        <v>31</v>
      </c>
      <c r="E955" s="6">
        <v>44688</v>
      </c>
      <c r="F955" s="3" t="s">
        <v>19</v>
      </c>
      <c r="G955" s="3">
        <v>3815</v>
      </c>
      <c r="H955" s="3">
        <v>2083</v>
      </c>
      <c r="I955" s="3">
        <v>3.66</v>
      </c>
      <c r="J955" s="3">
        <v>92</v>
      </c>
      <c r="K955" s="15" t="str">
        <f ca="1">IF(F955="Enrolled",TODAY()-E955,"0")</f>
        <v>0</v>
      </c>
      <c r="L955" s="3" t="str">
        <f>IF(I955&gt;=3.5,"Excellent",IF(I955&gt;=3,"Good",IF(I955&gt;=2,"Average","Poor")))</f>
        <v>Excellent</v>
      </c>
      <c r="M955" s="3" t="str">
        <v>Dr.Sharma</v>
      </c>
      <c r="N955" s="3" t="str">
        <f>IF(H955 &gt; (G955*50%), "Yes", "No")</f>
        <v>Yes</v>
      </c>
      <c r="O955" s="16">
        <f>G955-H955</f>
        <v>1732</v>
      </c>
      <c r="P955" s="16">
        <f>SUMIFS(O955:O955,E955:E955,"Science",F955:F955,"Completed")</f>
        <v>0</v>
      </c>
      <c r="Q955" s="3" t="str">
        <f>IF(MONTH(E955)&gt;=7, YEAR(E955)&amp;"-"&amp;YEAR(E955)+1, YEAR(E955)-1&amp;"-"&amp;YEAR(E955))</f>
        <v>2021-2022</v>
      </c>
      <c r="R955" s="3"/>
      <c r="S955" s="3"/>
      <c r="T955" s="15">
        <f t="shared" ca="1" si="14"/>
        <v>1366</v>
      </c>
      <c r="U955" s="3"/>
    </row>
    <row r="956" spans="1:21" x14ac:dyDescent="0.35">
      <c r="A956" s="3" t="s">
        <v>1933</v>
      </c>
      <c r="B956" s="3" t="s">
        <v>1934</v>
      </c>
      <c r="C956" s="3" t="s">
        <v>12</v>
      </c>
      <c r="D956" s="3" t="s">
        <v>62</v>
      </c>
      <c r="E956" s="6">
        <v>44730</v>
      </c>
      <c r="F956" s="3" t="s">
        <v>19</v>
      </c>
      <c r="G956" s="3">
        <v>6719</v>
      </c>
      <c r="H956" s="3">
        <v>7812</v>
      </c>
      <c r="I956" s="3">
        <v>3.91</v>
      </c>
      <c r="J956" s="3">
        <v>116</v>
      </c>
      <c r="K956" s="15" t="str">
        <f ca="1">IF(F956="Enrolled",TODAY()-E956,"0")</f>
        <v>0</v>
      </c>
      <c r="L956" s="3" t="str">
        <f>IF(I956&gt;=3.5,"Excellent",IF(I956&gt;=3,"Good",IF(I956&gt;=2,"Average","Poor")))</f>
        <v>Excellent</v>
      </c>
      <c r="M956" s="3" t="str">
        <v>Dr.Sinha</v>
      </c>
      <c r="N956" s="3" t="str">
        <f>IF(H956 &gt; (G956*50%), "Yes", "No")</f>
        <v>Yes</v>
      </c>
      <c r="O956" s="16">
        <f>G956-H956</f>
        <v>-1093</v>
      </c>
      <c r="P956" s="16">
        <f>SUMIFS(O956:O956,E956:E956,"Science",F956:F956,"Completed")</f>
        <v>0</v>
      </c>
      <c r="Q956" s="3" t="str">
        <f>IF(MONTH(E956)&gt;=7, YEAR(E956)&amp;"-"&amp;YEAR(E956)+1, YEAR(E956)-1&amp;"-"&amp;YEAR(E956))</f>
        <v>2021-2022</v>
      </c>
      <c r="R956" s="3"/>
      <c r="S956" s="3"/>
      <c r="T956" s="15">
        <f t="shared" ca="1" si="14"/>
        <v>1324</v>
      </c>
      <c r="U956" s="3"/>
    </row>
    <row r="957" spans="1:21" x14ac:dyDescent="0.35">
      <c r="A957" s="3" t="s">
        <v>1935</v>
      </c>
      <c r="B957" s="3" t="s">
        <v>1936</v>
      </c>
      <c r="C957" s="3" t="s">
        <v>25</v>
      </c>
      <c r="D957" s="3" t="s">
        <v>18</v>
      </c>
      <c r="E957" s="6">
        <v>45252</v>
      </c>
      <c r="F957" s="3" t="s">
        <v>14</v>
      </c>
      <c r="G957" s="3">
        <v>4490</v>
      </c>
      <c r="H957" s="3">
        <v>1702</v>
      </c>
      <c r="I957" s="3">
        <v>2.7</v>
      </c>
      <c r="J957" s="3">
        <v>94</v>
      </c>
      <c r="K957" s="15">
        <f ca="1">IF(F957="Enrolled",TODAY()-E957,"0")</f>
        <v>802</v>
      </c>
      <c r="L957" s="3" t="str">
        <f>IF(I957&gt;=3.5,"Excellent",IF(I957&gt;=3,"Good",IF(I957&gt;=2,"Average","Poor")))</f>
        <v>Average</v>
      </c>
      <c r="M957" s="3" t="str">
        <v>Dr.Roy</v>
      </c>
      <c r="N957" s="3" t="str">
        <f>IF(H957 &gt; (G957*50%), "Yes", "No")</f>
        <v>No</v>
      </c>
      <c r="O957" s="16">
        <f>G957-H957</f>
        <v>2788</v>
      </c>
      <c r="P957" s="16">
        <f>SUMIFS(O957:O957,E957:E957,"Science",F957:F957,"Completed")</f>
        <v>0</v>
      </c>
      <c r="Q957" s="3" t="str">
        <f>IF(MONTH(E957)&gt;=7, YEAR(E957)&amp;"-"&amp;YEAR(E957)+1, YEAR(E957)-1&amp;"-"&amp;YEAR(E957))</f>
        <v>2023-2024</v>
      </c>
      <c r="R957" s="3"/>
      <c r="S957" s="3"/>
      <c r="T957" s="15" t="str">
        <f t="shared" ca="1" si="14"/>
        <v>0</v>
      </c>
      <c r="U957" s="3"/>
    </row>
    <row r="958" spans="1:21" x14ac:dyDescent="0.35">
      <c r="A958" s="3" t="s">
        <v>1937</v>
      </c>
      <c r="B958" s="3" t="s">
        <v>1938</v>
      </c>
      <c r="C958" s="3" t="s">
        <v>17</v>
      </c>
      <c r="D958" s="3" t="s">
        <v>18</v>
      </c>
      <c r="E958" s="6">
        <v>45110</v>
      </c>
      <c r="F958" s="3" t="s">
        <v>19</v>
      </c>
      <c r="G958" s="3">
        <v>9668</v>
      </c>
      <c r="H958" s="3">
        <v>1839</v>
      </c>
      <c r="I958" s="3">
        <v>2.5099999999999998</v>
      </c>
      <c r="J958" s="3">
        <v>85</v>
      </c>
      <c r="K958" s="15" t="str">
        <f ca="1">IF(F958="Enrolled",TODAY()-E958,"0")</f>
        <v>0</v>
      </c>
      <c r="L958" s="3" t="str">
        <f>IF(I958&gt;=3.5,"Excellent",IF(I958&gt;=3,"Good",IF(I958&gt;=2,"Average","Poor")))</f>
        <v>Average</v>
      </c>
      <c r="M958" s="3" t="str">
        <v>Dr.Roy</v>
      </c>
      <c r="N958" s="3" t="str">
        <f>IF(H958 &gt; (G958*50%), "Yes", "No")</f>
        <v>No</v>
      </c>
      <c r="O958" s="16">
        <f>G958-H958</f>
        <v>7829</v>
      </c>
      <c r="P958" s="16">
        <f>SUMIFS(O958:O958,E958:E958,"Science",F958:F958,"Completed")</f>
        <v>0</v>
      </c>
      <c r="Q958" s="3" t="str">
        <f>IF(MONTH(E958)&gt;=7, YEAR(E958)&amp;"-"&amp;YEAR(E958)+1, YEAR(E958)-1&amp;"-"&amp;YEAR(E958))</f>
        <v>2023-2024</v>
      </c>
      <c r="R958" s="3"/>
      <c r="S958" s="3"/>
      <c r="T958" s="15">
        <f t="shared" ca="1" si="14"/>
        <v>944</v>
      </c>
      <c r="U958" s="3"/>
    </row>
    <row r="959" spans="1:21" x14ac:dyDescent="0.35">
      <c r="A959" s="3" t="s">
        <v>1939</v>
      </c>
      <c r="B959" s="3" t="s">
        <v>1940</v>
      </c>
      <c r="C959" s="3" t="s">
        <v>28</v>
      </c>
      <c r="D959" s="3" t="s">
        <v>13</v>
      </c>
      <c r="E959" s="6">
        <v>45216</v>
      </c>
      <c r="F959" s="3" t="s">
        <v>14</v>
      </c>
      <c r="G959" s="3">
        <v>2432</v>
      </c>
      <c r="H959" s="3">
        <v>5071</v>
      </c>
      <c r="I959" s="3">
        <v>3.8</v>
      </c>
      <c r="J959" s="3">
        <v>49</v>
      </c>
      <c r="K959" s="15">
        <f ca="1">IF(F959="Enrolled",TODAY()-E959,"0")</f>
        <v>838</v>
      </c>
      <c r="L959" s="3" t="str">
        <f>IF(I959&gt;=3.5,"Excellent",IF(I959&gt;=3,"Good",IF(I959&gt;=2,"Average","Poor")))</f>
        <v>Excellent</v>
      </c>
      <c r="M959" s="3" t="str">
        <v>Dr.Mehta</v>
      </c>
      <c r="N959" s="3" t="str">
        <f>IF(H959 &gt; (G959*50%), "Yes", "No")</f>
        <v>Yes</v>
      </c>
      <c r="O959" s="16">
        <f>G959-H959</f>
        <v>-2639</v>
      </c>
      <c r="P959" s="16">
        <f>SUMIFS(O959:O959,E959:E959,"Science",F959:F959,"Completed")</f>
        <v>0</v>
      </c>
      <c r="Q959" s="3" t="str">
        <f>IF(MONTH(E959)&gt;=7, YEAR(E959)&amp;"-"&amp;YEAR(E959)+1, YEAR(E959)-1&amp;"-"&amp;YEAR(E959))</f>
        <v>2023-2024</v>
      </c>
      <c r="R959" s="3"/>
      <c r="S959" s="3"/>
      <c r="T959" s="15" t="str">
        <f t="shared" ca="1" si="14"/>
        <v>0</v>
      </c>
      <c r="U959" s="3"/>
    </row>
    <row r="960" spans="1:21" x14ac:dyDescent="0.35">
      <c r="A960" s="3" t="s">
        <v>1941</v>
      </c>
      <c r="B960" s="3" t="s">
        <v>1942</v>
      </c>
      <c r="C960" s="3" t="s">
        <v>25</v>
      </c>
      <c r="D960" s="3" t="s">
        <v>13</v>
      </c>
      <c r="E960" s="6">
        <v>44956</v>
      </c>
      <c r="F960" s="3" t="s">
        <v>14</v>
      </c>
      <c r="G960" s="3">
        <v>3242</v>
      </c>
      <c r="H960" s="3">
        <v>9900</v>
      </c>
      <c r="I960" s="3">
        <v>3.85</v>
      </c>
      <c r="J960" s="3">
        <v>83</v>
      </c>
      <c r="K960" s="15">
        <f ca="1">IF(F960="Enrolled",TODAY()-E960,"0")</f>
        <v>1098</v>
      </c>
      <c r="L960" s="3" t="str">
        <f>IF(I960&gt;=3.5,"Excellent",IF(I960&gt;=3,"Good",IF(I960&gt;=2,"Average","Poor")))</f>
        <v>Excellent</v>
      </c>
      <c r="M960" s="3" t="str">
        <v>Dr.Mehta</v>
      </c>
      <c r="N960" s="3" t="str">
        <f>IF(H960 &gt; (G960*50%), "Yes", "No")</f>
        <v>Yes</v>
      </c>
      <c r="O960" s="16">
        <f>G960-H960</f>
        <v>-6658</v>
      </c>
      <c r="P960" s="16">
        <f>SUMIFS(O960:O960,E960:E960,"Science",F960:F960,"Completed")</f>
        <v>0</v>
      </c>
      <c r="Q960" s="3" t="str">
        <f>IF(MONTH(E960)&gt;=7, YEAR(E960)&amp;"-"&amp;YEAR(E960)+1, YEAR(E960)-1&amp;"-"&amp;YEAR(E960))</f>
        <v>2022-2023</v>
      </c>
      <c r="R960" s="3"/>
      <c r="S960" s="3"/>
      <c r="T960" s="15" t="str">
        <f t="shared" ca="1" si="14"/>
        <v>0</v>
      </c>
      <c r="U960" s="3"/>
    </row>
    <row r="961" spans="1:21" x14ac:dyDescent="0.35">
      <c r="A961" s="3" t="s">
        <v>1943</v>
      </c>
      <c r="B961" s="3" t="s">
        <v>1944</v>
      </c>
      <c r="C961" s="3" t="s">
        <v>22</v>
      </c>
      <c r="D961" s="3" t="s">
        <v>62</v>
      </c>
      <c r="E961" s="6">
        <v>44818</v>
      </c>
      <c r="F961" s="3" t="s">
        <v>19</v>
      </c>
      <c r="G961" s="3">
        <v>14853</v>
      </c>
      <c r="H961" s="3">
        <v>6485</v>
      </c>
      <c r="I961" s="3">
        <v>3.3</v>
      </c>
      <c r="J961" s="3">
        <v>2</v>
      </c>
      <c r="K961" s="15" t="str">
        <f ca="1">IF(F961="Enrolled",TODAY()-E961,"0")</f>
        <v>0</v>
      </c>
      <c r="L961" s="3" t="str">
        <f>IF(I961&gt;=3.5,"Excellent",IF(I961&gt;=3,"Good",IF(I961&gt;=2,"Average","Poor")))</f>
        <v>Good</v>
      </c>
      <c r="M961" s="3" t="str">
        <v>Dr.Sinha</v>
      </c>
      <c r="N961" s="3" t="str">
        <f>IF(H961 &gt; (G961*50%), "Yes", "No")</f>
        <v>No</v>
      </c>
      <c r="O961" s="16">
        <f>G961-H961</f>
        <v>8368</v>
      </c>
      <c r="P961" s="16">
        <f>SUMIFS(O961:O961,E961:E961,"Science",F961:F961,"Completed")</f>
        <v>0</v>
      </c>
      <c r="Q961" s="3" t="str">
        <f>IF(MONTH(E961)&gt;=7, YEAR(E961)&amp;"-"&amp;YEAR(E961)+1, YEAR(E961)-1&amp;"-"&amp;YEAR(E961))</f>
        <v>2022-2023</v>
      </c>
      <c r="R961" s="3"/>
      <c r="S961" s="3"/>
      <c r="T961" s="15">
        <f t="shared" ca="1" si="14"/>
        <v>1236</v>
      </c>
      <c r="U961" s="3"/>
    </row>
    <row r="962" spans="1:21" x14ac:dyDescent="0.35">
      <c r="A962" s="3" t="s">
        <v>1945</v>
      </c>
      <c r="B962" s="3" t="s">
        <v>1946</v>
      </c>
      <c r="C962" s="3" t="s">
        <v>22</v>
      </c>
      <c r="D962" s="3" t="s">
        <v>13</v>
      </c>
      <c r="E962" s="6">
        <v>45400</v>
      </c>
      <c r="F962" s="3" t="s">
        <v>14</v>
      </c>
      <c r="G962" s="3">
        <v>11497</v>
      </c>
      <c r="H962" s="3">
        <v>8841</v>
      </c>
      <c r="I962" s="3">
        <v>2.23</v>
      </c>
      <c r="J962" s="3">
        <v>50</v>
      </c>
      <c r="K962" s="15">
        <f ca="1">IF(F962="Enrolled",TODAY()-E962,"0")</f>
        <v>654</v>
      </c>
      <c r="L962" s="3" t="str">
        <f>IF(I962&gt;=3.5,"Excellent",IF(I962&gt;=3,"Good",IF(I962&gt;=2,"Average","Poor")))</f>
        <v>Average</v>
      </c>
      <c r="M962" s="3" t="str">
        <v>Dr.Mehta</v>
      </c>
      <c r="N962" s="3" t="str">
        <f>IF(H962 &gt; (G962*50%), "Yes", "No")</f>
        <v>Yes</v>
      </c>
      <c r="O962" s="16">
        <f>G962-H962</f>
        <v>2656</v>
      </c>
      <c r="P962" s="16">
        <f>SUMIFS(O962:O962,E962:E962,"Science",F962:F962,"Completed")</f>
        <v>0</v>
      </c>
      <c r="Q962" s="3" t="str">
        <f>IF(MONTH(E962)&gt;=7, YEAR(E962)&amp;"-"&amp;YEAR(E962)+1, YEAR(E962)-1&amp;"-"&amp;YEAR(E962))</f>
        <v>2023-2024</v>
      </c>
      <c r="R962" s="3"/>
      <c r="S962" s="3"/>
      <c r="T962" s="15" t="str">
        <f t="shared" ca="1" si="14"/>
        <v>0</v>
      </c>
      <c r="U962" s="3"/>
    </row>
    <row r="963" spans="1:21" x14ac:dyDescent="0.35">
      <c r="A963" s="3" t="s">
        <v>1947</v>
      </c>
      <c r="B963" s="3" t="s">
        <v>1948</v>
      </c>
      <c r="C963" s="3" t="s">
        <v>36</v>
      </c>
      <c r="D963" s="3" t="s">
        <v>18</v>
      </c>
      <c r="E963" s="6">
        <v>45237</v>
      </c>
      <c r="F963" s="3" t="s">
        <v>19</v>
      </c>
      <c r="G963" s="3">
        <v>2983</v>
      </c>
      <c r="H963" s="3">
        <v>8417</v>
      </c>
      <c r="I963" s="3">
        <v>2.6</v>
      </c>
      <c r="J963" s="3">
        <v>2</v>
      </c>
      <c r="K963" s="15" t="str">
        <f ca="1">IF(F963="Enrolled",TODAY()-E963,"0")</f>
        <v>0</v>
      </c>
      <c r="L963" s="3" t="str">
        <f>IF(I963&gt;=3.5,"Excellent",IF(I963&gt;=3,"Good",IF(I963&gt;=2,"Average","Poor")))</f>
        <v>Average</v>
      </c>
      <c r="M963" s="3" t="str">
        <v>Dr.Roy</v>
      </c>
      <c r="N963" s="3" t="str">
        <f>IF(H963 &gt; (G963*50%), "Yes", "No")</f>
        <v>Yes</v>
      </c>
      <c r="O963" s="16">
        <f>G963-H963</f>
        <v>-5434</v>
      </c>
      <c r="P963" s="16">
        <f>SUMIFS(O963:O963,E963:E963,"Science",F963:F963,"Completed")</f>
        <v>0</v>
      </c>
      <c r="Q963" s="3" t="str">
        <f>IF(MONTH(E963)&gt;=7, YEAR(E963)&amp;"-"&amp;YEAR(E963)+1, YEAR(E963)-1&amp;"-"&amp;YEAR(E963))</f>
        <v>2023-2024</v>
      </c>
      <c r="R963" s="3"/>
      <c r="S963" s="3"/>
      <c r="T963" s="15">
        <f t="shared" ref="T963:T1026" ca="1" si="15">IF(F963="Completed",TODAY()-E963,"0")</f>
        <v>817</v>
      </c>
      <c r="U963" s="3"/>
    </row>
    <row r="964" spans="1:21" x14ac:dyDescent="0.35">
      <c r="A964" s="3" t="s">
        <v>1949</v>
      </c>
      <c r="B964" s="3" t="s">
        <v>1950</v>
      </c>
      <c r="C964" s="3" t="s">
        <v>54</v>
      </c>
      <c r="D964" s="3" t="s">
        <v>18</v>
      </c>
      <c r="E964" s="6">
        <v>44783</v>
      </c>
      <c r="F964" s="3" t="s">
        <v>19</v>
      </c>
      <c r="G964" s="3">
        <v>2880</v>
      </c>
      <c r="H964" s="3">
        <v>2545</v>
      </c>
      <c r="I964" s="3">
        <v>2.57</v>
      </c>
      <c r="J964" s="3">
        <v>32</v>
      </c>
      <c r="K964" s="15" t="str">
        <f ca="1">IF(F964="Enrolled",TODAY()-E964,"0")</f>
        <v>0</v>
      </c>
      <c r="L964" s="3" t="str">
        <f>IF(I964&gt;=3.5,"Excellent",IF(I964&gt;=3,"Good",IF(I964&gt;=2,"Average","Poor")))</f>
        <v>Average</v>
      </c>
      <c r="M964" s="3" t="str">
        <v>Dr.Roy</v>
      </c>
      <c r="N964" s="3" t="str">
        <f>IF(H964 &gt; (G964*50%), "Yes", "No")</f>
        <v>Yes</v>
      </c>
      <c r="O964" s="16">
        <f>G964-H964</f>
        <v>335</v>
      </c>
      <c r="P964" s="16">
        <f>SUMIFS(O964:O964,E964:E964,"Science",F964:F964,"Completed")</f>
        <v>0</v>
      </c>
      <c r="Q964" s="3" t="str">
        <f>IF(MONTH(E964)&gt;=7, YEAR(E964)&amp;"-"&amp;YEAR(E964)+1, YEAR(E964)-1&amp;"-"&amp;YEAR(E964))</f>
        <v>2022-2023</v>
      </c>
      <c r="R964" s="3"/>
      <c r="S964" s="3"/>
      <c r="T964" s="15">
        <f t="shared" ca="1" si="15"/>
        <v>1271</v>
      </c>
      <c r="U964" s="3"/>
    </row>
    <row r="965" spans="1:21" x14ac:dyDescent="0.35">
      <c r="A965" s="3" t="s">
        <v>1951</v>
      </c>
      <c r="B965" s="3" t="s">
        <v>1952</v>
      </c>
      <c r="C965" s="3" t="s">
        <v>54</v>
      </c>
      <c r="D965" s="3" t="s">
        <v>18</v>
      </c>
      <c r="E965" s="6">
        <v>44659</v>
      </c>
      <c r="F965" s="3" t="s">
        <v>14</v>
      </c>
      <c r="G965" s="3">
        <v>6951</v>
      </c>
      <c r="H965" s="3">
        <v>321</v>
      </c>
      <c r="I965" s="3">
        <v>2.7</v>
      </c>
      <c r="J965" s="3">
        <v>61</v>
      </c>
      <c r="K965" s="15">
        <f ca="1">IF(F965="Enrolled",TODAY()-E965,"0")</f>
        <v>1395</v>
      </c>
      <c r="L965" s="3" t="str">
        <f>IF(I965&gt;=3.5,"Excellent",IF(I965&gt;=3,"Good",IF(I965&gt;=2,"Average","Poor")))</f>
        <v>Average</v>
      </c>
      <c r="M965" s="3" t="str">
        <v>Dr.Roy</v>
      </c>
      <c r="N965" s="3" t="str">
        <f>IF(H965 &gt; (G965*50%), "Yes", "No")</f>
        <v>No</v>
      </c>
      <c r="O965" s="16">
        <f>G965-H965</f>
        <v>6630</v>
      </c>
      <c r="P965" s="16">
        <f>SUMIFS(O965:O965,E965:E965,"Science",F965:F965,"Completed")</f>
        <v>0</v>
      </c>
      <c r="Q965" s="3" t="str">
        <f>IF(MONTH(E965)&gt;=7, YEAR(E965)&amp;"-"&amp;YEAR(E965)+1, YEAR(E965)-1&amp;"-"&amp;YEAR(E965))</f>
        <v>2021-2022</v>
      </c>
      <c r="R965" s="3"/>
      <c r="S965" s="3"/>
      <c r="T965" s="15" t="str">
        <f t="shared" ca="1" si="15"/>
        <v>0</v>
      </c>
      <c r="U965" s="3"/>
    </row>
    <row r="966" spans="1:21" x14ac:dyDescent="0.35">
      <c r="A966" s="3" t="s">
        <v>1953</v>
      </c>
      <c r="B966" s="3" t="s">
        <v>1954</v>
      </c>
      <c r="C966" s="3" t="s">
        <v>17</v>
      </c>
      <c r="D966" s="3" t="s">
        <v>18</v>
      </c>
      <c r="E966" s="6">
        <v>45109</v>
      </c>
      <c r="F966" s="3" t="s">
        <v>19</v>
      </c>
      <c r="G966" s="3">
        <v>8612</v>
      </c>
      <c r="H966" s="3">
        <v>1423</v>
      </c>
      <c r="I966" s="3">
        <v>3.76</v>
      </c>
      <c r="J966" s="3">
        <v>71</v>
      </c>
      <c r="K966" s="15" t="str">
        <f ca="1">IF(F966="Enrolled",TODAY()-E966,"0")</f>
        <v>0</v>
      </c>
      <c r="L966" s="3" t="str">
        <f>IF(I966&gt;=3.5,"Excellent",IF(I966&gt;=3,"Good",IF(I966&gt;=2,"Average","Poor")))</f>
        <v>Excellent</v>
      </c>
      <c r="M966" s="3" t="str">
        <v>Dr.Roy</v>
      </c>
      <c r="N966" s="3" t="str">
        <f>IF(H966 &gt; (G966*50%), "Yes", "No")</f>
        <v>No</v>
      </c>
      <c r="O966" s="16">
        <f>G966-H966</f>
        <v>7189</v>
      </c>
      <c r="P966" s="16">
        <f>SUMIFS(O966:O966,E966:E966,"Science",F966:F966,"Completed")</f>
        <v>0</v>
      </c>
      <c r="Q966" s="3" t="str">
        <f>IF(MONTH(E966)&gt;=7, YEAR(E966)&amp;"-"&amp;YEAR(E966)+1, YEAR(E966)-1&amp;"-"&amp;YEAR(E966))</f>
        <v>2023-2024</v>
      </c>
      <c r="R966" s="3"/>
      <c r="S966" s="3"/>
      <c r="T966" s="15">
        <f t="shared" ca="1" si="15"/>
        <v>945</v>
      </c>
      <c r="U966" s="3"/>
    </row>
    <row r="967" spans="1:21" x14ac:dyDescent="0.35">
      <c r="A967" s="3" t="s">
        <v>1955</v>
      </c>
      <c r="B967" s="3" t="s">
        <v>1956</v>
      </c>
      <c r="C967" s="3" t="s">
        <v>17</v>
      </c>
      <c r="D967" s="3" t="s">
        <v>62</v>
      </c>
      <c r="E967" s="6">
        <v>45309</v>
      </c>
      <c r="F967" s="3" t="s">
        <v>14</v>
      </c>
      <c r="G967" s="3">
        <v>8900</v>
      </c>
      <c r="H967" s="3">
        <v>4345</v>
      </c>
      <c r="I967" s="3">
        <v>3.25</v>
      </c>
      <c r="J967" s="3">
        <v>35</v>
      </c>
      <c r="K967" s="15">
        <f ca="1">IF(F967="Enrolled",TODAY()-E967,"0")</f>
        <v>745</v>
      </c>
      <c r="L967" s="3" t="str">
        <f>IF(I967&gt;=3.5,"Excellent",IF(I967&gt;=3,"Good",IF(I967&gt;=2,"Average","Poor")))</f>
        <v>Good</v>
      </c>
      <c r="M967" s="3" t="str">
        <v>Dr.Sinha</v>
      </c>
      <c r="N967" s="3" t="str">
        <f>IF(H967 &gt; (G967*50%), "Yes", "No")</f>
        <v>No</v>
      </c>
      <c r="O967" s="16">
        <f>G967-H967</f>
        <v>4555</v>
      </c>
      <c r="P967" s="16">
        <f>SUMIFS(O967:O967,E967:E967,"Science",F967:F967,"Completed")</f>
        <v>0</v>
      </c>
      <c r="Q967" s="3" t="str">
        <f>IF(MONTH(E967)&gt;=7, YEAR(E967)&amp;"-"&amp;YEAR(E967)+1, YEAR(E967)-1&amp;"-"&amp;YEAR(E967))</f>
        <v>2023-2024</v>
      </c>
      <c r="R967" s="3"/>
      <c r="S967" s="3"/>
      <c r="T967" s="15" t="str">
        <f t="shared" ca="1" si="15"/>
        <v>0</v>
      </c>
      <c r="U967" s="3"/>
    </row>
    <row r="968" spans="1:21" x14ac:dyDescent="0.35">
      <c r="A968" s="3" t="s">
        <v>1957</v>
      </c>
      <c r="B968" s="3" t="s">
        <v>1958</v>
      </c>
      <c r="C968" s="3" t="s">
        <v>22</v>
      </c>
      <c r="D968" s="3" t="s">
        <v>31</v>
      </c>
      <c r="E968" s="6">
        <v>45379</v>
      </c>
      <c r="F968" s="3" t="s">
        <v>19</v>
      </c>
      <c r="G968" s="3">
        <v>10147</v>
      </c>
      <c r="H968" s="3">
        <v>592</v>
      </c>
      <c r="I968" s="3">
        <v>3.12</v>
      </c>
      <c r="J968" s="3">
        <v>72</v>
      </c>
      <c r="K968" s="15" t="str">
        <f ca="1">IF(F968="Enrolled",TODAY()-E968,"0")</f>
        <v>0</v>
      </c>
      <c r="L968" s="3" t="str">
        <f>IF(I968&gt;=3.5,"Excellent",IF(I968&gt;=3,"Good",IF(I968&gt;=2,"Average","Poor")))</f>
        <v>Good</v>
      </c>
      <c r="M968" s="3" t="str">
        <v>Dr.Sharma</v>
      </c>
      <c r="N968" s="3" t="str">
        <f>IF(H968 &gt; (G968*50%), "Yes", "No")</f>
        <v>No</v>
      </c>
      <c r="O968" s="16">
        <f>G968-H968</f>
        <v>9555</v>
      </c>
      <c r="P968" s="16">
        <f>SUMIFS(O968:O968,E968:E968,"Science",F968:F968,"Completed")</f>
        <v>0</v>
      </c>
      <c r="Q968" s="3" t="str">
        <f>IF(MONTH(E968)&gt;=7, YEAR(E968)&amp;"-"&amp;YEAR(E968)+1, YEAR(E968)-1&amp;"-"&amp;YEAR(E968))</f>
        <v>2023-2024</v>
      </c>
      <c r="R968" s="3"/>
      <c r="S968" s="3"/>
      <c r="T968" s="15">
        <f t="shared" ca="1" si="15"/>
        <v>675</v>
      </c>
      <c r="U968" s="3"/>
    </row>
    <row r="969" spans="1:21" x14ac:dyDescent="0.35">
      <c r="A969" s="3" t="s">
        <v>1959</v>
      </c>
      <c r="B969" s="3" t="s">
        <v>1960</v>
      </c>
      <c r="C969" s="3" t="s">
        <v>57</v>
      </c>
      <c r="D969" s="3" t="s">
        <v>31</v>
      </c>
      <c r="E969" s="6">
        <v>44713</v>
      </c>
      <c r="F969" s="3" t="s">
        <v>14</v>
      </c>
      <c r="G969" s="3">
        <v>11524</v>
      </c>
      <c r="H969" s="3">
        <v>885</v>
      </c>
      <c r="I969" s="3">
        <v>3.48</v>
      </c>
      <c r="J969" s="3">
        <v>39</v>
      </c>
      <c r="K969" s="15">
        <f ca="1">IF(F969="Enrolled",TODAY()-E969,"0")</f>
        <v>1341</v>
      </c>
      <c r="L969" s="3" t="str">
        <f>IF(I969&gt;=3.5,"Excellent",IF(I969&gt;=3,"Good",IF(I969&gt;=2,"Average","Poor")))</f>
        <v>Good</v>
      </c>
      <c r="M969" s="3" t="str">
        <v>Dr.Sharma</v>
      </c>
      <c r="N969" s="3" t="str">
        <f>IF(H969 &gt; (G969*50%), "Yes", "No")</f>
        <v>No</v>
      </c>
      <c r="O969" s="16">
        <f>G969-H969</f>
        <v>10639</v>
      </c>
      <c r="P969" s="16">
        <f>SUMIFS(O969:O969,E969:E969,"Science",F969:F969,"Completed")</f>
        <v>0</v>
      </c>
      <c r="Q969" s="3" t="str">
        <f>IF(MONTH(E969)&gt;=7, YEAR(E969)&amp;"-"&amp;YEAR(E969)+1, YEAR(E969)-1&amp;"-"&amp;YEAR(E969))</f>
        <v>2021-2022</v>
      </c>
      <c r="R969" s="3"/>
      <c r="S969" s="3"/>
      <c r="T969" s="15" t="str">
        <f t="shared" ca="1" si="15"/>
        <v>0</v>
      </c>
      <c r="U969" s="3"/>
    </row>
    <row r="970" spans="1:21" x14ac:dyDescent="0.35">
      <c r="A970" s="3" t="s">
        <v>1961</v>
      </c>
      <c r="B970" s="3" t="s">
        <v>1962</v>
      </c>
      <c r="C970" s="3" t="s">
        <v>57</v>
      </c>
      <c r="D970" s="3" t="s">
        <v>31</v>
      </c>
      <c r="E970" s="6">
        <v>44583</v>
      </c>
      <c r="F970" s="3" t="s">
        <v>14</v>
      </c>
      <c r="G970" s="3">
        <v>9115</v>
      </c>
      <c r="H970" s="3">
        <v>8808</v>
      </c>
      <c r="I970" s="3">
        <v>3.15</v>
      </c>
      <c r="J970" s="3">
        <v>57</v>
      </c>
      <c r="K970" s="15">
        <f ca="1">IF(F970="Enrolled",TODAY()-E970,"0")</f>
        <v>1471</v>
      </c>
      <c r="L970" s="3" t="str">
        <f>IF(I970&gt;=3.5,"Excellent",IF(I970&gt;=3,"Good",IF(I970&gt;=2,"Average","Poor")))</f>
        <v>Good</v>
      </c>
      <c r="M970" s="3" t="str">
        <v>Dr.Sharma</v>
      </c>
      <c r="N970" s="3" t="str">
        <f>IF(H970 &gt; (G970*50%), "Yes", "No")</f>
        <v>Yes</v>
      </c>
      <c r="O970" s="16">
        <f>G970-H970</f>
        <v>307</v>
      </c>
      <c r="P970" s="16">
        <f>SUMIFS(O970:O970,E970:E970,"Science",F970:F970,"Completed")</f>
        <v>0</v>
      </c>
      <c r="Q970" s="3" t="str">
        <f>IF(MONTH(E970)&gt;=7, YEAR(E970)&amp;"-"&amp;YEAR(E970)+1, YEAR(E970)-1&amp;"-"&amp;YEAR(E970))</f>
        <v>2021-2022</v>
      </c>
      <c r="R970" s="3"/>
      <c r="S970" s="3"/>
      <c r="T970" s="15" t="str">
        <f t="shared" ca="1" si="15"/>
        <v>0</v>
      </c>
      <c r="U970" s="3"/>
    </row>
    <row r="971" spans="1:21" x14ac:dyDescent="0.35">
      <c r="A971" s="3" t="s">
        <v>1963</v>
      </c>
      <c r="B971" s="3" t="s">
        <v>1964</v>
      </c>
      <c r="C971" s="3" t="s">
        <v>54</v>
      </c>
      <c r="D971" s="3" t="s">
        <v>62</v>
      </c>
      <c r="E971" s="6">
        <v>44771</v>
      </c>
      <c r="F971" s="3" t="s">
        <v>14</v>
      </c>
      <c r="G971" s="3">
        <v>14396</v>
      </c>
      <c r="H971" s="3">
        <v>1245</v>
      </c>
      <c r="I971" s="3">
        <v>2.91</v>
      </c>
      <c r="J971" s="3">
        <v>89</v>
      </c>
      <c r="K971" s="15">
        <f ca="1">IF(F971="Enrolled",TODAY()-E971,"0")</f>
        <v>1283</v>
      </c>
      <c r="L971" s="3" t="str">
        <f>IF(I971&gt;=3.5,"Excellent",IF(I971&gt;=3,"Good",IF(I971&gt;=2,"Average","Poor")))</f>
        <v>Average</v>
      </c>
      <c r="M971" s="3" t="str">
        <v>Dr.Sinha</v>
      </c>
      <c r="N971" s="3" t="str">
        <f>IF(H971 &gt; (G971*50%), "Yes", "No")</f>
        <v>No</v>
      </c>
      <c r="O971" s="16">
        <f>G971-H971</f>
        <v>13151</v>
      </c>
      <c r="P971" s="16">
        <f>SUMIFS(O971:O971,E971:E971,"Science",F971:F971,"Completed")</f>
        <v>0</v>
      </c>
      <c r="Q971" s="3" t="str">
        <f>IF(MONTH(E971)&gt;=7, YEAR(E971)&amp;"-"&amp;YEAR(E971)+1, YEAR(E971)-1&amp;"-"&amp;YEAR(E971))</f>
        <v>2022-2023</v>
      </c>
      <c r="R971" s="3"/>
      <c r="S971" s="3"/>
      <c r="T971" s="15" t="str">
        <f t="shared" ca="1" si="15"/>
        <v>0</v>
      </c>
      <c r="U971" s="3"/>
    </row>
    <row r="972" spans="1:21" x14ac:dyDescent="0.35">
      <c r="A972" s="3" t="s">
        <v>1965</v>
      </c>
      <c r="B972" s="3" t="s">
        <v>1966</v>
      </c>
      <c r="C972" s="3" t="s">
        <v>54</v>
      </c>
      <c r="D972" s="3" t="s">
        <v>31</v>
      </c>
      <c r="E972" s="6">
        <v>45077</v>
      </c>
      <c r="F972" s="3" t="s">
        <v>19</v>
      </c>
      <c r="G972" s="3">
        <v>8599</v>
      </c>
      <c r="H972" s="3">
        <v>3888</v>
      </c>
      <c r="I972" s="3">
        <v>2.88</v>
      </c>
      <c r="J972" s="3">
        <v>8</v>
      </c>
      <c r="K972" s="15" t="str">
        <f ca="1">IF(F972="Enrolled",TODAY()-E972,"0")</f>
        <v>0</v>
      </c>
      <c r="L972" s="3" t="str">
        <f>IF(I972&gt;=3.5,"Excellent",IF(I972&gt;=3,"Good",IF(I972&gt;=2,"Average","Poor")))</f>
        <v>Average</v>
      </c>
      <c r="M972" s="3" t="str">
        <v>Dr.Sharma</v>
      </c>
      <c r="N972" s="3" t="str">
        <f>IF(H972 &gt; (G972*50%), "Yes", "No")</f>
        <v>No</v>
      </c>
      <c r="O972" s="16">
        <f>G972-H972</f>
        <v>4711</v>
      </c>
      <c r="P972" s="16">
        <f>SUMIFS(O972:O972,E972:E972,"Science",F972:F972,"Completed")</f>
        <v>0</v>
      </c>
      <c r="Q972" s="3" t="str">
        <f>IF(MONTH(E972)&gt;=7, YEAR(E972)&amp;"-"&amp;YEAR(E972)+1, YEAR(E972)-1&amp;"-"&amp;YEAR(E972))</f>
        <v>2022-2023</v>
      </c>
      <c r="R972" s="3"/>
      <c r="S972" s="3"/>
      <c r="T972" s="15">
        <f t="shared" ca="1" si="15"/>
        <v>977</v>
      </c>
      <c r="U972" s="3"/>
    </row>
    <row r="973" spans="1:21" x14ac:dyDescent="0.35">
      <c r="A973" s="3" t="s">
        <v>1967</v>
      </c>
      <c r="B973" s="3" t="s">
        <v>1968</v>
      </c>
      <c r="C973" s="3" t="s">
        <v>25</v>
      </c>
      <c r="D973" s="3" t="s">
        <v>18</v>
      </c>
      <c r="E973" s="6">
        <v>45353</v>
      </c>
      <c r="F973" s="3" t="s">
        <v>14</v>
      </c>
      <c r="G973" s="3">
        <v>14700</v>
      </c>
      <c r="H973" s="3">
        <v>4688</v>
      </c>
      <c r="I973" s="3">
        <v>3.69</v>
      </c>
      <c r="J973" s="3">
        <v>34</v>
      </c>
      <c r="K973" s="15">
        <f ca="1">IF(F973="Enrolled",TODAY()-E973,"0")</f>
        <v>701</v>
      </c>
      <c r="L973" s="3" t="str">
        <f>IF(I973&gt;=3.5,"Excellent",IF(I973&gt;=3,"Good",IF(I973&gt;=2,"Average","Poor")))</f>
        <v>Excellent</v>
      </c>
      <c r="M973" s="3" t="str">
        <v>Dr.Roy</v>
      </c>
      <c r="N973" s="3" t="str">
        <f>IF(H973 &gt; (G973*50%), "Yes", "No")</f>
        <v>No</v>
      </c>
      <c r="O973" s="16">
        <f>G973-H973</f>
        <v>10012</v>
      </c>
      <c r="P973" s="16">
        <f>SUMIFS(O973:O973,E973:E973,"Science",F973:F973,"Completed")</f>
        <v>0</v>
      </c>
      <c r="Q973" s="3" t="str">
        <f>IF(MONTH(E973)&gt;=7, YEAR(E973)&amp;"-"&amp;YEAR(E973)+1, YEAR(E973)-1&amp;"-"&amp;YEAR(E973))</f>
        <v>2023-2024</v>
      </c>
      <c r="R973" s="3"/>
      <c r="S973" s="3"/>
      <c r="T973" s="15" t="str">
        <f t="shared" ca="1" si="15"/>
        <v>0</v>
      </c>
      <c r="U973" s="3"/>
    </row>
    <row r="974" spans="1:21" x14ac:dyDescent="0.35">
      <c r="A974" s="3" t="s">
        <v>1969</v>
      </c>
      <c r="B974" s="3" t="s">
        <v>1970</v>
      </c>
      <c r="C974" s="3" t="s">
        <v>54</v>
      </c>
      <c r="D974" s="3" t="s">
        <v>31</v>
      </c>
      <c r="E974" s="6">
        <v>45385</v>
      </c>
      <c r="F974" s="3" t="s">
        <v>14</v>
      </c>
      <c r="G974" s="3">
        <v>9199</v>
      </c>
      <c r="H974" s="3">
        <v>9495</v>
      </c>
      <c r="I974" s="3">
        <v>3.04</v>
      </c>
      <c r="J974" s="3">
        <v>20</v>
      </c>
      <c r="K974" s="15">
        <f ca="1">IF(F974="Enrolled",TODAY()-E974,"0")</f>
        <v>669</v>
      </c>
      <c r="L974" s="3" t="str">
        <f>IF(I974&gt;=3.5,"Excellent",IF(I974&gt;=3,"Good",IF(I974&gt;=2,"Average","Poor")))</f>
        <v>Good</v>
      </c>
      <c r="M974" s="3" t="str">
        <v>Dr.Sharma</v>
      </c>
      <c r="N974" s="3" t="str">
        <f>IF(H974 &gt; (G974*50%), "Yes", "No")</f>
        <v>Yes</v>
      </c>
      <c r="O974" s="16">
        <f>G974-H974</f>
        <v>-296</v>
      </c>
      <c r="P974" s="16">
        <f>SUMIFS(O974:O974,E974:E974,"Science",F974:F974,"Completed")</f>
        <v>0</v>
      </c>
      <c r="Q974" s="3" t="str">
        <f>IF(MONTH(E974)&gt;=7, YEAR(E974)&amp;"-"&amp;YEAR(E974)+1, YEAR(E974)-1&amp;"-"&amp;YEAR(E974))</f>
        <v>2023-2024</v>
      </c>
      <c r="R974" s="3"/>
      <c r="S974" s="3"/>
      <c r="T974" s="15" t="str">
        <f t="shared" ca="1" si="15"/>
        <v>0</v>
      </c>
      <c r="U974" s="3"/>
    </row>
    <row r="975" spans="1:21" x14ac:dyDescent="0.35">
      <c r="A975" s="3" t="s">
        <v>1971</v>
      </c>
      <c r="B975" s="3" t="s">
        <v>1972</v>
      </c>
      <c r="C975" s="3" t="s">
        <v>36</v>
      </c>
      <c r="D975" s="3" t="s">
        <v>62</v>
      </c>
      <c r="E975" s="6">
        <v>45308</v>
      </c>
      <c r="F975" s="3" t="s">
        <v>39</v>
      </c>
      <c r="G975" s="3">
        <v>6798</v>
      </c>
      <c r="H975" s="3">
        <v>3454</v>
      </c>
      <c r="I975" s="3">
        <v>2.97</v>
      </c>
      <c r="J975" s="3">
        <v>28</v>
      </c>
      <c r="K975" s="15" t="str">
        <f ca="1">IF(F975="Enrolled",TODAY()-E975,"0")</f>
        <v>0</v>
      </c>
      <c r="L975" s="3" t="str">
        <f>IF(I975&gt;=3.5,"Excellent",IF(I975&gt;=3,"Good",IF(I975&gt;=2,"Average","Poor")))</f>
        <v>Average</v>
      </c>
      <c r="M975" s="3" t="str">
        <v>Dr.Sinha</v>
      </c>
      <c r="N975" s="3" t="str">
        <f>IF(H975 &gt; (G975*50%), "Yes", "No")</f>
        <v>Yes</v>
      </c>
      <c r="O975" s="16">
        <f>G975-H975</f>
        <v>3344</v>
      </c>
      <c r="P975" s="16">
        <f>SUMIFS(O975:O975,E975:E975,"Science",F975:F975,"Completed")</f>
        <v>0</v>
      </c>
      <c r="Q975" s="3" t="str">
        <f>IF(MONTH(E975)&gt;=7, YEAR(E975)&amp;"-"&amp;YEAR(E975)+1, YEAR(E975)-1&amp;"-"&amp;YEAR(E975))</f>
        <v>2023-2024</v>
      </c>
      <c r="R975" s="3"/>
      <c r="S975" s="3"/>
      <c r="T975" s="15" t="str">
        <f t="shared" ca="1" si="15"/>
        <v>0</v>
      </c>
      <c r="U975" s="3"/>
    </row>
    <row r="976" spans="1:21" x14ac:dyDescent="0.35">
      <c r="A976" s="3" t="s">
        <v>1973</v>
      </c>
      <c r="B976" s="3" t="s">
        <v>1974</v>
      </c>
      <c r="C976" s="3" t="s">
        <v>57</v>
      </c>
      <c r="D976" s="3" t="s">
        <v>62</v>
      </c>
      <c r="E976" s="6">
        <v>44731</v>
      </c>
      <c r="F976" s="3" t="s">
        <v>14</v>
      </c>
      <c r="G976" s="3">
        <v>7093</v>
      </c>
      <c r="H976" s="3">
        <v>2651</v>
      </c>
      <c r="I976" s="3">
        <v>2.2999999999999998</v>
      </c>
      <c r="J976" s="3">
        <v>75</v>
      </c>
      <c r="K976" s="15">
        <f ca="1">IF(F976="Enrolled",TODAY()-E976,"0")</f>
        <v>1323</v>
      </c>
      <c r="L976" s="3" t="str">
        <f>IF(I976&gt;=3.5,"Excellent",IF(I976&gt;=3,"Good",IF(I976&gt;=2,"Average","Poor")))</f>
        <v>Average</v>
      </c>
      <c r="M976" s="3" t="str">
        <v>Dr.Sinha</v>
      </c>
      <c r="N976" s="3" t="str">
        <f>IF(H976 &gt; (G976*50%), "Yes", "No")</f>
        <v>No</v>
      </c>
      <c r="O976" s="16">
        <f>G976-H976</f>
        <v>4442</v>
      </c>
      <c r="P976" s="16">
        <f>SUMIFS(O976:O976,E976:E976,"Science",F976:F976,"Completed")</f>
        <v>0</v>
      </c>
      <c r="Q976" s="3" t="str">
        <f>IF(MONTH(E976)&gt;=7, YEAR(E976)&amp;"-"&amp;YEAR(E976)+1, YEAR(E976)-1&amp;"-"&amp;YEAR(E976))</f>
        <v>2021-2022</v>
      </c>
      <c r="R976" s="3"/>
      <c r="S976" s="3"/>
      <c r="T976" s="15" t="str">
        <f t="shared" ca="1" si="15"/>
        <v>0</v>
      </c>
      <c r="U976" s="3"/>
    </row>
    <row r="977" spans="1:21" x14ac:dyDescent="0.35">
      <c r="A977" s="3" t="s">
        <v>1975</v>
      </c>
      <c r="B977" s="3" t="s">
        <v>1976</v>
      </c>
      <c r="C977" s="3" t="s">
        <v>54</v>
      </c>
      <c r="D977" s="3" t="s">
        <v>31</v>
      </c>
      <c r="E977" s="6">
        <v>45295</v>
      </c>
      <c r="F977" s="3" t="s">
        <v>19</v>
      </c>
      <c r="G977" s="3">
        <v>10111</v>
      </c>
      <c r="H977" s="3">
        <v>3264</v>
      </c>
      <c r="I977" s="3">
        <v>3.75</v>
      </c>
      <c r="J977" s="3">
        <v>97</v>
      </c>
      <c r="K977" s="15" t="str">
        <f ca="1">IF(F977="Enrolled",TODAY()-E977,"0")</f>
        <v>0</v>
      </c>
      <c r="L977" s="3" t="str">
        <f>IF(I977&gt;=3.5,"Excellent",IF(I977&gt;=3,"Good",IF(I977&gt;=2,"Average","Poor")))</f>
        <v>Excellent</v>
      </c>
      <c r="M977" s="3" t="str">
        <v>Dr.Sharma</v>
      </c>
      <c r="N977" s="3" t="str">
        <f>IF(H977 &gt; (G977*50%), "Yes", "No")</f>
        <v>No</v>
      </c>
      <c r="O977" s="16">
        <f>G977-H977</f>
        <v>6847</v>
      </c>
      <c r="P977" s="16">
        <f>SUMIFS(O977:O977,E977:E977,"Science",F977:F977,"Completed")</f>
        <v>0</v>
      </c>
      <c r="Q977" s="3" t="str">
        <f>IF(MONTH(E977)&gt;=7, YEAR(E977)&amp;"-"&amp;YEAR(E977)+1, YEAR(E977)-1&amp;"-"&amp;YEAR(E977))</f>
        <v>2023-2024</v>
      </c>
      <c r="R977" s="3"/>
      <c r="S977" s="3"/>
      <c r="T977" s="15">
        <f t="shared" ca="1" si="15"/>
        <v>759</v>
      </c>
      <c r="U977" s="3"/>
    </row>
    <row r="978" spans="1:21" x14ac:dyDescent="0.35">
      <c r="A978" s="3" t="s">
        <v>1977</v>
      </c>
      <c r="B978" s="3" t="s">
        <v>1978</v>
      </c>
      <c r="C978" s="3" t="s">
        <v>54</v>
      </c>
      <c r="D978" s="3" t="s">
        <v>31</v>
      </c>
      <c r="E978" s="6">
        <v>45157</v>
      </c>
      <c r="F978" s="3" t="s">
        <v>14</v>
      </c>
      <c r="G978" s="3">
        <v>14720</v>
      </c>
      <c r="H978" s="3">
        <v>6666</v>
      </c>
      <c r="I978" s="3">
        <v>3.08</v>
      </c>
      <c r="J978" s="3">
        <v>2</v>
      </c>
      <c r="K978" s="15">
        <f ca="1">IF(F978="Enrolled",TODAY()-E978,"0")</f>
        <v>897</v>
      </c>
      <c r="L978" s="3" t="str">
        <f>IF(I978&gt;=3.5,"Excellent",IF(I978&gt;=3,"Good",IF(I978&gt;=2,"Average","Poor")))</f>
        <v>Good</v>
      </c>
      <c r="M978" s="3" t="str">
        <v>Dr.Sharma</v>
      </c>
      <c r="N978" s="3" t="str">
        <f>IF(H978 &gt; (G978*50%), "Yes", "No")</f>
        <v>No</v>
      </c>
      <c r="O978" s="16">
        <f>G978-H978</f>
        <v>8054</v>
      </c>
      <c r="P978" s="16">
        <f>SUMIFS(O978:O978,E978:E978,"Science",F978:F978,"Completed")</f>
        <v>0</v>
      </c>
      <c r="Q978" s="3" t="str">
        <f>IF(MONTH(E978)&gt;=7, YEAR(E978)&amp;"-"&amp;YEAR(E978)+1, YEAR(E978)-1&amp;"-"&amp;YEAR(E978))</f>
        <v>2023-2024</v>
      </c>
      <c r="R978" s="3"/>
      <c r="S978" s="3"/>
      <c r="T978" s="15" t="str">
        <f t="shared" ca="1" si="15"/>
        <v>0</v>
      </c>
      <c r="U978" s="3"/>
    </row>
    <row r="979" spans="1:21" x14ac:dyDescent="0.35">
      <c r="A979" s="3" t="s">
        <v>1979</v>
      </c>
      <c r="B979" s="3" t="s">
        <v>1980</v>
      </c>
      <c r="C979" s="3" t="s">
        <v>25</v>
      </c>
      <c r="D979" s="3" t="s">
        <v>62</v>
      </c>
      <c r="E979" s="6">
        <v>45183</v>
      </c>
      <c r="F979" s="3" t="s">
        <v>19</v>
      </c>
      <c r="G979" s="3">
        <v>3574</v>
      </c>
      <c r="H979" s="3">
        <v>294</v>
      </c>
      <c r="I979" s="3">
        <v>2.4700000000000002</v>
      </c>
      <c r="J979" s="3">
        <v>107</v>
      </c>
      <c r="K979" s="15" t="str">
        <f ca="1">IF(F979="Enrolled",TODAY()-E979,"0")</f>
        <v>0</v>
      </c>
      <c r="L979" s="3" t="str">
        <f>IF(I979&gt;=3.5,"Excellent",IF(I979&gt;=3,"Good",IF(I979&gt;=2,"Average","Poor")))</f>
        <v>Average</v>
      </c>
      <c r="M979" s="3" t="str">
        <v>Dr.Sinha</v>
      </c>
      <c r="N979" s="3" t="str">
        <f>IF(H979 &gt; (G979*50%), "Yes", "No")</f>
        <v>No</v>
      </c>
      <c r="O979" s="16">
        <f>G979-H979</f>
        <v>3280</v>
      </c>
      <c r="P979" s="16">
        <f>SUMIFS(O979:O979,E979:E979,"Science",F979:F979,"Completed")</f>
        <v>0</v>
      </c>
      <c r="Q979" s="3" t="str">
        <f>IF(MONTH(E979)&gt;=7, YEAR(E979)&amp;"-"&amp;YEAR(E979)+1, YEAR(E979)-1&amp;"-"&amp;YEAR(E979))</f>
        <v>2023-2024</v>
      </c>
      <c r="R979" s="3"/>
      <c r="S979" s="3"/>
      <c r="T979" s="15">
        <f t="shared" ca="1" si="15"/>
        <v>871</v>
      </c>
      <c r="U979" s="3"/>
    </row>
    <row r="980" spans="1:21" x14ac:dyDescent="0.35">
      <c r="A980" s="3" t="s">
        <v>1981</v>
      </c>
      <c r="B980" s="3" t="s">
        <v>1982</v>
      </c>
      <c r="C980" s="3" t="s">
        <v>17</v>
      </c>
      <c r="D980" s="3" t="s">
        <v>18</v>
      </c>
      <c r="E980" s="6">
        <v>44712</v>
      </c>
      <c r="F980" s="3" t="s">
        <v>14</v>
      </c>
      <c r="G980" s="3">
        <v>12664</v>
      </c>
      <c r="H980" s="3">
        <v>7109</v>
      </c>
      <c r="I980" s="3">
        <v>2.2000000000000002</v>
      </c>
      <c r="J980" s="3">
        <v>91</v>
      </c>
      <c r="K980" s="15">
        <f ca="1">IF(F980="Enrolled",TODAY()-E980,"0")</f>
        <v>1342</v>
      </c>
      <c r="L980" s="3" t="str">
        <f>IF(I980&gt;=3.5,"Excellent",IF(I980&gt;=3,"Good",IF(I980&gt;=2,"Average","Poor")))</f>
        <v>Average</v>
      </c>
      <c r="M980" s="3" t="str">
        <v>Dr.Roy</v>
      </c>
      <c r="N980" s="3" t="str">
        <f>IF(H980 &gt; (G980*50%), "Yes", "No")</f>
        <v>Yes</v>
      </c>
      <c r="O980" s="16">
        <f>G980-H980</f>
        <v>5555</v>
      </c>
      <c r="P980" s="16">
        <f>SUMIFS(O980:O980,E980:E980,"Science",F980:F980,"Completed")</f>
        <v>0</v>
      </c>
      <c r="Q980" s="3" t="str">
        <f>IF(MONTH(E980)&gt;=7, YEAR(E980)&amp;"-"&amp;YEAR(E980)+1, YEAR(E980)-1&amp;"-"&amp;YEAR(E980))</f>
        <v>2021-2022</v>
      </c>
      <c r="R980" s="3"/>
      <c r="S980" s="3"/>
      <c r="T980" s="15" t="str">
        <f t="shared" ca="1" si="15"/>
        <v>0</v>
      </c>
      <c r="U980" s="3"/>
    </row>
    <row r="981" spans="1:21" x14ac:dyDescent="0.35">
      <c r="A981" s="3" t="s">
        <v>1983</v>
      </c>
      <c r="B981" s="3" t="s">
        <v>1984</v>
      </c>
      <c r="C981" s="3" t="s">
        <v>22</v>
      </c>
      <c r="D981" s="3" t="s">
        <v>18</v>
      </c>
      <c r="E981" s="6">
        <v>45398</v>
      </c>
      <c r="F981" s="3" t="s">
        <v>14</v>
      </c>
      <c r="G981" s="3">
        <v>9618</v>
      </c>
      <c r="H981" s="3">
        <v>6312</v>
      </c>
      <c r="I981" s="3">
        <v>2.25</v>
      </c>
      <c r="J981" s="3">
        <v>78</v>
      </c>
      <c r="K981" s="15">
        <f ca="1">IF(F981="Enrolled",TODAY()-E981,"0")</f>
        <v>656</v>
      </c>
      <c r="L981" s="3" t="str">
        <f>IF(I981&gt;=3.5,"Excellent",IF(I981&gt;=3,"Good",IF(I981&gt;=2,"Average","Poor")))</f>
        <v>Average</v>
      </c>
      <c r="M981" s="3" t="str">
        <v>Dr.Roy</v>
      </c>
      <c r="N981" s="3" t="str">
        <f>IF(H981 &gt; (G981*50%), "Yes", "No")</f>
        <v>Yes</v>
      </c>
      <c r="O981" s="16">
        <f>G981-H981</f>
        <v>3306</v>
      </c>
      <c r="P981" s="16">
        <f>SUMIFS(O981:O981,E981:E981,"Science",F981:F981,"Completed")</f>
        <v>0</v>
      </c>
      <c r="Q981" s="3" t="str">
        <f>IF(MONTH(E981)&gt;=7, YEAR(E981)&amp;"-"&amp;YEAR(E981)+1, YEAR(E981)-1&amp;"-"&amp;YEAR(E981))</f>
        <v>2023-2024</v>
      </c>
      <c r="R981" s="3"/>
      <c r="S981" s="3"/>
      <c r="T981" s="15" t="str">
        <f t="shared" ca="1" si="15"/>
        <v>0</v>
      </c>
      <c r="U981" s="3"/>
    </row>
    <row r="982" spans="1:21" x14ac:dyDescent="0.35">
      <c r="A982" s="3" t="s">
        <v>1985</v>
      </c>
      <c r="B982" s="3" t="s">
        <v>1986</v>
      </c>
      <c r="C982" s="3" t="s">
        <v>36</v>
      </c>
      <c r="D982" s="3" t="s">
        <v>18</v>
      </c>
      <c r="E982" s="6">
        <v>45447</v>
      </c>
      <c r="F982" s="3" t="s">
        <v>19</v>
      </c>
      <c r="G982" s="3">
        <v>9706</v>
      </c>
      <c r="H982" s="3">
        <v>5288</v>
      </c>
      <c r="I982" s="3">
        <v>2.27</v>
      </c>
      <c r="J982" s="3">
        <v>6</v>
      </c>
      <c r="K982" s="15" t="str">
        <f ca="1">IF(F982="Enrolled",TODAY()-E982,"0")</f>
        <v>0</v>
      </c>
      <c r="L982" s="3" t="str">
        <f>IF(I982&gt;=3.5,"Excellent",IF(I982&gt;=3,"Good",IF(I982&gt;=2,"Average","Poor")))</f>
        <v>Average</v>
      </c>
      <c r="M982" s="3" t="str">
        <v>Dr.Roy</v>
      </c>
      <c r="N982" s="3" t="str">
        <f>IF(H982 &gt; (G982*50%), "Yes", "No")</f>
        <v>Yes</v>
      </c>
      <c r="O982" s="16">
        <f>G982-H982</f>
        <v>4418</v>
      </c>
      <c r="P982" s="16">
        <f>SUMIFS(O982:O982,E982:E982,"Science",F982:F982,"Completed")</f>
        <v>0</v>
      </c>
      <c r="Q982" s="3" t="str">
        <f>IF(MONTH(E982)&gt;=7, YEAR(E982)&amp;"-"&amp;YEAR(E982)+1, YEAR(E982)-1&amp;"-"&amp;YEAR(E982))</f>
        <v>2023-2024</v>
      </c>
      <c r="R982" s="3"/>
      <c r="S982" s="3"/>
      <c r="T982" s="15">
        <f t="shared" ca="1" si="15"/>
        <v>607</v>
      </c>
      <c r="U982" s="3"/>
    </row>
    <row r="983" spans="1:21" x14ac:dyDescent="0.35">
      <c r="A983" s="3" t="s">
        <v>1987</v>
      </c>
      <c r="B983" s="3" t="s">
        <v>1988</v>
      </c>
      <c r="C983" s="3" t="s">
        <v>12</v>
      </c>
      <c r="D983" s="3" t="s">
        <v>62</v>
      </c>
      <c r="E983" s="6">
        <v>44585</v>
      </c>
      <c r="F983" s="3" t="s">
        <v>14</v>
      </c>
      <c r="G983" s="3">
        <v>8994</v>
      </c>
      <c r="H983" s="3">
        <v>9832</v>
      </c>
      <c r="I983" s="3">
        <v>2.46</v>
      </c>
      <c r="J983" s="3">
        <v>107</v>
      </c>
      <c r="K983" s="15">
        <f ca="1">IF(F983="Enrolled",TODAY()-E983,"0")</f>
        <v>1469</v>
      </c>
      <c r="L983" s="3" t="str">
        <f>IF(I983&gt;=3.5,"Excellent",IF(I983&gt;=3,"Good",IF(I983&gt;=2,"Average","Poor")))</f>
        <v>Average</v>
      </c>
      <c r="M983" s="3" t="str">
        <v>Dr.Sinha</v>
      </c>
      <c r="N983" s="3" t="str">
        <f>IF(H983 &gt; (G983*50%), "Yes", "No")</f>
        <v>Yes</v>
      </c>
      <c r="O983" s="16">
        <f>G983-H983</f>
        <v>-838</v>
      </c>
      <c r="P983" s="16">
        <f>SUMIFS(O983:O983,E983:E983,"Science",F983:F983,"Completed")</f>
        <v>0</v>
      </c>
      <c r="Q983" s="3" t="str">
        <f>IF(MONTH(E983)&gt;=7, YEAR(E983)&amp;"-"&amp;YEAR(E983)+1, YEAR(E983)-1&amp;"-"&amp;YEAR(E983))</f>
        <v>2021-2022</v>
      </c>
      <c r="R983" s="3"/>
      <c r="S983" s="3"/>
      <c r="T983" s="15" t="str">
        <f t="shared" ca="1" si="15"/>
        <v>0</v>
      </c>
      <c r="U983" s="3"/>
    </row>
    <row r="984" spans="1:21" x14ac:dyDescent="0.35">
      <c r="A984" s="3" t="s">
        <v>1989</v>
      </c>
      <c r="B984" s="3" t="s">
        <v>1990</v>
      </c>
      <c r="C984" s="3" t="s">
        <v>12</v>
      </c>
      <c r="D984" s="3" t="s">
        <v>31</v>
      </c>
      <c r="E984" s="6">
        <v>44880</v>
      </c>
      <c r="F984" s="3" t="s">
        <v>19</v>
      </c>
      <c r="G984" s="3">
        <v>6439</v>
      </c>
      <c r="H984" s="3">
        <v>6901</v>
      </c>
      <c r="I984" s="3">
        <v>3.1</v>
      </c>
      <c r="J984" s="3">
        <v>80</v>
      </c>
      <c r="K984" s="15" t="str">
        <f ca="1">IF(F984="Enrolled",TODAY()-E984,"0")</f>
        <v>0</v>
      </c>
      <c r="L984" s="3" t="str">
        <f>IF(I984&gt;=3.5,"Excellent",IF(I984&gt;=3,"Good",IF(I984&gt;=2,"Average","Poor")))</f>
        <v>Good</v>
      </c>
      <c r="M984" s="3" t="str">
        <v>Dr.Sharma</v>
      </c>
      <c r="N984" s="3" t="str">
        <f>IF(H984 &gt; (G984*50%), "Yes", "No")</f>
        <v>Yes</v>
      </c>
      <c r="O984" s="16">
        <f>G984-H984</f>
        <v>-462</v>
      </c>
      <c r="P984" s="16">
        <f>SUMIFS(O984:O984,E984:E984,"Science",F984:F984,"Completed")</f>
        <v>0</v>
      </c>
      <c r="Q984" s="3" t="str">
        <f>IF(MONTH(E984)&gt;=7, YEAR(E984)&amp;"-"&amp;YEAR(E984)+1, YEAR(E984)-1&amp;"-"&amp;YEAR(E984))</f>
        <v>2022-2023</v>
      </c>
      <c r="R984" s="3"/>
      <c r="S984" s="3"/>
      <c r="T984" s="15">
        <f t="shared" ca="1" si="15"/>
        <v>1174</v>
      </c>
      <c r="U984" s="3"/>
    </row>
    <row r="985" spans="1:21" x14ac:dyDescent="0.35">
      <c r="A985" s="3" t="s">
        <v>1991</v>
      </c>
      <c r="B985" s="3" t="s">
        <v>1992</v>
      </c>
      <c r="C985" s="3" t="s">
        <v>22</v>
      </c>
      <c r="D985" s="3" t="s">
        <v>13</v>
      </c>
      <c r="E985" s="6">
        <v>45324</v>
      </c>
      <c r="F985" s="3" t="s">
        <v>14</v>
      </c>
      <c r="G985" s="3">
        <v>6534</v>
      </c>
      <c r="H985" s="3">
        <v>9500</v>
      </c>
      <c r="I985" s="3">
        <v>3.61</v>
      </c>
      <c r="J985" s="3">
        <v>111</v>
      </c>
      <c r="K985" s="15">
        <f ca="1">IF(F985="Enrolled",TODAY()-E985,"0")</f>
        <v>730</v>
      </c>
      <c r="L985" s="3" t="str">
        <f>IF(I985&gt;=3.5,"Excellent",IF(I985&gt;=3,"Good",IF(I985&gt;=2,"Average","Poor")))</f>
        <v>Excellent</v>
      </c>
      <c r="M985" s="3" t="str">
        <v>Dr.Mehta</v>
      </c>
      <c r="N985" s="3" t="str">
        <f>IF(H985 &gt; (G985*50%), "Yes", "No")</f>
        <v>Yes</v>
      </c>
      <c r="O985" s="16">
        <f>G985-H985</f>
        <v>-2966</v>
      </c>
      <c r="P985" s="16">
        <f>SUMIFS(O985:O985,E985:E985,"Science",F985:F985,"Completed")</f>
        <v>0</v>
      </c>
      <c r="Q985" s="3" t="str">
        <f>IF(MONTH(E985)&gt;=7, YEAR(E985)&amp;"-"&amp;YEAR(E985)+1, YEAR(E985)-1&amp;"-"&amp;YEAR(E985))</f>
        <v>2023-2024</v>
      </c>
      <c r="R985" s="3"/>
      <c r="S985" s="3"/>
      <c r="T985" s="15" t="str">
        <f t="shared" ca="1" si="15"/>
        <v>0</v>
      </c>
      <c r="U985" s="3"/>
    </row>
    <row r="986" spans="1:21" x14ac:dyDescent="0.35">
      <c r="A986" s="3" t="s">
        <v>1993</v>
      </c>
      <c r="B986" s="3" t="s">
        <v>1994</v>
      </c>
      <c r="C986" s="3" t="s">
        <v>57</v>
      </c>
      <c r="D986" s="3" t="s">
        <v>13</v>
      </c>
      <c r="E986" s="6">
        <v>44806</v>
      </c>
      <c r="F986" s="3" t="s">
        <v>14</v>
      </c>
      <c r="G986" s="3">
        <v>7590</v>
      </c>
      <c r="H986" s="3">
        <v>408</v>
      </c>
      <c r="I986" s="3">
        <v>3.97</v>
      </c>
      <c r="J986" s="3">
        <v>46</v>
      </c>
      <c r="K986" s="15">
        <f ca="1">IF(F986="Enrolled",TODAY()-E986,"0")</f>
        <v>1248</v>
      </c>
      <c r="L986" s="3" t="str">
        <f>IF(I986&gt;=3.5,"Excellent",IF(I986&gt;=3,"Good",IF(I986&gt;=2,"Average","Poor")))</f>
        <v>Excellent</v>
      </c>
      <c r="M986" s="3" t="str">
        <v>Dr.Mehta</v>
      </c>
      <c r="N986" s="3" t="str">
        <f>IF(H986 &gt; (G986*50%), "Yes", "No")</f>
        <v>No</v>
      </c>
      <c r="O986" s="16">
        <f>G986-H986</f>
        <v>7182</v>
      </c>
      <c r="P986" s="16">
        <f>SUMIFS(O986:O986,E986:E986,"Science",F986:F986,"Completed")</f>
        <v>0</v>
      </c>
      <c r="Q986" s="3" t="str">
        <f>IF(MONTH(E986)&gt;=7, YEAR(E986)&amp;"-"&amp;YEAR(E986)+1, YEAR(E986)-1&amp;"-"&amp;YEAR(E986))</f>
        <v>2022-2023</v>
      </c>
      <c r="R986" s="3"/>
      <c r="S986" s="3"/>
      <c r="T986" s="15" t="str">
        <f t="shared" ca="1" si="15"/>
        <v>0</v>
      </c>
      <c r="U986" s="3"/>
    </row>
    <row r="987" spans="1:21" x14ac:dyDescent="0.35">
      <c r="A987" s="3" t="s">
        <v>1995</v>
      </c>
      <c r="B987" s="3" t="s">
        <v>1996</v>
      </c>
      <c r="C987" s="3" t="s">
        <v>22</v>
      </c>
      <c r="D987" s="3" t="s">
        <v>31</v>
      </c>
      <c r="E987" s="6">
        <v>44880</v>
      </c>
      <c r="F987" s="3" t="s">
        <v>39</v>
      </c>
      <c r="G987" s="3">
        <v>7475</v>
      </c>
      <c r="H987" s="3">
        <v>7710</v>
      </c>
      <c r="I987" s="3">
        <v>2.4500000000000002</v>
      </c>
      <c r="J987" s="3">
        <v>62</v>
      </c>
      <c r="K987" s="15" t="str">
        <f ca="1">IF(F987="Enrolled",TODAY()-E987,"0")</f>
        <v>0</v>
      </c>
      <c r="L987" s="3" t="str">
        <f>IF(I987&gt;=3.5,"Excellent",IF(I987&gt;=3,"Good",IF(I987&gt;=2,"Average","Poor")))</f>
        <v>Average</v>
      </c>
      <c r="M987" s="3" t="str">
        <v>Dr.Sharma</v>
      </c>
      <c r="N987" s="3" t="str">
        <f>IF(H987 &gt; (G987*50%), "Yes", "No")</f>
        <v>Yes</v>
      </c>
      <c r="O987" s="16">
        <f>G987-H987</f>
        <v>-235</v>
      </c>
      <c r="P987" s="16">
        <f>SUMIFS(O987:O987,E987:E987,"Science",F987:F987,"Completed")</f>
        <v>0</v>
      </c>
      <c r="Q987" s="3" t="str">
        <f>IF(MONTH(E987)&gt;=7, YEAR(E987)&amp;"-"&amp;YEAR(E987)+1, YEAR(E987)-1&amp;"-"&amp;YEAR(E987))</f>
        <v>2022-2023</v>
      </c>
      <c r="R987" s="3"/>
      <c r="S987" s="3"/>
      <c r="T987" s="15" t="str">
        <f t="shared" ca="1" si="15"/>
        <v>0</v>
      </c>
      <c r="U987" s="3"/>
    </row>
    <row r="988" spans="1:21" x14ac:dyDescent="0.35">
      <c r="A988" s="3" t="s">
        <v>1997</v>
      </c>
      <c r="B988" s="3" t="s">
        <v>1998</v>
      </c>
      <c r="C988" s="3" t="s">
        <v>12</v>
      </c>
      <c r="D988" s="3" t="s">
        <v>31</v>
      </c>
      <c r="E988" s="6">
        <v>45209</v>
      </c>
      <c r="F988" s="3" t="s">
        <v>14</v>
      </c>
      <c r="G988" s="3">
        <v>3693</v>
      </c>
      <c r="H988" s="3">
        <v>4367</v>
      </c>
      <c r="I988" s="3">
        <v>3.65</v>
      </c>
      <c r="J988" s="3">
        <v>28</v>
      </c>
      <c r="K988" s="15">
        <f ca="1">IF(F988="Enrolled",TODAY()-E988,"0")</f>
        <v>845</v>
      </c>
      <c r="L988" s="3" t="str">
        <f>IF(I988&gt;=3.5,"Excellent",IF(I988&gt;=3,"Good",IF(I988&gt;=2,"Average","Poor")))</f>
        <v>Excellent</v>
      </c>
      <c r="M988" s="3" t="str">
        <v>Dr.Sharma</v>
      </c>
      <c r="N988" s="3" t="str">
        <f>IF(H988 &gt; (G988*50%), "Yes", "No")</f>
        <v>Yes</v>
      </c>
      <c r="O988" s="16">
        <f>G988-H988</f>
        <v>-674</v>
      </c>
      <c r="P988" s="16">
        <f>SUMIFS(O988:O988,E988:E988,"Science",F988:F988,"Completed")</f>
        <v>0</v>
      </c>
      <c r="Q988" s="3" t="str">
        <f>IF(MONTH(E988)&gt;=7, YEAR(E988)&amp;"-"&amp;YEAR(E988)+1, YEAR(E988)-1&amp;"-"&amp;YEAR(E988))</f>
        <v>2023-2024</v>
      </c>
      <c r="R988" s="3"/>
      <c r="S988" s="3"/>
      <c r="T988" s="15" t="str">
        <f t="shared" ca="1" si="15"/>
        <v>0</v>
      </c>
      <c r="U988" s="3"/>
    </row>
    <row r="989" spans="1:21" x14ac:dyDescent="0.35">
      <c r="A989" s="3" t="s">
        <v>1999</v>
      </c>
      <c r="B989" s="3" t="s">
        <v>2000</v>
      </c>
      <c r="C989" s="3" t="s">
        <v>54</v>
      </c>
      <c r="D989" s="3" t="s">
        <v>31</v>
      </c>
      <c r="E989" s="6">
        <v>45398</v>
      </c>
      <c r="F989" s="3" t="s">
        <v>14</v>
      </c>
      <c r="G989" s="3">
        <v>11396</v>
      </c>
      <c r="H989" s="3">
        <v>8283</v>
      </c>
      <c r="I989" s="3">
        <v>2.2200000000000002</v>
      </c>
      <c r="J989" s="3">
        <v>98</v>
      </c>
      <c r="K989" s="15">
        <f ca="1">IF(F989="Enrolled",TODAY()-E989,"0")</f>
        <v>656</v>
      </c>
      <c r="L989" s="3" t="str">
        <f>IF(I989&gt;=3.5,"Excellent",IF(I989&gt;=3,"Good",IF(I989&gt;=2,"Average","Poor")))</f>
        <v>Average</v>
      </c>
      <c r="M989" s="3" t="str">
        <v>Dr.Sharma</v>
      </c>
      <c r="N989" s="3" t="str">
        <f>IF(H989 &gt; (G989*50%), "Yes", "No")</f>
        <v>Yes</v>
      </c>
      <c r="O989" s="16">
        <f>G989-H989</f>
        <v>3113</v>
      </c>
      <c r="P989" s="16">
        <f>SUMIFS(O989:O989,E989:E989,"Science",F989:F989,"Completed")</f>
        <v>0</v>
      </c>
      <c r="Q989" s="3" t="str">
        <f>IF(MONTH(E989)&gt;=7, YEAR(E989)&amp;"-"&amp;YEAR(E989)+1, YEAR(E989)-1&amp;"-"&amp;YEAR(E989))</f>
        <v>2023-2024</v>
      </c>
      <c r="R989" s="3"/>
      <c r="S989" s="3"/>
      <c r="T989" s="15" t="str">
        <f t="shared" ca="1" si="15"/>
        <v>0</v>
      </c>
      <c r="U989" s="3"/>
    </row>
    <row r="990" spans="1:21" x14ac:dyDescent="0.35">
      <c r="A990" s="3" t="s">
        <v>2001</v>
      </c>
      <c r="B990" s="3" t="s">
        <v>2002</v>
      </c>
      <c r="C990" s="3" t="s">
        <v>57</v>
      </c>
      <c r="D990" s="3" t="s">
        <v>13</v>
      </c>
      <c r="E990" s="6">
        <v>44921</v>
      </c>
      <c r="F990" s="3" t="s">
        <v>14</v>
      </c>
      <c r="G990" s="3">
        <v>8610</v>
      </c>
      <c r="H990" s="3">
        <v>2022</v>
      </c>
      <c r="I990" s="3">
        <v>3.47</v>
      </c>
      <c r="J990" s="3">
        <v>16</v>
      </c>
      <c r="K990" s="15">
        <f ca="1">IF(F990="Enrolled",TODAY()-E990,"0")</f>
        <v>1133</v>
      </c>
      <c r="L990" s="3" t="str">
        <f>IF(I990&gt;=3.5,"Excellent",IF(I990&gt;=3,"Good",IF(I990&gt;=2,"Average","Poor")))</f>
        <v>Good</v>
      </c>
      <c r="M990" s="3" t="str">
        <v>Dr.Mehta</v>
      </c>
      <c r="N990" s="3" t="str">
        <f>IF(H990 &gt; (G990*50%), "Yes", "No")</f>
        <v>No</v>
      </c>
      <c r="O990" s="16">
        <f>G990-H990</f>
        <v>6588</v>
      </c>
      <c r="P990" s="16">
        <f>SUMIFS(O990:O990,E990:E990,"Science",F990:F990,"Completed")</f>
        <v>0</v>
      </c>
      <c r="Q990" s="3" t="str">
        <f>IF(MONTH(E990)&gt;=7, YEAR(E990)&amp;"-"&amp;YEAR(E990)+1, YEAR(E990)-1&amp;"-"&amp;YEAR(E990))</f>
        <v>2022-2023</v>
      </c>
      <c r="R990" s="3"/>
      <c r="S990" s="3"/>
      <c r="T990" s="15" t="str">
        <f t="shared" ca="1" si="15"/>
        <v>0</v>
      </c>
      <c r="U990" s="3"/>
    </row>
    <row r="991" spans="1:21" x14ac:dyDescent="0.35">
      <c r="A991" s="3" t="s">
        <v>2003</v>
      </c>
      <c r="B991" s="3" t="s">
        <v>2004</v>
      </c>
      <c r="C991" s="3" t="s">
        <v>54</v>
      </c>
      <c r="D991" s="3" t="s">
        <v>13</v>
      </c>
      <c r="E991" s="6">
        <v>45209</v>
      </c>
      <c r="F991" s="3" t="s">
        <v>14</v>
      </c>
      <c r="G991" s="3">
        <v>3027</v>
      </c>
      <c r="H991" s="3">
        <v>8764</v>
      </c>
      <c r="I991" s="3">
        <v>3.34</v>
      </c>
      <c r="J991" s="3">
        <v>116</v>
      </c>
      <c r="K991" s="15">
        <f ca="1">IF(F991="Enrolled",TODAY()-E991,"0")</f>
        <v>845</v>
      </c>
      <c r="L991" s="3" t="str">
        <f>IF(I991&gt;=3.5,"Excellent",IF(I991&gt;=3,"Good",IF(I991&gt;=2,"Average","Poor")))</f>
        <v>Good</v>
      </c>
      <c r="M991" s="3" t="str">
        <v>Dr.Mehta</v>
      </c>
      <c r="N991" s="3" t="str">
        <f>IF(H991 &gt; (G991*50%), "Yes", "No")</f>
        <v>Yes</v>
      </c>
      <c r="O991" s="16">
        <f>G991-H991</f>
        <v>-5737</v>
      </c>
      <c r="P991" s="16">
        <f>SUMIFS(O991:O991,E991:E991,"Science",F991:F991,"Completed")</f>
        <v>0</v>
      </c>
      <c r="Q991" s="3" t="str">
        <f>IF(MONTH(E991)&gt;=7, YEAR(E991)&amp;"-"&amp;YEAR(E991)+1, YEAR(E991)-1&amp;"-"&amp;YEAR(E991))</f>
        <v>2023-2024</v>
      </c>
      <c r="R991" s="3"/>
      <c r="S991" s="3"/>
      <c r="T991" s="15" t="str">
        <f t="shared" ca="1" si="15"/>
        <v>0</v>
      </c>
      <c r="U991" s="3"/>
    </row>
    <row r="992" spans="1:21" x14ac:dyDescent="0.35">
      <c r="A992" s="3" t="s">
        <v>2005</v>
      </c>
      <c r="B992" s="3" t="s">
        <v>2006</v>
      </c>
      <c r="C992" s="3" t="s">
        <v>28</v>
      </c>
      <c r="D992" s="3" t="s">
        <v>13</v>
      </c>
      <c r="E992" s="6">
        <v>45077</v>
      </c>
      <c r="F992" s="3" t="s">
        <v>14</v>
      </c>
      <c r="G992" s="3">
        <v>4944</v>
      </c>
      <c r="H992" s="3">
        <v>8402</v>
      </c>
      <c r="I992" s="3">
        <v>3.07</v>
      </c>
      <c r="J992" s="3">
        <v>79</v>
      </c>
      <c r="K992" s="15">
        <f ca="1">IF(F992="Enrolled",TODAY()-E992,"0")</f>
        <v>977</v>
      </c>
      <c r="L992" s="3" t="str">
        <f>IF(I992&gt;=3.5,"Excellent",IF(I992&gt;=3,"Good",IF(I992&gt;=2,"Average","Poor")))</f>
        <v>Good</v>
      </c>
      <c r="M992" s="3" t="str">
        <v>Dr.Mehta</v>
      </c>
      <c r="N992" s="3" t="str">
        <f>IF(H992 &gt; (G992*50%), "Yes", "No")</f>
        <v>Yes</v>
      </c>
      <c r="O992" s="16">
        <f>G992-H992</f>
        <v>-3458</v>
      </c>
      <c r="P992" s="16">
        <f>SUMIFS(O992:O992,E992:E992,"Science",F992:F992,"Completed")</f>
        <v>0</v>
      </c>
      <c r="Q992" s="3" t="str">
        <f>IF(MONTH(E992)&gt;=7, YEAR(E992)&amp;"-"&amp;YEAR(E992)+1, YEAR(E992)-1&amp;"-"&amp;YEAR(E992))</f>
        <v>2022-2023</v>
      </c>
      <c r="R992" s="3"/>
      <c r="S992" s="3"/>
      <c r="T992" s="15" t="str">
        <f t="shared" ca="1" si="15"/>
        <v>0</v>
      </c>
      <c r="U992" s="3"/>
    </row>
    <row r="993" spans="1:21" x14ac:dyDescent="0.35">
      <c r="A993" s="3" t="s">
        <v>2007</v>
      </c>
      <c r="B993" s="3" t="s">
        <v>2008</v>
      </c>
      <c r="C993" s="3" t="s">
        <v>25</v>
      </c>
      <c r="D993" s="3" t="s">
        <v>18</v>
      </c>
      <c r="E993" s="6">
        <v>45358</v>
      </c>
      <c r="F993" s="3" t="s">
        <v>14</v>
      </c>
      <c r="G993" s="3">
        <v>9032</v>
      </c>
      <c r="H993" s="3">
        <v>7939</v>
      </c>
      <c r="I993" s="3">
        <v>2.56</v>
      </c>
      <c r="J993" s="3">
        <v>8</v>
      </c>
      <c r="K993" s="15">
        <f ca="1">IF(F993="Enrolled",TODAY()-E993,"0")</f>
        <v>696</v>
      </c>
      <c r="L993" s="3" t="str">
        <f>IF(I993&gt;=3.5,"Excellent",IF(I993&gt;=3,"Good",IF(I993&gt;=2,"Average","Poor")))</f>
        <v>Average</v>
      </c>
      <c r="M993" s="3" t="str">
        <v>Dr.Roy</v>
      </c>
      <c r="N993" s="3" t="str">
        <f>IF(H993 &gt; (G993*50%), "Yes", "No")</f>
        <v>Yes</v>
      </c>
      <c r="O993" s="16">
        <f>G993-H993</f>
        <v>1093</v>
      </c>
      <c r="P993" s="16">
        <f>SUMIFS(O993:O993,E993:E993,"Science",F993:F993,"Completed")</f>
        <v>0</v>
      </c>
      <c r="Q993" s="3" t="str">
        <f>IF(MONTH(E993)&gt;=7, YEAR(E993)&amp;"-"&amp;YEAR(E993)+1, YEAR(E993)-1&amp;"-"&amp;YEAR(E993))</f>
        <v>2023-2024</v>
      </c>
      <c r="R993" s="3"/>
      <c r="S993" s="3"/>
      <c r="T993" s="15" t="str">
        <f t="shared" ca="1" si="15"/>
        <v>0</v>
      </c>
      <c r="U993" s="3"/>
    </row>
    <row r="994" spans="1:21" x14ac:dyDescent="0.35">
      <c r="A994" s="3" t="s">
        <v>2009</v>
      </c>
      <c r="B994" s="3" t="s">
        <v>2010</v>
      </c>
      <c r="C994" s="3" t="s">
        <v>25</v>
      </c>
      <c r="D994" s="3" t="s">
        <v>62</v>
      </c>
      <c r="E994" s="6">
        <v>45256</v>
      </c>
      <c r="F994" s="3" t="s">
        <v>14</v>
      </c>
      <c r="G994" s="3">
        <v>10427</v>
      </c>
      <c r="H994" s="3">
        <v>7298</v>
      </c>
      <c r="I994" s="3">
        <v>3.54</v>
      </c>
      <c r="J994" s="3">
        <v>119</v>
      </c>
      <c r="K994" s="15">
        <f ca="1">IF(F994="Enrolled",TODAY()-E994,"0")</f>
        <v>798</v>
      </c>
      <c r="L994" s="3" t="str">
        <f>IF(I994&gt;=3.5,"Excellent",IF(I994&gt;=3,"Good",IF(I994&gt;=2,"Average","Poor")))</f>
        <v>Excellent</v>
      </c>
      <c r="M994" s="3" t="str">
        <v>Dr.Sinha</v>
      </c>
      <c r="N994" s="3" t="str">
        <f>IF(H994 &gt; (G994*50%), "Yes", "No")</f>
        <v>Yes</v>
      </c>
      <c r="O994" s="16">
        <f>G994-H994</f>
        <v>3129</v>
      </c>
      <c r="P994" s="16">
        <f>SUMIFS(O994:O994,E994:E994,"Science",F994:F994,"Completed")</f>
        <v>0</v>
      </c>
      <c r="Q994" s="3" t="str">
        <f>IF(MONTH(E994)&gt;=7, YEAR(E994)&amp;"-"&amp;YEAR(E994)+1, YEAR(E994)-1&amp;"-"&amp;YEAR(E994))</f>
        <v>2023-2024</v>
      </c>
      <c r="R994" s="3"/>
      <c r="S994" s="3"/>
      <c r="T994" s="15" t="str">
        <f t="shared" ca="1" si="15"/>
        <v>0</v>
      </c>
      <c r="U994" s="3"/>
    </row>
    <row r="995" spans="1:21" x14ac:dyDescent="0.35">
      <c r="A995" s="3" t="s">
        <v>2011</v>
      </c>
      <c r="B995" s="3" t="s">
        <v>2012</v>
      </c>
      <c r="C995" s="3" t="s">
        <v>36</v>
      </c>
      <c r="D995" s="3" t="s">
        <v>31</v>
      </c>
      <c r="E995" s="6">
        <v>45391</v>
      </c>
      <c r="F995" s="3" t="s">
        <v>14</v>
      </c>
      <c r="G995" s="3">
        <v>6051</v>
      </c>
      <c r="H995" s="3">
        <v>7108</v>
      </c>
      <c r="I995" s="3">
        <v>3.2</v>
      </c>
      <c r="J995" s="3">
        <v>99</v>
      </c>
      <c r="K995" s="15">
        <f ca="1">IF(F995="Enrolled",TODAY()-E995,"0")</f>
        <v>663</v>
      </c>
      <c r="L995" s="3" t="str">
        <f>IF(I995&gt;=3.5,"Excellent",IF(I995&gt;=3,"Good",IF(I995&gt;=2,"Average","Poor")))</f>
        <v>Good</v>
      </c>
      <c r="M995" s="3" t="str">
        <v>Dr.Sharma</v>
      </c>
      <c r="N995" s="3" t="str">
        <f>IF(H995 &gt; (G995*50%), "Yes", "No")</f>
        <v>Yes</v>
      </c>
      <c r="O995" s="16">
        <f>G995-H995</f>
        <v>-1057</v>
      </c>
      <c r="P995" s="16">
        <f>SUMIFS(O995:O995,E995:E995,"Science",F995:F995,"Completed")</f>
        <v>0</v>
      </c>
      <c r="Q995" s="3" t="str">
        <f>IF(MONTH(E995)&gt;=7, YEAR(E995)&amp;"-"&amp;YEAR(E995)+1, YEAR(E995)-1&amp;"-"&amp;YEAR(E995))</f>
        <v>2023-2024</v>
      </c>
      <c r="R995" s="3"/>
      <c r="S995" s="3"/>
      <c r="T995" s="15" t="str">
        <f t="shared" ca="1" si="15"/>
        <v>0</v>
      </c>
      <c r="U995" s="3"/>
    </row>
    <row r="996" spans="1:21" x14ac:dyDescent="0.35">
      <c r="A996" s="3" t="s">
        <v>2013</v>
      </c>
      <c r="B996" s="3" t="s">
        <v>2014</v>
      </c>
      <c r="C996" s="3" t="s">
        <v>12</v>
      </c>
      <c r="D996" s="3" t="s">
        <v>62</v>
      </c>
      <c r="E996" s="6">
        <v>45262</v>
      </c>
      <c r="F996" s="3" t="s">
        <v>14</v>
      </c>
      <c r="G996" s="3">
        <v>5499</v>
      </c>
      <c r="H996" s="3">
        <v>8616</v>
      </c>
      <c r="I996" s="3">
        <v>3.07</v>
      </c>
      <c r="J996" s="3">
        <v>23</v>
      </c>
      <c r="K996" s="15">
        <f ca="1">IF(F996="Enrolled",TODAY()-E996,"0")</f>
        <v>792</v>
      </c>
      <c r="L996" s="3" t="str">
        <f>IF(I996&gt;=3.5,"Excellent",IF(I996&gt;=3,"Good",IF(I996&gt;=2,"Average","Poor")))</f>
        <v>Good</v>
      </c>
      <c r="M996" s="3" t="str">
        <v>Dr.Sinha</v>
      </c>
      <c r="N996" s="3" t="str">
        <f>IF(H996 &gt; (G996*50%), "Yes", "No")</f>
        <v>Yes</v>
      </c>
      <c r="O996" s="16">
        <f>G996-H996</f>
        <v>-3117</v>
      </c>
      <c r="P996" s="16">
        <f>SUMIFS(O996:O996,E996:E996,"Science",F996:F996,"Completed")</f>
        <v>0</v>
      </c>
      <c r="Q996" s="3" t="str">
        <f>IF(MONTH(E996)&gt;=7, YEAR(E996)&amp;"-"&amp;YEAR(E996)+1, YEAR(E996)-1&amp;"-"&amp;YEAR(E996))</f>
        <v>2023-2024</v>
      </c>
      <c r="R996" s="3"/>
      <c r="S996" s="3"/>
      <c r="T996" s="15" t="str">
        <f t="shared" ca="1" si="15"/>
        <v>0</v>
      </c>
      <c r="U996" s="3"/>
    </row>
    <row r="997" spans="1:21" x14ac:dyDescent="0.35">
      <c r="A997" s="3" t="s">
        <v>2015</v>
      </c>
      <c r="B997" s="3" t="s">
        <v>2016</v>
      </c>
      <c r="C997" s="3" t="s">
        <v>25</v>
      </c>
      <c r="D997" s="3" t="s">
        <v>13</v>
      </c>
      <c r="E997" s="6">
        <v>45301</v>
      </c>
      <c r="F997" s="3" t="s">
        <v>19</v>
      </c>
      <c r="G997" s="3">
        <v>5005</v>
      </c>
      <c r="H997" s="3">
        <v>9438</v>
      </c>
      <c r="I997" s="3">
        <v>3.13</v>
      </c>
      <c r="J997" s="3">
        <v>24</v>
      </c>
      <c r="K997" s="15" t="str">
        <f ca="1">IF(F997="Enrolled",TODAY()-E997,"0")</f>
        <v>0</v>
      </c>
      <c r="L997" s="3" t="str">
        <f>IF(I997&gt;=3.5,"Excellent",IF(I997&gt;=3,"Good",IF(I997&gt;=2,"Average","Poor")))</f>
        <v>Good</v>
      </c>
      <c r="M997" s="3" t="str">
        <v>Dr.Mehta</v>
      </c>
      <c r="N997" s="3" t="str">
        <f>IF(H997 &gt; (G997*50%), "Yes", "No")</f>
        <v>Yes</v>
      </c>
      <c r="O997" s="16">
        <f>G997-H997</f>
        <v>-4433</v>
      </c>
      <c r="P997" s="16">
        <f>SUMIFS(O997:O997,E997:E997,"Science",F997:F997,"Completed")</f>
        <v>0</v>
      </c>
      <c r="Q997" s="3" t="str">
        <f>IF(MONTH(E997)&gt;=7, YEAR(E997)&amp;"-"&amp;YEAR(E997)+1, YEAR(E997)-1&amp;"-"&amp;YEAR(E997))</f>
        <v>2023-2024</v>
      </c>
      <c r="R997" s="3"/>
      <c r="S997" s="3"/>
      <c r="T997" s="15">
        <f t="shared" ca="1" si="15"/>
        <v>753</v>
      </c>
      <c r="U997" s="3"/>
    </row>
    <row r="998" spans="1:21" x14ac:dyDescent="0.35">
      <c r="A998" s="3" t="s">
        <v>2017</v>
      </c>
      <c r="B998" s="3" t="s">
        <v>2018</v>
      </c>
      <c r="C998" s="3" t="s">
        <v>54</v>
      </c>
      <c r="D998" s="3" t="s">
        <v>62</v>
      </c>
      <c r="E998" s="6">
        <v>44917</v>
      </c>
      <c r="F998" s="3" t="s">
        <v>14</v>
      </c>
      <c r="G998" s="3">
        <v>11045</v>
      </c>
      <c r="H998" s="3">
        <v>9251</v>
      </c>
      <c r="I998" s="3">
        <v>2.93</v>
      </c>
      <c r="J998" s="3">
        <v>87</v>
      </c>
      <c r="K998" s="15">
        <f ca="1">IF(F998="Enrolled",TODAY()-E998,"0")</f>
        <v>1137</v>
      </c>
      <c r="L998" s="3" t="str">
        <f>IF(I998&gt;=3.5,"Excellent",IF(I998&gt;=3,"Good",IF(I998&gt;=2,"Average","Poor")))</f>
        <v>Average</v>
      </c>
      <c r="M998" s="3" t="str">
        <v>Dr.Sinha</v>
      </c>
      <c r="N998" s="3" t="str">
        <f>IF(H998 &gt; (G998*50%), "Yes", "No")</f>
        <v>Yes</v>
      </c>
      <c r="O998" s="16">
        <f>G998-H998</f>
        <v>1794</v>
      </c>
      <c r="P998" s="16">
        <f>SUMIFS(O998:O998,E998:E998,"Science",F998:F998,"Completed")</f>
        <v>0</v>
      </c>
      <c r="Q998" s="3" t="str">
        <f>IF(MONTH(E998)&gt;=7, YEAR(E998)&amp;"-"&amp;YEAR(E998)+1, YEAR(E998)-1&amp;"-"&amp;YEAR(E998))</f>
        <v>2022-2023</v>
      </c>
      <c r="R998" s="3"/>
      <c r="S998" s="3"/>
      <c r="T998" s="15" t="str">
        <f t="shared" ca="1" si="15"/>
        <v>0</v>
      </c>
      <c r="U998" s="3"/>
    </row>
    <row r="999" spans="1:21" x14ac:dyDescent="0.35">
      <c r="A999" s="3" t="s">
        <v>2019</v>
      </c>
      <c r="B999" s="3" t="s">
        <v>2020</v>
      </c>
      <c r="C999" s="3" t="s">
        <v>54</v>
      </c>
      <c r="D999" s="3" t="s">
        <v>18</v>
      </c>
      <c r="E999" s="6">
        <v>44601</v>
      </c>
      <c r="F999" s="3" t="s">
        <v>19</v>
      </c>
      <c r="G999" s="3">
        <v>12297</v>
      </c>
      <c r="H999" s="3">
        <v>4680</v>
      </c>
      <c r="I999" s="3">
        <v>2.02</v>
      </c>
      <c r="J999" s="3">
        <v>58</v>
      </c>
      <c r="K999" s="15" t="str">
        <f ca="1">IF(F999="Enrolled",TODAY()-E999,"0")</f>
        <v>0</v>
      </c>
      <c r="L999" s="3" t="str">
        <f>IF(I999&gt;=3.5,"Excellent",IF(I999&gt;=3,"Good",IF(I999&gt;=2,"Average","Poor")))</f>
        <v>Average</v>
      </c>
      <c r="M999" s="3" t="str">
        <v>Dr.Roy</v>
      </c>
      <c r="N999" s="3" t="str">
        <f>IF(H999 &gt; (G999*50%), "Yes", "No")</f>
        <v>No</v>
      </c>
      <c r="O999" s="16">
        <f>G999-H999</f>
        <v>7617</v>
      </c>
      <c r="P999" s="16">
        <f>SUMIFS(O999:O999,E999:E999,"Science",F999:F999,"Completed")</f>
        <v>0</v>
      </c>
      <c r="Q999" s="3" t="str">
        <f>IF(MONTH(E999)&gt;=7, YEAR(E999)&amp;"-"&amp;YEAR(E999)+1, YEAR(E999)-1&amp;"-"&amp;YEAR(E999))</f>
        <v>2021-2022</v>
      </c>
      <c r="R999" s="3"/>
      <c r="S999" s="3"/>
      <c r="T999" s="15">
        <f t="shared" ca="1" si="15"/>
        <v>1453</v>
      </c>
      <c r="U999" s="3"/>
    </row>
    <row r="1000" spans="1:21" x14ac:dyDescent="0.35">
      <c r="A1000" s="3" t="s">
        <v>2021</v>
      </c>
      <c r="B1000" s="3" t="s">
        <v>2022</v>
      </c>
      <c r="C1000" s="3" t="s">
        <v>17</v>
      </c>
      <c r="D1000" s="3" t="s">
        <v>18</v>
      </c>
      <c r="E1000" s="6">
        <v>44871</v>
      </c>
      <c r="F1000" s="3" t="s">
        <v>14</v>
      </c>
      <c r="G1000" s="3">
        <v>4317</v>
      </c>
      <c r="H1000" s="3">
        <v>1427</v>
      </c>
      <c r="I1000" s="3">
        <v>3.55</v>
      </c>
      <c r="J1000" s="3">
        <v>76</v>
      </c>
      <c r="K1000" s="15">
        <f ca="1">IF(F1000="Enrolled",TODAY()-E1000,"0")</f>
        <v>1183</v>
      </c>
      <c r="L1000" s="3" t="str">
        <f>IF(I1000&gt;=3.5,"Excellent",IF(I1000&gt;=3,"Good",IF(I1000&gt;=2,"Average","Poor")))</f>
        <v>Excellent</v>
      </c>
      <c r="M1000" s="3" t="str">
        <v>Dr.Roy</v>
      </c>
      <c r="N1000" s="3" t="str">
        <f>IF(H1000 &gt; (G1000*50%), "Yes", "No")</f>
        <v>No</v>
      </c>
      <c r="O1000" s="16">
        <f>G1000-H1000</f>
        <v>2890</v>
      </c>
      <c r="P1000" s="16">
        <f>SUMIFS(O1000:O1000,E1000:E1000,"Science",F1000:F1000,"Completed")</f>
        <v>0</v>
      </c>
      <c r="Q1000" s="3" t="str">
        <f>IF(MONTH(E1000)&gt;=7, YEAR(E1000)&amp;"-"&amp;YEAR(E1000)+1, YEAR(E1000)-1&amp;"-"&amp;YEAR(E1000))</f>
        <v>2022-2023</v>
      </c>
      <c r="R1000" s="3"/>
      <c r="S1000" s="3"/>
      <c r="T1000" s="15" t="str">
        <f t="shared" ca="1" si="15"/>
        <v>0</v>
      </c>
      <c r="U1000" s="3"/>
    </row>
    <row r="1001" spans="1:21" x14ac:dyDescent="0.35">
      <c r="A1001" s="3" t="s">
        <v>2023</v>
      </c>
      <c r="B1001" s="3" t="s">
        <v>2024</v>
      </c>
      <c r="C1001" s="3" t="s">
        <v>12</v>
      </c>
      <c r="D1001" s="3" t="s">
        <v>62</v>
      </c>
      <c r="E1001" s="6">
        <v>44627</v>
      </c>
      <c r="F1001" s="3" t="s">
        <v>19</v>
      </c>
      <c r="G1001" s="3">
        <v>14569</v>
      </c>
      <c r="H1001" s="3">
        <v>9058</v>
      </c>
      <c r="I1001" s="3">
        <v>2.4</v>
      </c>
      <c r="J1001" s="3">
        <v>29</v>
      </c>
      <c r="K1001" s="15" t="str">
        <f ca="1">IF(F1001="Enrolled",TODAY()-E1001,"0")</f>
        <v>0</v>
      </c>
      <c r="L1001" s="3" t="str">
        <f>IF(I1001&gt;=3.5,"Excellent",IF(I1001&gt;=3,"Good",IF(I1001&gt;=2,"Average","Poor")))</f>
        <v>Average</v>
      </c>
      <c r="M1001" s="3" t="str">
        <v>Dr.Sinha</v>
      </c>
      <c r="N1001" s="3" t="str">
        <f>IF(H1001 &gt; (G1001*50%), "Yes", "No")</f>
        <v>Yes</v>
      </c>
      <c r="O1001" s="16">
        <f>G1001-H1001</f>
        <v>5511</v>
      </c>
      <c r="P1001" s="16">
        <f>SUMIFS(O1001:O1001,E1001:E1001,"Science",F1001:F1001,"Completed")</f>
        <v>0</v>
      </c>
      <c r="Q1001" s="3" t="str">
        <f>IF(MONTH(E1001)&gt;=7, YEAR(E1001)&amp;"-"&amp;YEAR(E1001)+1, YEAR(E1001)-1&amp;"-"&amp;YEAR(E1001))</f>
        <v>2021-2022</v>
      </c>
      <c r="R1001" s="3"/>
      <c r="S1001" s="3"/>
      <c r="T1001" s="15">
        <f t="shared" ca="1" si="15"/>
        <v>1427</v>
      </c>
      <c r="U1001" s="3"/>
    </row>
    <row r="1002" spans="1:21" x14ac:dyDescent="0.35">
      <c r="A1002" s="3" t="s">
        <v>2025</v>
      </c>
      <c r="B1002" s="3" t="s">
        <v>2026</v>
      </c>
      <c r="C1002" s="3" t="s">
        <v>22</v>
      </c>
      <c r="D1002" s="3" t="s">
        <v>13</v>
      </c>
      <c r="E1002" s="6">
        <v>44918</v>
      </c>
      <c r="F1002" s="3" t="s">
        <v>14</v>
      </c>
      <c r="G1002" s="3">
        <v>12134</v>
      </c>
      <c r="H1002" s="3">
        <v>3119</v>
      </c>
      <c r="I1002" s="3">
        <v>2.91</v>
      </c>
      <c r="J1002" s="3">
        <v>4</v>
      </c>
      <c r="K1002" s="15">
        <f ca="1">IF(F1002="Enrolled",TODAY()-E1002,"0")</f>
        <v>1136</v>
      </c>
      <c r="L1002" s="3" t="str">
        <f>IF(I1002&gt;=3.5,"Excellent",IF(I1002&gt;=3,"Good",IF(I1002&gt;=2,"Average","Poor")))</f>
        <v>Average</v>
      </c>
      <c r="M1002" s="3" t="str">
        <v>Dr.Mehta</v>
      </c>
      <c r="N1002" s="3" t="str">
        <f>IF(H1002 &gt; (G1002*50%), "Yes", "No")</f>
        <v>No</v>
      </c>
      <c r="O1002" s="16">
        <f>G1002-H1002</f>
        <v>9015</v>
      </c>
      <c r="P1002" s="16">
        <f>SUMIFS(O1002:O1002,E1002:E1002,"Science",F1002:F1002,"Completed")</f>
        <v>0</v>
      </c>
      <c r="Q1002" s="3" t="str">
        <f>IF(MONTH(E1002)&gt;=7, YEAR(E1002)&amp;"-"&amp;YEAR(E1002)+1, YEAR(E1002)-1&amp;"-"&amp;YEAR(E1002))</f>
        <v>2022-2023</v>
      </c>
      <c r="R1002" s="3"/>
      <c r="S1002" s="3"/>
      <c r="T1002" s="15" t="str">
        <f t="shared" ca="1" si="15"/>
        <v>0</v>
      </c>
      <c r="U1002" s="3"/>
    </row>
    <row r="1003" spans="1:21" x14ac:dyDescent="0.35">
      <c r="A1003" s="3" t="s">
        <v>2027</v>
      </c>
      <c r="B1003" s="3" t="s">
        <v>2028</v>
      </c>
      <c r="C1003" s="3" t="s">
        <v>25</v>
      </c>
      <c r="D1003" s="3" t="s">
        <v>62</v>
      </c>
      <c r="E1003" s="6">
        <v>44928</v>
      </c>
      <c r="F1003" s="3" t="s">
        <v>39</v>
      </c>
      <c r="G1003" s="3">
        <v>11342</v>
      </c>
      <c r="H1003" s="3">
        <v>152</v>
      </c>
      <c r="I1003" s="3">
        <v>3.13</v>
      </c>
      <c r="J1003" s="3">
        <v>0</v>
      </c>
      <c r="K1003" s="15" t="str">
        <f ca="1">IF(F1003="Enrolled",TODAY()-E1003,"0")</f>
        <v>0</v>
      </c>
      <c r="L1003" s="3" t="str">
        <f>IF(I1003&gt;=3.5,"Excellent",IF(I1003&gt;=3,"Good",IF(I1003&gt;=2,"Average","Poor")))</f>
        <v>Good</v>
      </c>
      <c r="M1003" s="3" t="str">
        <v>Dr.Sinha</v>
      </c>
      <c r="N1003" s="3" t="str">
        <f>IF(H1003 &gt; (G1003*50%), "Yes", "No")</f>
        <v>No</v>
      </c>
      <c r="O1003" s="16">
        <f>G1003-H1003</f>
        <v>11190</v>
      </c>
      <c r="P1003" s="16">
        <f>SUMIFS(O1003:O1003,E1003:E1003,"Science",F1003:F1003,"Completed")</f>
        <v>0</v>
      </c>
      <c r="Q1003" s="3" t="str">
        <f>IF(MONTH(E1003)&gt;=7, YEAR(E1003)&amp;"-"&amp;YEAR(E1003)+1, YEAR(E1003)-1&amp;"-"&amp;YEAR(E1003))</f>
        <v>2022-2023</v>
      </c>
      <c r="R1003" s="3"/>
      <c r="S1003" s="3"/>
      <c r="T1003" s="15" t="str">
        <f t="shared" ca="1" si="15"/>
        <v>0</v>
      </c>
      <c r="U1003" s="3"/>
    </row>
    <row r="1004" spans="1:21" x14ac:dyDescent="0.35">
      <c r="A1004" s="3" t="s">
        <v>2029</v>
      </c>
      <c r="B1004" s="3" t="s">
        <v>2030</v>
      </c>
      <c r="C1004" s="3" t="s">
        <v>28</v>
      </c>
      <c r="D1004" s="3" t="s">
        <v>13</v>
      </c>
      <c r="E1004" s="6">
        <v>44816</v>
      </c>
      <c r="F1004" s="3" t="s">
        <v>14</v>
      </c>
      <c r="G1004" s="3">
        <v>2607</v>
      </c>
      <c r="H1004" s="3">
        <v>2463</v>
      </c>
      <c r="I1004" s="3">
        <v>2.52</v>
      </c>
      <c r="J1004" s="3">
        <v>17</v>
      </c>
      <c r="K1004" s="15">
        <f ca="1">IF(F1004="Enrolled",TODAY()-E1004,"0")</f>
        <v>1238</v>
      </c>
      <c r="L1004" s="3" t="str">
        <f>IF(I1004&gt;=3.5,"Excellent",IF(I1004&gt;=3,"Good",IF(I1004&gt;=2,"Average","Poor")))</f>
        <v>Average</v>
      </c>
      <c r="M1004" s="3" t="str">
        <v>Dr.Mehta</v>
      </c>
      <c r="N1004" s="3" t="str">
        <f>IF(H1004 &gt; (G1004*50%), "Yes", "No")</f>
        <v>Yes</v>
      </c>
      <c r="O1004" s="16">
        <f>G1004-H1004</f>
        <v>144</v>
      </c>
      <c r="P1004" s="16">
        <f>SUMIFS(O1004:O1004,E1004:E1004,"Science",F1004:F1004,"Completed")</f>
        <v>0</v>
      </c>
      <c r="Q1004" s="3" t="str">
        <f>IF(MONTH(E1004)&gt;=7, YEAR(E1004)&amp;"-"&amp;YEAR(E1004)+1, YEAR(E1004)-1&amp;"-"&amp;YEAR(E1004))</f>
        <v>2022-2023</v>
      </c>
      <c r="R1004" s="3"/>
      <c r="S1004" s="3"/>
      <c r="T1004" s="15" t="str">
        <f t="shared" ca="1" si="15"/>
        <v>0</v>
      </c>
      <c r="U1004" s="3"/>
    </row>
    <row r="1005" spans="1:21" x14ac:dyDescent="0.35">
      <c r="A1005" s="3" t="s">
        <v>2031</v>
      </c>
      <c r="B1005" s="3" t="s">
        <v>2032</v>
      </c>
      <c r="C1005" s="3" t="s">
        <v>17</v>
      </c>
      <c r="D1005" s="3" t="s">
        <v>13</v>
      </c>
      <c r="E1005" s="6">
        <v>45365</v>
      </c>
      <c r="F1005" s="3" t="s">
        <v>39</v>
      </c>
      <c r="G1005" s="3">
        <v>5479</v>
      </c>
      <c r="H1005" s="3">
        <v>9211</v>
      </c>
      <c r="I1005" s="3">
        <v>2.78</v>
      </c>
      <c r="J1005" s="3">
        <v>8</v>
      </c>
      <c r="K1005" s="15" t="str">
        <f ca="1">IF(F1005="Enrolled",TODAY()-E1005,"0")</f>
        <v>0</v>
      </c>
      <c r="L1005" s="3" t="str">
        <f>IF(I1005&gt;=3.5,"Excellent",IF(I1005&gt;=3,"Good",IF(I1005&gt;=2,"Average","Poor")))</f>
        <v>Average</v>
      </c>
      <c r="M1005" s="3" t="str">
        <v>Dr.Mehta</v>
      </c>
      <c r="N1005" s="3" t="str">
        <f>IF(H1005 &gt; (G1005*50%), "Yes", "No")</f>
        <v>Yes</v>
      </c>
      <c r="O1005" s="16">
        <f>G1005-H1005</f>
        <v>-3732</v>
      </c>
      <c r="P1005" s="16">
        <f>SUMIFS(O1005:O1005,E1005:E1005,"Science",F1005:F1005,"Completed")</f>
        <v>0</v>
      </c>
      <c r="Q1005" s="3" t="str">
        <f>IF(MONTH(E1005)&gt;=7, YEAR(E1005)&amp;"-"&amp;YEAR(E1005)+1, YEAR(E1005)-1&amp;"-"&amp;YEAR(E1005))</f>
        <v>2023-2024</v>
      </c>
      <c r="R1005" s="3"/>
      <c r="S1005" s="3"/>
      <c r="T1005" s="15" t="str">
        <f t="shared" ca="1" si="15"/>
        <v>0</v>
      </c>
      <c r="U1005" s="3"/>
    </row>
    <row r="1006" spans="1:21" x14ac:dyDescent="0.35">
      <c r="A1006" s="3" t="s">
        <v>2033</v>
      </c>
      <c r="B1006" s="3" t="s">
        <v>2034</v>
      </c>
      <c r="C1006" s="3" t="s">
        <v>57</v>
      </c>
      <c r="D1006" s="3" t="s">
        <v>13</v>
      </c>
      <c r="E1006" s="6">
        <v>44716</v>
      </c>
      <c r="F1006" s="3" t="s">
        <v>19</v>
      </c>
      <c r="G1006" s="3">
        <v>6615</v>
      </c>
      <c r="H1006" s="3">
        <v>1700</v>
      </c>
      <c r="I1006" s="3">
        <v>3.92</v>
      </c>
      <c r="J1006" s="3">
        <v>96</v>
      </c>
      <c r="K1006" s="15" t="str">
        <f ca="1">IF(F1006="Enrolled",TODAY()-E1006,"0")</f>
        <v>0</v>
      </c>
      <c r="L1006" s="3" t="str">
        <f>IF(I1006&gt;=3.5,"Excellent",IF(I1006&gt;=3,"Good",IF(I1006&gt;=2,"Average","Poor")))</f>
        <v>Excellent</v>
      </c>
      <c r="M1006" s="3" t="str">
        <v>Dr.Mehta</v>
      </c>
      <c r="N1006" s="3" t="str">
        <f>IF(H1006 &gt; (G1006*50%), "Yes", "No")</f>
        <v>No</v>
      </c>
      <c r="O1006" s="16">
        <f>G1006-H1006</f>
        <v>4915</v>
      </c>
      <c r="P1006" s="16">
        <f>SUMIFS(O1006:O1006,E1006:E1006,"Science",F1006:F1006,"Completed")</f>
        <v>0</v>
      </c>
      <c r="Q1006" s="3" t="str">
        <f>IF(MONTH(E1006)&gt;=7, YEAR(E1006)&amp;"-"&amp;YEAR(E1006)+1, YEAR(E1006)-1&amp;"-"&amp;YEAR(E1006))</f>
        <v>2021-2022</v>
      </c>
      <c r="R1006" s="3"/>
      <c r="S1006" s="3"/>
      <c r="T1006" s="15">
        <f t="shared" ca="1" si="15"/>
        <v>1338</v>
      </c>
      <c r="U1006" s="3"/>
    </row>
    <row r="1007" spans="1:21" x14ac:dyDescent="0.35">
      <c r="A1007" s="3" t="s">
        <v>2035</v>
      </c>
      <c r="B1007" s="3" t="s">
        <v>2036</v>
      </c>
      <c r="C1007" s="3" t="s">
        <v>12</v>
      </c>
      <c r="D1007" s="3" t="s">
        <v>18</v>
      </c>
      <c r="E1007" s="6">
        <v>45164</v>
      </c>
      <c r="F1007" s="3" t="s">
        <v>14</v>
      </c>
      <c r="G1007" s="3">
        <v>4176</v>
      </c>
      <c r="H1007" s="3">
        <v>9643</v>
      </c>
      <c r="I1007" s="3">
        <v>3.3</v>
      </c>
      <c r="J1007" s="3">
        <v>12</v>
      </c>
      <c r="K1007" s="15">
        <f ca="1">IF(F1007="Enrolled",TODAY()-E1007,"0")</f>
        <v>890</v>
      </c>
      <c r="L1007" s="3" t="str">
        <f>IF(I1007&gt;=3.5,"Excellent",IF(I1007&gt;=3,"Good",IF(I1007&gt;=2,"Average","Poor")))</f>
        <v>Good</v>
      </c>
      <c r="M1007" s="3" t="str">
        <v>Dr.Roy</v>
      </c>
      <c r="N1007" s="3" t="str">
        <f>IF(H1007 &gt; (G1007*50%), "Yes", "No")</f>
        <v>Yes</v>
      </c>
      <c r="O1007" s="16">
        <f>G1007-H1007</f>
        <v>-5467</v>
      </c>
      <c r="P1007" s="16">
        <f>SUMIFS(O1007:O1007,E1007:E1007,"Science",F1007:F1007,"Completed")</f>
        <v>0</v>
      </c>
      <c r="Q1007" s="3" t="str">
        <f>IF(MONTH(E1007)&gt;=7, YEAR(E1007)&amp;"-"&amp;YEAR(E1007)+1, YEAR(E1007)-1&amp;"-"&amp;YEAR(E1007))</f>
        <v>2023-2024</v>
      </c>
      <c r="R1007" s="3"/>
      <c r="S1007" s="3"/>
      <c r="T1007" s="15" t="str">
        <f t="shared" ca="1" si="15"/>
        <v>0</v>
      </c>
      <c r="U1007" s="3"/>
    </row>
    <row r="1008" spans="1:21" x14ac:dyDescent="0.35">
      <c r="A1008" s="3" t="s">
        <v>2037</v>
      </c>
      <c r="B1008" s="3" t="s">
        <v>2038</v>
      </c>
      <c r="C1008" s="3" t="s">
        <v>36</v>
      </c>
      <c r="D1008" s="3" t="s">
        <v>18</v>
      </c>
      <c r="E1008" s="6">
        <v>45417</v>
      </c>
      <c r="F1008" s="3" t="s">
        <v>19</v>
      </c>
      <c r="G1008" s="3">
        <v>3536</v>
      </c>
      <c r="H1008" s="3">
        <v>5079</v>
      </c>
      <c r="I1008" s="3">
        <v>2.46</v>
      </c>
      <c r="J1008" s="3">
        <v>108</v>
      </c>
      <c r="K1008" s="15" t="str">
        <f ca="1">IF(F1008="Enrolled",TODAY()-E1008,"0")</f>
        <v>0</v>
      </c>
      <c r="L1008" s="3" t="str">
        <f>IF(I1008&gt;=3.5,"Excellent",IF(I1008&gt;=3,"Good",IF(I1008&gt;=2,"Average","Poor")))</f>
        <v>Average</v>
      </c>
      <c r="M1008" s="3" t="str">
        <v>Dr.Roy</v>
      </c>
      <c r="N1008" s="3" t="str">
        <f>IF(H1008 &gt; (G1008*50%), "Yes", "No")</f>
        <v>Yes</v>
      </c>
      <c r="O1008" s="16">
        <f>G1008-H1008</f>
        <v>-1543</v>
      </c>
      <c r="P1008" s="16">
        <f>SUMIFS(O1008:O1008,E1008:E1008,"Science",F1008:F1008,"Completed")</f>
        <v>0</v>
      </c>
      <c r="Q1008" s="3" t="str">
        <f>IF(MONTH(E1008)&gt;=7, YEAR(E1008)&amp;"-"&amp;YEAR(E1008)+1, YEAR(E1008)-1&amp;"-"&amp;YEAR(E1008))</f>
        <v>2023-2024</v>
      </c>
      <c r="R1008" s="3"/>
      <c r="S1008" s="3"/>
      <c r="T1008" s="15">
        <f t="shared" ca="1" si="15"/>
        <v>637</v>
      </c>
      <c r="U1008" s="3"/>
    </row>
    <row r="1009" spans="1:21" x14ac:dyDescent="0.35">
      <c r="A1009" s="3" t="s">
        <v>2039</v>
      </c>
      <c r="B1009" s="3" t="s">
        <v>2040</v>
      </c>
      <c r="C1009" s="3" t="s">
        <v>36</v>
      </c>
      <c r="D1009" s="3" t="s">
        <v>13</v>
      </c>
      <c r="E1009" s="6">
        <v>45285</v>
      </c>
      <c r="F1009" s="3" t="s">
        <v>14</v>
      </c>
      <c r="G1009" s="3">
        <v>9886</v>
      </c>
      <c r="H1009" s="3">
        <v>4015</v>
      </c>
      <c r="I1009" s="3">
        <v>2.63</v>
      </c>
      <c r="J1009" s="3">
        <v>80</v>
      </c>
      <c r="K1009" s="15">
        <f ca="1">IF(F1009="Enrolled",TODAY()-E1009,"0")</f>
        <v>769</v>
      </c>
      <c r="L1009" s="3" t="str">
        <f>IF(I1009&gt;=3.5,"Excellent",IF(I1009&gt;=3,"Good",IF(I1009&gt;=2,"Average","Poor")))</f>
        <v>Average</v>
      </c>
      <c r="M1009" s="3" t="str">
        <v>Dr.Mehta</v>
      </c>
      <c r="N1009" s="3" t="str">
        <f>IF(H1009 &gt; (G1009*50%), "Yes", "No")</f>
        <v>No</v>
      </c>
      <c r="O1009" s="16">
        <f>G1009-H1009</f>
        <v>5871</v>
      </c>
      <c r="P1009" s="16">
        <f>SUMIFS(O1009:O1009,E1009:E1009,"Science",F1009:F1009,"Completed")</f>
        <v>0</v>
      </c>
      <c r="Q1009" s="3" t="str">
        <f>IF(MONTH(E1009)&gt;=7, YEAR(E1009)&amp;"-"&amp;YEAR(E1009)+1, YEAR(E1009)-1&amp;"-"&amp;YEAR(E1009))</f>
        <v>2023-2024</v>
      </c>
      <c r="R1009" s="3"/>
      <c r="S1009" s="3"/>
      <c r="T1009" s="15" t="str">
        <f t="shared" ca="1" si="15"/>
        <v>0</v>
      </c>
      <c r="U1009" s="3"/>
    </row>
    <row r="1010" spans="1:21" x14ac:dyDescent="0.35">
      <c r="A1010" s="3" t="s">
        <v>2041</v>
      </c>
      <c r="B1010" s="3" t="s">
        <v>2042</v>
      </c>
      <c r="C1010" s="3" t="s">
        <v>22</v>
      </c>
      <c r="D1010" s="3" t="s">
        <v>62</v>
      </c>
      <c r="E1010" s="6">
        <v>45281</v>
      </c>
      <c r="F1010" s="3" t="s">
        <v>39</v>
      </c>
      <c r="G1010" s="3">
        <v>6048</v>
      </c>
      <c r="H1010" s="3">
        <v>5071</v>
      </c>
      <c r="I1010" s="3">
        <v>3.78</v>
      </c>
      <c r="J1010" s="3">
        <v>84</v>
      </c>
      <c r="K1010" s="15" t="str">
        <f ca="1">IF(F1010="Enrolled",TODAY()-E1010,"0")</f>
        <v>0</v>
      </c>
      <c r="L1010" s="3" t="str">
        <f>IF(I1010&gt;=3.5,"Excellent",IF(I1010&gt;=3,"Good",IF(I1010&gt;=2,"Average","Poor")))</f>
        <v>Excellent</v>
      </c>
      <c r="M1010" s="3" t="str">
        <v>Dr.Sinha</v>
      </c>
      <c r="N1010" s="3" t="str">
        <f>IF(H1010 &gt; (G1010*50%), "Yes", "No")</f>
        <v>Yes</v>
      </c>
      <c r="O1010" s="16">
        <f>G1010-H1010</f>
        <v>977</v>
      </c>
      <c r="P1010" s="16">
        <f>SUMIFS(O1010:O1010,E1010:E1010,"Science",F1010:F1010,"Completed")</f>
        <v>0</v>
      </c>
      <c r="Q1010" s="3" t="str">
        <f>IF(MONTH(E1010)&gt;=7, YEAR(E1010)&amp;"-"&amp;YEAR(E1010)+1, YEAR(E1010)-1&amp;"-"&amp;YEAR(E1010))</f>
        <v>2023-2024</v>
      </c>
      <c r="R1010" s="3"/>
      <c r="S1010" s="3"/>
      <c r="T1010" s="15" t="str">
        <f t="shared" ca="1" si="15"/>
        <v>0</v>
      </c>
      <c r="U1010" s="3"/>
    </row>
    <row r="1011" spans="1:21" x14ac:dyDescent="0.35">
      <c r="A1011" s="3" t="s">
        <v>2043</v>
      </c>
      <c r="B1011" s="3" t="s">
        <v>2044</v>
      </c>
      <c r="C1011" s="3" t="s">
        <v>12</v>
      </c>
      <c r="D1011" s="3" t="s">
        <v>31</v>
      </c>
      <c r="E1011" s="6">
        <v>44579</v>
      </c>
      <c r="F1011" s="3" t="s">
        <v>39</v>
      </c>
      <c r="G1011" s="3">
        <v>4181</v>
      </c>
      <c r="H1011" s="3">
        <v>800</v>
      </c>
      <c r="I1011" s="3">
        <v>3.94</v>
      </c>
      <c r="J1011" s="3">
        <v>91</v>
      </c>
      <c r="K1011" s="15" t="str">
        <f ca="1">IF(F1011="Enrolled",TODAY()-E1011,"0")</f>
        <v>0</v>
      </c>
      <c r="L1011" s="3" t="str">
        <f>IF(I1011&gt;=3.5,"Excellent",IF(I1011&gt;=3,"Good",IF(I1011&gt;=2,"Average","Poor")))</f>
        <v>Excellent</v>
      </c>
      <c r="M1011" s="3" t="str">
        <v>Dr.Sharma</v>
      </c>
      <c r="N1011" s="3" t="str">
        <f>IF(H1011 &gt; (G1011*50%), "Yes", "No")</f>
        <v>No</v>
      </c>
      <c r="O1011" s="16">
        <f>G1011-H1011</f>
        <v>3381</v>
      </c>
      <c r="P1011" s="16">
        <f>SUMIFS(O1011:O1011,E1011:E1011,"Science",F1011:F1011,"Completed")</f>
        <v>0</v>
      </c>
      <c r="Q1011" s="3" t="str">
        <f>IF(MONTH(E1011)&gt;=7, YEAR(E1011)&amp;"-"&amp;YEAR(E1011)+1, YEAR(E1011)-1&amp;"-"&amp;YEAR(E1011))</f>
        <v>2021-2022</v>
      </c>
      <c r="R1011" s="3"/>
      <c r="S1011" s="3"/>
      <c r="T1011" s="15" t="str">
        <f t="shared" ca="1" si="15"/>
        <v>0</v>
      </c>
      <c r="U1011" s="3"/>
    </row>
    <row r="1012" spans="1:21" x14ac:dyDescent="0.35">
      <c r="A1012" s="3" t="s">
        <v>2045</v>
      </c>
      <c r="B1012" s="3" t="s">
        <v>2046</v>
      </c>
      <c r="C1012" s="3" t="s">
        <v>36</v>
      </c>
      <c r="D1012" s="3" t="s">
        <v>31</v>
      </c>
      <c r="E1012" s="6">
        <v>44693</v>
      </c>
      <c r="F1012" s="3" t="s">
        <v>14</v>
      </c>
      <c r="G1012" s="3">
        <v>7377</v>
      </c>
      <c r="H1012" s="3">
        <v>1185</v>
      </c>
      <c r="I1012" s="3">
        <v>2.25</v>
      </c>
      <c r="J1012" s="3">
        <v>96</v>
      </c>
      <c r="K1012" s="15">
        <f ca="1">IF(F1012="Enrolled",TODAY()-E1012,"0")</f>
        <v>1361</v>
      </c>
      <c r="L1012" s="3" t="str">
        <f>IF(I1012&gt;=3.5,"Excellent",IF(I1012&gt;=3,"Good",IF(I1012&gt;=2,"Average","Poor")))</f>
        <v>Average</v>
      </c>
      <c r="M1012" s="3" t="str">
        <v>Dr.Sharma</v>
      </c>
      <c r="N1012" s="3" t="str">
        <f>IF(H1012 &gt; (G1012*50%), "Yes", "No")</f>
        <v>No</v>
      </c>
      <c r="O1012" s="16">
        <f>G1012-H1012</f>
        <v>6192</v>
      </c>
      <c r="P1012" s="16">
        <f>SUMIFS(O1012:O1012,E1012:E1012,"Science",F1012:F1012,"Completed")</f>
        <v>0</v>
      </c>
      <c r="Q1012" s="3" t="str">
        <f>IF(MONTH(E1012)&gt;=7, YEAR(E1012)&amp;"-"&amp;YEAR(E1012)+1, YEAR(E1012)-1&amp;"-"&amp;YEAR(E1012))</f>
        <v>2021-2022</v>
      </c>
      <c r="R1012" s="3"/>
      <c r="S1012" s="3"/>
      <c r="T1012" s="15" t="str">
        <f t="shared" ca="1" si="15"/>
        <v>0</v>
      </c>
      <c r="U1012" s="3"/>
    </row>
    <row r="1013" spans="1:21" x14ac:dyDescent="0.35">
      <c r="A1013" s="3" t="s">
        <v>2047</v>
      </c>
      <c r="B1013" s="3" t="s">
        <v>2048</v>
      </c>
      <c r="C1013" s="3" t="s">
        <v>22</v>
      </c>
      <c r="D1013" s="3" t="s">
        <v>18</v>
      </c>
      <c r="E1013" s="6">
        <v>44673</v>
      </c>
      <c r="F1013" s="3" t="s">
        <v>14</v>
      </c>
      <c r="G1013" s="3">
        <v>14234</v>
      </c>
      <c r="H1013" s="3">
        <v>2693</v>
      </c>
      <c r="I1013" s="3">
        <v>2.0299999999999998</v>
      </c>
      <c r="J1013" s="3">
        <v>34</v>
      </c>
      <c r="K1013" s="15">
        <f ca="1">IF(F1013="Enrolled",TODAY()-E1013,"0")</f>
        <v>1381</v>
      </c>
      <c r="L1013" s="3" t="str">
        <f>IF(I1013&gt;=3.5,"Excellent",IF(I1013&gt;=3,"Good",IF(I1013&gt;=2,"Average","Poor")))</f>
        <v>Average</v>
      </c>
      <c r="M1013" s="3" t="str">
        <v>Dr.Roy</v>
      </c>
      <c r="N1013" s="3" t="str">
        <f>IF(H1013 &gt; (G1013*50%), "Yes", "No")</f>
        <v>No</v>
      </c>
      <c r="O1013" s="16">
        <f>G1013-H1013</f>
        <v>11541</v>
      </c>
      <c r="P1013" s="16">
        <f>SUMIFS(O1013:O1013,E1013:E1013,"Science",F1013:F1013,"Completed")</f>
        <v>0</v>
      </c>
      <c r="Q1013" s="3" t="str">
        <f>IF(MONTH(E1013)&gt;=7, YEAR(E1013)&amp;"-"&amp;YEAR(E1013)+1, YEAR(E1013)-1&amp;"-"&amp;YEAR(E1013))</f>
        <v>2021-2022</v>
      </c>
      <c r="R1013" s="3"/>
      <c r="S1013" s="3"/>
      <c r="T1013" s="15" t="str">
        <f t="shared" ca="1" si="15"/>
        <v>0</v>
      </c>
      <c r="U1013" s="3"/>
    </row>
    <row r="1014" spans="1:21" x14ac:dyDescent="0.35">
      <c r="A1014" s="3" t="s">
        <v>2049</v>
      </c>
      <c r="B1014" s="3" t="s">
        <v>2050</v>
      </c>
      <c r="C1014" s="3" t="s">
        <v>36</v>
      </c>
      <c r="D1014" s="3" t="s">
        <v>13</v>
      </c>
      <c r="E1014" s="6">
        <v>45360</v>
      </c>
      <c r="F1014" s="3" t="s">
        <v>19</v>
      </c>
      <c r="G1014" s="3">
        <v>4357</v>
      </c>
      <c r="H1014" s="3">
        <v>8371</v>
      </c>
      <c r="I1014" s="3">
        <v>3.08</v>
      </c>
      <c r="J1014" s="3">
        <v>89</v>
      </c>
      <c r="K1014" s="15" t="str">
        <f ca="1">IF(F1014="Enrolled",TODAY()-E1014,"0")</f>
        <v>0</v>
      </c>
      <c r="L1014" s="3" t="str">
        <f>IF(I1014&gt;=3.5,"Excellent",IF(I1014&gt;=3,"Good",IF(I1014&gt;=2,"Average","Poor")))</f>
        <v>Good</v>
      </c>
      <c r="M1014" s="3" t="str">
        <v>Dr.Mehta</v>
      </c>
      <c r="N1014" s="3" t="str">
        <f>IF(H1014 &gt; (G1014*50%), "Yes", "No")</f>
        <v>Yes</v>
      </c>
      <c r="O1014" s="16">
        <f>G1014-H1014</f>
        <v>-4014</v>
      </c>
      <c r="P1014" s="16">
        <f>SUMIFS(O1014:O1014,E1014:E1014,"Science",F1014:F1014,"Completed")</f>
        <v>0</v>
      </c>
      <c r="Q1014" s="3" t="str">
        <f>IF(MONTH(E1014)&gt;=7, YEAR(E1014)&amp;"-"&amp;YEAR(E1014)+1, YEAR(E1014)-1&amp;"-"&amp;YEAR(E1014))</f>
        <v>2023-2024</v>
      </c>
      <c r="R1014" s="3"/>
      <c r="S1014" s="3"/>
      <c r="T1014" s="15">
        <f t="shared" ca="1" si="15"/>
        <v>694</v>
      </c>
      <c r="U1014" s="3"/>
    </row>
    <row r="1015" spans="1:21" x14ac:dyDescent="0.35">
      <c r="A1015" s="3" t="s">
        <v>2051</v>
      </c>
      <c r="B1015" s="3" t="s">
        <v>2052</v>
      </c>
      <c r="C1015" s="3" t="s">
        <v>22</v>
      </c>
      <c r="D1015" s="3" t="s">
        <v>62</v>
      </c>
      <c r="E1015" s="6">
        <v>45065</v>
      </c>
      <c r="F1015" s="3" t="s">
        <v>14</v>
      </c>
      <c r="G1015" s="3">
        <v>6176</v>
      </c>
      <c r="H1015" s="3">
        <v>7401</v>
      </c>
      <c r="I1015" s="3">
        <v>2.68</v>
      </c>
      <c r="J1015" s="3">
        <v>68</v>
      </c>
      <c r="K1015" s="15">
        <f ca="1">IF(F1015="Enrolled",TODAY()-E1015,"0")</f>
        <v>989</v>
      </c>
      <c r="L1015" s="3" t="str">
        <f>IF(I1015&gt;=3.5,"Excellent",IF(I1015&gt;=3,"Good",IF(I1015&gt;=2,"Average","Poor")))</f>
        <v>Average</v>
      </c>
      <c r="M1015" s="3" t="str">
        <v>Dr.Sinha</v>
      </c>
      <c r="N1015" s="3" t="str">
        <f>IF(H1015 &gt; (G1015*50%), "Yes", "No")</f>
        <v>Yes</v>
      </c>
      <c r="O1015" s="16">
        <f>G1015-H1015</f>
        <v>-1225</v>
      </c>
      <c r="P1015" s="16">
        <f>SUMIFS(O1015:O1015,E1015:E1015,"Science",F1015:F1015,"Completed")</f>
        <v>0</v>
      </c>
      <c r="Q1015" s="3" t="str">
        <f>IF(MONTH(E1015)&gt;=7, YEAR(E1015)&amp;"-"&amp;YEAR(E1015)+1, YEAR(E1015)-1&amp;"-"&amp;YEAR(E1015))</f>
        <v>2022-2023</v>
      </c>
      <c r="R1015" s="3"/>
      <c r="S1015" s="3"/>
      <c r="T1015" s="15" t="str">
        <f t="shared" ca="1" si="15"/>
        <v>0</v>
      </c>
      <c r="U1015" s="3"/>
    </row>
    <row r="1016" spans="1:21" x14ac:dyDescent="0.35">
      <c r="A1016" s="3" t="s">
        <v>2053</v>
      </c>
      <c r="B1016" s="3" t="s">
        <v>2054</v>
      </c>
      <c r="C1016" s="3" t="s">
        <v>57</v>
      </c>
      <c r="D1016" s="3" t="s">
        <v>62</v>
      </c>
      <c r="E1016" s="6">
        <v>45013</v>
      </c>
      <c r="F1016" s="3" t="s">
        <v>14</v>
      </c>
      <c r="G1016" s="3">
        <v>14399</v>
      </c>
      <c r="H1016" s="3">
        <v>7150</v>
      </c>
      <c r="I1016" s="3">
        <v>2.95</v>
      </c>
      <c r="J1016" s="3">
        <v>21</v>
      </c>
      <c r="K1016" s="15">
        <f ca="1">IF(F1016="Enrolled",TODAY()-E1016,"0")</f>
        <v>1041</v>
      </c>
      <c r="L1016" s="3" t="str">
        <f>IF(I1016&gt;=3.5,"Excellent",IF(I1016&gt;=3,"Good",IF(I1016&gt;=2,"Average","Poor")))</f>
        <v>Average</v>
      </c>
      <c r="M1016" s="3" t="str">
        <v>Dr.Sinha</v>
      </c>
      <c r="N1016" s="3" t="str">
        <f>IF(H1016 &gt; (G1016*50%), "Yes", "No")</f>
        <v>No</v>
      </c>
      <c r="O1016" s="16">
        <f>G1016-H1016</f>
        <v>7249</v>
      </c>
      <c r="P1016" s="16">
        <f>SUMIFS(O1016:O1016,E1016:E1016,"Science",F1016:F1016,"Completed")</f>
        <v>0</v>
      </c>
      <c r="Q1016" s="3" t="str">
        <f>IF(MONTH(E1016)&gt;=7, YEAR(E1016)&amp;"-"&amp;YEAR(E1016)+1, YEAR(E1016)-1&amp;"-"&amp;YEAR(E1016))</f>
        <v>2022-2023</v>
      </c>
      <c r="R1016" s="3"/>
      <c r="S1016" s="3"/>
      <c r="T1016" s="15" t="str">
        <f t="shared" ca="1" si="15"/>
        <v>0</v>
      </c>
      <c r="U1016" s="3"/>
    </row>
    <row r="1017" spans="1:21" x14ac:dyDescent="0.35">
      <c r="A1017" s="3" t="s">
        <v>2055</v>
      </c>
      <c r="B1017" s="3" t="s">
        <v>2056</v>
      </c>
      <c r="C1017" s="3" t="s">
        <v>28</v>
      </c>
      <c r="D1017" s="3" t="s">
        <v>13</v>
      </c>
      <c r="E1017" s="6">
        <v>44564</v>
      </c>
      <c r="F1017" s="3" t="s">
        <v>14</v>
      </c>
      <c r="G1017" s="3">
        <v>13434</v>
      </c>
      <c r="H1017" s="3">
        <v>9599</v>
      </c>
      <c r="I1017" s="3">
        <v>2.15</v>
      </c>
      <c r="J1017" s="3">
        <v>18</v>
      </c>
      <c r="K1017" s="15">
        <f ca="1">IF(F1017="Enrolled",TODAY()-E1017,"0")</f>
        <v>1490</v>
      </c>
      <c r="L1017" s="3" t="str">
        <f>IF(I1017&gt;=3.5,"Excellent",IF(I1017&gt;=3,"Good",IF(I1017&gt;=2,"Average","Poor")))</f>
        <v>Average</v>
      </c>
      <c r="M1017" s="3" t="str">
        <v>Dr.Mehta</v>
      </c>
      <c r="N1017" s="3" t="str">
        <f>IF(H1017 &gt; (G1017*50%), "Yes", "No")</f>
        <v>Yes</v>
      </c>
      <c r="O1017" s="16">
        <f>G1017-H1017</f>
        <v>3835</v>
      </c>
      <c r="P1017" s="16">
        <f>SUMIFS(O1017:O1017,E1017:E1017,"Science",F1017:F1017,"Completed")</f>
        <v>0</v>
      </c>
      <c r="Q1017" s="3" t="str">
        <f>IF(MONTH(E1017)&gt;=7, YEAR(E1017)&amp;"-"&amp;YEAR(E1017)+1, YEAR(E1017)-1&amp;"-"&amp;YEAR(E1017))</f>
        <v>2021-2022</v>
      </c>
      <c r="R1017" s="3"/>
      <c r="S1017" s="3"/>
      <c r="T1017" s="15" t="str">
        <f t="shared" ca="1" si="15"/>
        <v>0</v>
      </c>
      <c r="U1017" s="3"/>
    </row>
    <row r="1018" spans="1:21" x14ac:dyDescent="0.35">
      <c r="A1018" s="3" t="s">
        <v>2057</v>
      </c>
      <c r="B1018" s="3" t="s">
        <v>2058</v>
      </c>
      <c r="C1018" s="3" t="s">
        <v>54</v>
      </c>
      <c r="D1018" s="3" t="s">
        <v>31</v>
      </c>
      <c r="E1018" s="6">
        <v>45014</v>
      </c>
      <c r="F1018" s="3" t="s">
        <v>14</v>
      </c>
      <c r="G1018" s="3">
        <v>3398</v>
      </c>
      <c r="H1018" s="3">
        <v>6329</v>
      </c>
      <c r="I1018" s="3">
        <v>3.15</v>
      </c>
      <c r="J1018" s="3">
        <v>58</v>
      </c>
      <c r="K1018" s="15">
        <f ca="1">IF(F1018="Enrolled",TODAY()-E1018,"0")</f>
        <v>1040</v>
      </c>
      <c r="L1018" s="3" t="str">
        <f>IF(I1018&gt;=3.5,"Excellent",IF(I1018&gt;=3,"Good",IF(I1018&gt;=2,"Average","Poor")))</f>
        <v>Good</v>
      </c>
      <c r="M1018" s="3" t="str">
        <v>Dr.Sharma</v>
      </c>
      <c r="N1018" s="3" t="str">
        <f>IF(H1018 &gt; (G1018*50%), "Yes", "No")</f>
        <v>Yes</v>
      </c>
      <c r="O1018" s="16">
        <f>G1018-H1018</f>
        <v>-2931</v>
      </c>
      <c r="P1018" s="16">
        <f>SUMIFS(O1018:O1018,E1018:E1018,"Science",F1018:F1018,"Completed")</f>
        <v>0</v>
      </c>
      <c r="Q1018" s="3" t="str">
        <f>IF(MONTH(E1018)&gt;=7, YEAR(E1018)&amp;"-"&amp;YEAR(E1018)+1, YEAR(E1018)-1&amp;"-"&amp;YEAR(E1018))</f>
        <v>2022-2023</v>
      </c>
      <c r="R1018" s="3"/>
      <c r="S1018" s="3"/>
      <c r="T1018" s="15" t="str">
        <f t="shared" ca="1" si="15"/>
        <v>0</v>
      </c>
      <c r="U1018" s="3"/>
    </row>
    <row r="1019" spans="1:21" x14ac:dyDescent="0.35">
      <c r="A1019" s="3" t="s">
        <v>2059</v>
      </c>
      <c r="B1019" s="3" t="s">
        <v>2060</v>
      </c>
      <c r="C1019" s="3" t="s">
        <v>36</v>
      </c>
      <c r="D1019" s="3" t="s">
        <v>31</v>
      </c>
      <c r="E1019" s="6">
        <v>44827</v>
      </c>
      <c r="F1019" s="3" t="s">
        <v>14</v>
      </c>
      <c r="G1019" s="3">
        <v>9724</v>
      </c>
      <c r="H1019" s="3">
        <v>8224</v>
      </c>
      <c r="I1019" s="3">
        <v>3.57</v>
      </c>
      <c r="J1019" s="3">
        <v>38</v>
      </c>
      <c r="K1019" s="15">
        <f ca="1">IF(F1019="Enrolled",TODAY()-E1019,"0")</f>
        <v>1227</v>
      </c>
      <c r="L1019" s="3" t="str">
        <f>IF(I1019&gt;=3.5,"Excellent",IF(I1019&gt;=3,"Good",IF(I1019&gt;=2,"Average","Poor")))</f>
        <v>Excellent</v>
      </c>
      <c r="M1019" s="3" t="str">
        <v>Dr.Sharma</v>
      </c>
      <c r="N1019" s="3" t="str">
        <f>IF(H1019 &gt; (G1019*50%), "Yes", "No")</f>
        <v>Yes</v>
      </c>
      <c r="O1019" s="16">
        <f>G1019-H1019</f>
        <v>1500</v>
      </c>
      <c r="P1019" s="16">
        <f>SUMIFS(O1019:O1019,E1019:E1019,"Science",F1019:F1019,"Completed")</f>
        <v>0</v>
      </c>
      <c r="Q1019" s="3" t="str">
        <f>IF(MONTH(E1019)&gt;=7, YEAR(E1019)&amp;"-"&amp;YEAR(E1019)+1, YEAR(E1019)-1&amp;"-"&amp;YEAR(E1019))</f>
        <v>2022-2023</v>
      </c>
      <c r="R1019" s="3"/>
      <c r="S1019" s="3"/>
      <c r="T1019" s="15" t="str">
        <f t="shared" ca="1" si="15"/>
        <v>0</v>
      </c>
      <c r="U1019" s="3"/>
    </row>
    <row r="1020" spans="1:21" x14ac:dyDescent="0.35">
      <c r="A1020" s="3" t="s">
        <v>2061</v>
      </c>
      <c r="B1020" s="3" t="s">
        <v>2062</v>
      </c>
      <c r="C1020" s="3" t="s">
        <v>17</v>
      </c>
      <c r="D1020" s="3" t="s">
        <v>62</v>
      </c>
      <c r="E1020" s="6">
        <v>44916</v>
      </c>
      <c r="F1020" s="3" t="s">
        <v>14</v>
      </c>
      <c r="G1020" s="3">
        <v>13375</v>
      </c>
      <c r="H1020" s="3">
        <v>7202</v>
      </c>
      <c r="I1020" s="3">
        <v>3.07</v>
      </c>
      <c r="J1020" s="3">
        <v>11</v>
      </c>
      <c r="K1020" s="15">
        <f ca="1">IF(F1020="Enrolled",TODAY()-E1020,"0")</f>
        <v>1138</v>
      </c>
      <c r="L1020" s="3" t="str">
        <f>IF(I1020&gt;=3.5,"Excellent",IF(I1020&gt;=3,"Good",IF(I1020&gt;=2,"Average","Poor")))</f>
        <v>Good</v>
      </c>
      <c r="M1020" s="3" t="str">
        <v>Dr.Sinha</v>
      </c>
      <c r="N1020" s="3" t="str">
        <f>IF(H1020 &gt; (G1020*50%), "Yes", "No")</f>
        <v>Yes</v>
      </c>
      <c r="O1020" s="16">
        <f>G1020-H1020</f>
        <v>6173</v>
      </c>
      <c r="P1020" s="16">
        <f>SUMIFS(O1020:O1020,E1020:E1020,"Science",F1020:F1020,"Completed")</f>
        <v>0</v>
      </c>
      <c r="Q1020" s="3" t="str">
        <f>IF(MONTH(E1020)&gt;=7, YEAR(E1020)&amp;"-"&amp;YEAR(E1020)+1, YEAR(E1020)-1&amp;"-"&amp;YEAR(E1020))</f>
        <v>2022-2023</v>
      </c>
      <c r="R1020" s="3"/>
      <c r="S1020" s="3"/>
      <c r="T1020" s="15" t="str">
        <f t="shared" ca="1" si="15"/>
        <v>0</v>
      </c>
      <c r="U1020" s="3"/>
    </row>
    <row r="1021" spans="1:21" x14ac:dyDescent="0.35">
      <c r="A1021" s="3" t="s">
        <v>2063</v>
      </c>
      <c r="B1021" s="3" t="s">
        <v>2064</v>
      </c>
      <c r="C1021" s="3" t="s">
        <v>54</v>
      </c>
      <c r="D1021" s="3" t="s">
        <v>62</v>
      </c>
      <c r="E1021" s="6">
        <v>45390</v>
      </c>
      <c r="F1021" s="3" t="s">
        <v>19</v>
      </c>
      <c r="G1021" s="3">
        <v>2052</v>
      </c>
      <c r="H1021" s="3">
        <v>5540</v>
      </c>
      <c r="I1021" s="3">
        <v>2.76</v>
      </c>
      <c r="J1021" s="3">
        <v>117</v>
      </c>
      <c r="K1021" s="15" t="str">
        <f ca="1">IF(F1021="Enrolled",TODAY()-E1021,"0")</f>
        <v>0</v>
      </c>
      <c r="L1021" s="3" t="str">
        <f>IF(I1021&gt;=3.5,"Excellent",IF(I1021&gt;=3,"Good",IF(I1021&gt;=2,"Average","Poor")))</f>
        <v>Average</v>
      </c>
      <c r="M1021" s="3" t="str">
        <v>Dr.Sinha</v>
      </c>
      <c r="N1021" s="3" t="str">
        <f>IF(H1021 &gt; (G1021*50%), "Yes", "No")</f>
        <v>Yes</v>
      </c>
      <c r="O1021" s="16">
        <f>G1021-H1021</f>
        <v>-3488</v>
      </c>
      <c r="P1021" s="16">
        <f>SUMIFS(O1021:O1021,E1021:E1021,"Science",F1021:F1021,"Completed")</f>
        <v>0</v>
      </c>
      <c r="Q1021" s="3" t="str">
        <f>IF(MONTH(E1021)&gt;=7, YEAR(E1021)&amp;"-"&amp;YEAR(E1021)+1, YEAR(E1021)-1&amp;"-"&amp;YEAR(E1021))</f>
        <v>2023-2024</v>
      </c>
      <c r="R1021" s="3"/>
      <c r="S1021" s="3"/>
      <c r="T1021" s="15">
        <f t="shared" ca="1" si="15"/>
        <v>664</v>
      </c>
      <c r="U1021" s="3"/>
    </row>
    <row r="1022" spans="1:21" x14ac:dyDescent="0.35">
      <c r="A1022" s="3" t="s">
        <v>2065</v>
      </c>
      <c r="B1022" s="3" t="s">
        <v>2066</v>
      </c>
      <c r="C1022" s="3" t="s">
        <v>57</v>
      </c>
      <c r="D1022" s="3" t="s">
        <v>18</v>
      </c>
      <c r="E1022" s="6">
        <v>44845</v>
      </c>
      <c r="F1022" s="3" t="s">
        <v>14</v>
      </c>
      <c r="G1022" s="3">
        <v>9348</v>
      </c>
      <c r="H1022" s="3">
        <v>3252</v>
      </c>
      <c r="I1022" s="3">
        <v>3.92</v>
      </c>
      <c r="J1022" s="3">
        <v>20</v>
      </c>
      <c r="K1022" s="15">
        <f ca="1">IF(F1022="Enrolled",TODAY()-E1022,"0")</f>
        <v>1209</v>
      </c>
      <c r="L1022" s="3" t="str">
        <f>IF(I1022&gt;=3.5,"Excellent",IF(I1022&gt;=3,"Good",IF(I1022&gt;=2,"Average","Poor")))</f>
        <v>Excellent</v>
      </c>
      <c r="M1022" s="3" t="str">
        <v>Dr.Roy</v>
      </c>
      <c r="N1022" s="3" t="str">
        <f>IF(H1022 &gt; (G1022*50%), "Yes", "No")</f>
        <v>No</v>
      </c>
      <c r="O1022" s="16">
        <f>G1022-H1022</f>
        <v>6096</v>
      </c>
      <c r="P1022" s="16">
        <f>SUMIFS(O1022:O1022,E1022:E1022,"Science",F1022:F1022,"Completed")</f>
        <v>0</v>
      </c>
      <c r="Q1022" s="3" t="str">
        <f>IF(MONTH(E1022)&gt;=7, YEAR(E1022)&amp;"-"&amp;YEAR(E1022)+1, YEAR(E1022)-1&amp;"-"&amp;YEAR(E1022))</f>
        <v>2022-2023</v>
      </c>
      <c r="R1022" s="3"/>
      <c r="S1022" s="3"/>
      <c r="T1022" s="15" t="str">
        <f t="shared" ca="1" si="15"/>
        <v>0</v>
      </c>
      <c r="U1022" s="3"/>
    </row>
    <row r="1023" spans="1:21" x14ac:dyDescent="0.35">
      <c r="A1023" s="3" t="s">
        <v>2067</v>
      </c>
      <c r="B1023" s="3" t="s">
        <v>2068</v>
      </c>
      <c r="C1023" s="3" t="s">
        <v>36</v>
      </c>
      <c r="D1023" s="3" t="s">
        <v>18</v>
      </c>
      <c r="E1023" s="6">
        <v>44944</v>
      </c>
      <c r="F1023" s="3" t="s">
        <v>14</v>
      </c>
      <c r="G1023" s="3">
        <v>3683</v>
      </c>
      <c r="H1023" s="3">
        <v>5286</v>
      </c>
      <c r="I1023" s="3">
        <v>3.04</v>
      </c>
      <c r="J1023" s="3">
        <v>61</v>
      </c>
      <c r="K1023" s="15">
        <f ca="1">IF(F1023="Enrolled",TODAY()-E1023,"0")</f>
        <v>1110</v>
      </c>
      <c r="L1023" s="3" t="str">
        <f>IF(I1023&gt;=3.5,"Excellent",IF(I1023&gt;=3,"Good",IF(I1023&gt;=2,"Average","Poor")))</f>
        <v>Good</v>
      </c>
      <c r="M1023" s="3" t="str">
        <v>Dr.Roy</v>
      </c>
      <c r="N1023" s="3" t="str">
        <f>IF(H1023 &gt; (G1023*50%), "Yes", "No")</f>
        <v>Yes</v>
      </c>
      <c r="O1023" s="16">
        <f>G1023-H1023</f>
        <v>-1603</v>
      </c>
      <c r="P1023" s="16">
        <f>SUMIFS(O1023:O1023,E1023:E1023,"Science",F1023:F1023,"Completed")</f>
        <v>0</v>
      </c>
      <c r="Q1023" s="3" t="str">
        <f>IF(MONTH(E1023)&gt;=7, YEAR(E1023)&amp;"-"&amp;YEAR(E1023)+1, YEAR(E1023)-1&amp;"-"&amp;YEAR(E1023))</f>
        <v>2022-2023</v>
      </c>
      <c r="R1023" s="3"/>
      <c r="S1023" s="3"/>
      <c r="T1023" s="15" t="str">
        <f t="shared" ca="1" si="15"/>
        <v>0</v>
      </c>
      <c r="U1023" s="3"/>
    </row>
    <row r="1024" spans="1:21" x14ac:dyDescent="0.35">
      <c r="A1024" s="3" t="s">
        <v>2069</v>
      </c>
      <c r="B1024" s="3" t="s">
        <v>2070</v>
      </c>
      <c r="C1024" s="3" t="s">
        <v>12</v>
      </c>
      <c r="D1024" s="3" t="s">
        <v>62</v>
      </c>
      <c r="E1024" s="6">
        <v>44679</v>
      </c>
      <c r="F1024" s="3" t="s">
        <v>14</v>
      </c>
      <c r="G1024" s="3">
        <v>6294</v>
      </c>
      <c r="H1024" s="3">
        <v>3422</v>
      </c>
      <c r="I1024" s="3">
        <v>2.84</v>
      </c>
      <c r="J1024" s="3">
        <v>107</v>
      </c>
      <c r="K1024" s="15">
        <f ca="1">IF(F1024="Enrolled",TODAY()-E1024,"0")</f>
        <v>1375</v>
      </c>
      <c r="L1024" s="3" t="str">
        <f>IF(I1024&gt;=3.5,"Excellent",IF(I1024&gt;=3,"Good",IF(I1024&gt;=2,"Average","Poor")))</f>
        <v>Average</v>
      </c>
      <c r="M1024" s="3" t="str">
        <v>Dr.Sinha</v>
      </c>
      <c r="N1024" s="3" t="str">
        <f>IF(H1024 &gt; (G1024*50%), "Yes", "No")</f>
        <v>Yes</v>
      </c>
      <c r="O1024" s="16">
        <f>G1024-H1024</f>
        <v>2872</v>
      </c>
      <c r="P1024" s="16">
        <f>SUMIFS(O1024:O1024,E1024:E1024,"Science",F1024:F1024,"Completed")</f>
        <v>0</v>
      </c>
      <c r="Q1024" s="3" t="str">
        <f>IF(MONTH(E1024)&gt;=7, YEAR(E1024)&amp;"-"&amp;YEAR(E1024)+1, YEAR(E1024)-1&amp;"-"&amp;YEAR(E1024))</f>
        <v>2021-2022</v>
      </c>
      <c r="R1024" s="3"/>
      <c r="S1024" s="3"/>
      <c r="T1024" s="15" t="str">
        <f t="shared" ca="1" si="15"/>
        <v>0</v>
      </c>
      <c r="U1024" s="3"/>
    </row>
    <row r="1025" spans="1:21" x14ac:dyDescent="0.35">
      <c r="A1025" s="3" t="s">
        <v>2071</v>
      </c>
      <c r="B1025" s="3" t="s">
        <v>2072</v>
      </c>
      <c r="C1025" s="3" t="s">
        <v>57</v>
      </c>
      <c r="D1025" s="3" t="s">
        <v>62</v>
      </c>
      <c r="E1025" s="6">
        <v>44811</v>
      </c>
      <c r="F1025" s="3" t="s">
        <v>19</v>
      </c>
      <c r="G1025" s="3">
        <v>6651</v>
      </c>
      <c r="H1025" s="3">
        <v>7082</v>
      </c>
      <c r="I1025" s="3">
        <v>2.4300000000000002</v>
      </c>
      <c r="J1025" s="3">
        <v>85</v>
      </c>
      <c r="K1025" s="15" t="str">
        <f ca="1">IF(F1025="Enrolled",TODAY()-E1025,"0")</f>
        <v>0</v>
      </c>
      <c r="L1025" s="3" t="str">
        <f>IF(I1025&gt;=3.5,"Excellent",IF(I1025&gt;=3,"Good",IF(I1025&gt;=2,"Average","Poor")))</f>
        <v>Average</v>
      </c>
      <c r="M1025" s="3" t="str">
        <v>Dr.Sinha</v>
      </c>
      <c r="N1025" s="3" t="str">
        <f>IF(H1025 &gt; (G1025*50%), "Yes", "No")</f>
        <v>Yes</v>
      </c>
      <c r="O1025" s="16">
        <f>G1025-H1025</f>
        <v>-431</v>
      </c>
      <c r="P1025" s="16">
        <f>SUMIFS(O1025:O1025,E1025:E1025,"Science",F1025:F1025,"Completed")</f>
        <v>0</v>
      </c>
      <c r="Q1025" s="3" t="str">
        <f>IF(MONTH(E1025)&gt;=7, YEAR(E1025)&amp;"-"&amp;YEAR(E1025)+1, YEAR(E1025)-1&amp;"-"&amp;YEAR(E1025))</f>
        <v>2022-2023</v>
      </c>
      <c r="R1025" s="3"/>
      <c r="S1025" s="3"/>
      <c r="T1025" s="15">
        <f t="shared" ca="1" si="15"/>
        <v>1243</v>
      </c>
      <c r="U1025" s="3"/>
    </row>
    <row r="1026" spans="1:21" x14ac:dyDescent="0.35">
      <c r="A1026" s="3" t="s">
        <v>2073</v>
      </c>
      <c r="B1026" s="3" t="s">
        <v>2074</v>
      </c>
      <c r="C1026" s="3" t="s">
        <v>12</v>
      </c>
      <c r="D1026" s="3" t="s">
        <v>13</v>
      </c>
      <c r="E1026" s="6">
        <v>45422</v>
      </c>
      <c r="F1026" s="3" t="s">
        <v>19</v>
      </c>
      <c r="G1026" s="3">
        <v>14550</v>
      </c>
      <c r="H1026" s="3">
        <v>9171</v>
      </c>
      <c r="I1026" s="3">
        <v>3.25</v>
      </c>
      <c r="J1026" s="3">
        <v>78</v>
      </c>
      <c r="K1026" s="15" t="str">
        <f ca="1">IF(F1026="Enrolled",TODAY()-E1026,"0")</f>
        <v>0</v>
      </c>
      <c r="L1026" s="3" t="str">
        <f>IF(I1026&gt;=3.5,"Excellent",IF(I1026&gt;=3,"Good",IF(I1026&gt;=2,"Average","Poor")))</f>
        <v>Good</v>
      </c>
      <c r="M1026" s="3" t="str">
        <v>Dr.Mehta</v>
      </c>
      <c r="N1026" s="3" t="str">
        <f>IF(H1026 &gt; (G1026*50%), "Yes", "No")</f>
        <v>Yes</v>
      </c>
      <c r="O1026" s="16">
        <f>G1026-H1026</f>
        <v>5379</v>
      </c>
      <c r="P1026" s="16">
        <f>SUMIFS(O1026:O1026,E1026:E1026,"Science",F1026:F1026,"Completed")</f>
        <v>0</v>
      </c>
      <c r="Q1026" s="3" t="str">
        <f>IF(MONTH(E1026)&gt;=7, YEAR(E1026)&amp;"-"&amp;YEAR(E1026)+1, YEAR(E1026)-1&amp;"-"&amp;YEAR(E1026))</f>
        <v>2023-2024</v>
      </c>
      <c r="R1026" s="3"/>
      <c r="S1026" s="3"/>
      <c r="T1026" s="15">
        <f t="shared" ca="1" si="15"/>
        <v>632</v>
      </c>
      <c r="U1026" s="3"/>
    </row>
    <row r="1027" spans="1:21" x14ac:dyDescent="0.35">
      <c r="A1027" s="3" t="s">
        <v>2075</v>
      </c>
      <c r="B1027" s="3" t="s">
        <v>2076</v>
      </c>
      <c r="C1027" s="3" t="s">
        <v>28</v>
      </c>
      <c r="D1027" s="3" t="s">
        <v>31</v>
      </c>
      <c r="E1027" s="6">
        <v>45244</v>
      </c>
      <c r="F1027" s="3" t="s">
        <v>19</v>
      </c>
      <c r="G1027" s="3">
        <v>4049</v>
      </c>
      <c r="H1027" s="3">
        <v>3524</v>
      </c>
      <c r="I1027" s="3">
        <v>2.23</v>
      </c>
      <c r="J1027" s="3">
        <v>29</v>
      </c>
      <c r="K1027" s="15" t="str">
        <f ca="1">IF(F1027="Enrolled",TODAY()-E1027,"0")</f>
        <v>0</v>
      </c>
      <c r="L1027" s="3" t="str">
        <f>IF(I1027&gt;=3.5,"Excellent",IF(I1027&gt;=3,"Good",IF(I1027&gt;=2,"Average","Poor")))</f>
        <v>Average</v>
      </c>
      <c r="M1027" s="3" t="str">
        <v>Dr.Sharma</v>
      </c>
      <c r="N1027" s="3" t="str">
        <f>IF(H1027 &gt; (G1027*50%), "Yes", "No")</f>
        <v>Yes</v>
      </c>
      <c r="O1027" s="16">
        <f>G1027-H1027</f>
        <v>525</v>
      </c>
      <c r="P1027" s="16">
        <f>SUMIFS(O1027:O1027,E1027:E1027,"Science",F1027:F1027,"Completed")</f>
        <v>0</v>
      </c>
      <c r="Q1027" s="3" t="str">
        <f>IF(MONTH(E1027)&gt;=7, YEAR(E1027)&amp;"-"&amp;YEAR(E1027)+1, YEAR(E1027)-1&amp;"-"&amp;YEAR(E1027))</f>
        <v>2023-2024</v>
      </c>
      <c r="R1027" s="3"/>
      <c r="S1027" s="3"/>
      <c r="T1027" s="15">
        <f t="shared" ref="T1027:T1090" ca="1" si="16">IF(F1027="Completed",TODAY()-E1027,"0")</f>
        <v>810</v>
      </c>
      <c r="U1027" s="3"/>
    </row>
    <row r="1028" spans="1:21" x14ac:dyDescent="0.35">
      <c r="A1028" s="3" t="s">
        <v>2077</v>
      </c>
      <c r="B1028" s="3" t="s">
        <v>2078</v>
      </c>
      <c r="C1028" s="3" t="s">
        <v>54</v>
      </c>
      <c r="D1028" s="3" t="s">
        <v>13</v>
      </c>
      <c r="E1028" s="6">
        <v>44956</v>
      </c>
      <c r="F1028" s="3" t="s">
        <v>19</v>
      </c>
      <c r="G1028" s="3">
        <v>2397</v>
      </c>
      <c r="H1028" s="3">
        <v>7989</v>
      </c>
      <c r="I1028" s="3">
        <v>2.91</v>
      </c>
      <c r="J1028" s="3">
        <v>117</v>
      </c>
      <c r="K1028" s="15" t="str">
        <f ca="1">IF(F1028="Enrolled",TODAY()-E1028,"0")</f>
        <v>0</v>
      </c>
      <c r="L1028" s="3" t="str">
        <f>IF(I1028&gt;=3.5,"Excellent",IF(I1028&gt;=3,"Good",IF(I1028&gt;=2,"Average","Poor")))</f>
        <v>Average</v>
      </c>
      <c r="M1028" s="3" t="str">
        <v>Dr.Mehta</v>
      </c>
      <c r="N1028" s="3" t="str">
        <f>IF(H1028 &gt; (G1028*50%), "Yes", "No")</f>
        <v>Yes</v>
      </c>
      <c r="O1028" s="16">
        <f>G1028-H1028</f>
        <v>-5592</v>
      </c>
      <c r="P1028" s="16">
        <f>SUMIFS(O1028:O1028,E1028:E1028,"Science",F1028:F1028,"Completed")</f>
        <v>0</v>
      </c>
      <c r="Q1028" s="3" t="str">
        <f>IF(MONTH(E1028)&gt;=7, YEAR(E1028)&amp;"-"&amp;YEAR(E1028)+1, YEAR(E1028)-1&amp;"-"&amp;YEAR(E1028))</f>
        <v>2022-2023</v>
      </c>
      <c r="R1028" s="3"/>
      <c r="S1028" s="3"/>
      <c r="T1028" s="15">
        <f t="shared" ca="1" si="16"/>
        <v>1098</v>
      </c>
      <c r="U1028" s="3"/>
    </row>
    <row r="1029" spans="1:21" x14ac:dyDescent="0.35">
      <c r="A1029" s="3" t="s">
        <v>2079</v>
      </c>
      <c r="B1029" s="3" t="s">
        <v>2080</v>
      </c>
      <c r="C1029" s="3" t="s">
        <v>57</v>
      </c>
      <c r="D1029" s="3" t="s">
        <v>18</v>
      </c>
      <c r="E1029" s="6">
        <v>44691</v>
      </c>
      <c r="F1029" s="3" t="s">
        <v>19</v>
      </c>
      <c r="G1029" s="3">
        <v>2645</v>
      </c>
      <c r="H1029" s="3">
        <v>2926</v>
      </c>
      <c r="I1029" s="3">
        <v>3.57</v>
      </c>
      <c r="J1029" s="3">
        <v>54</v>
      </c>
      <c r="K1029" s="15" t="str">
        <f ca="1">IF(F1029="Enrolled",TODAY()-E1029,"0")</f>
        <v>0</v>
      </c>
      <c r="L1029" s="3" t="str">
        <f>IF(I1029&gt;=3.5,"Excellent",IF(I1029&gt;=3,"Good",IF(I1029&gt;=2,"Average","Poor")))</f>
        <v>Excellent</v>
      </c>
      <c r="M1029" s="3" t="str">
        <v>Dr.Roy</v>
      </c>
      <c r="N1029" s="3" t="str">
        <f>IF(H1029 &gt; (G1029*50%), "Yes", "No")</f>
        <v>Yes</v>
      </c>
      <c r="O1029" s="16">
        <f>G1029-H1029</f>
        <v>-281</v>
      </c>
      <c r="P1029" s="16">
        <f>SUMIFS(O1029:O1029,E1029:E1029,"Science",F1029:F1029,"Completed")</f>
        <v>0</v>
      </c>
      <c r="Q1029" s="3" t="str">
        <f>IF(MONTH(E1029)&gt;=7, YEAR(E1029)&amp;"-"&amp;YEAR(E1029)+1, YEAR(E1029)-1&amp;"-"&amp;YEAR(E1029))</f>
        <v>2021-2022</v>
      </c>
      <c r="R1029" s="3"/>
      <c r="S1029" s="3"/>
      <c r="T1029" s="15">
        <f t="shared" ca="1" si="16"/>
        <v>1363</v>
      </c>
      <c r="U1029" s="3"/>
    </row>
    <row r="1030" spans="1:21" x14ac:dyDescent="0.35">
      <c r="A1030" s="3" t="s">
        <v>2081</v>
      </c>
      <c r="B1030" s="3" t="s">
        <v>2082</v>
      </c>
      <c r="C1030" s="3" t="s">
        <v>28</v>
      </c>
      <c r="D1030" s="3" t="s">
        <v>62</v>
      </c>
      <c r="E1030" s="6">
        <v>44864</v>
      </c>
      <c r="F1030" s="3" t="s">
        <v>14</v>
      </c>
      <c r="G1030" s="3">
        <v>4105</v>
      </c>
      <c r="H1030" s="3">
        <v>9705</v>
      </c>
      <c r="I1030" s="3">
        <v>2.3199999999999998</v>
      </c>
      <c r="J1030" s="3">
        <v>22</v>
      </c>
      <c r="K1030" s="15">
        <f ca="1">IF(F1030="Enrolled",TODAY()-E1030,"0")</f>
        <v>1190</v>
      </c>
      <c r="L1030" s="3" t="str">
        <f>IF(I1030&gt;=3.5,"Excellent",IF(I1030&gt;=3,"Good",IF(I1030&gt;=2,"Average","Poor")))</f>
        <v>Average</v>
      </c>
      <c r="M1030" s="3" t="str">
        <v>Dr.Sinha</v>
      </c>
      <c r="N1030" s="3" t="str">
        <f>IF(H1030 &gt; (G1030*50%), "Yes", "No")</f>
        <v>Yes</v>
      </c>
      <c r="O1030" s="16">
        <f>G1030-H1030</f>
        <v>-5600</v>
      </c>
      <c r="P1030" s="16">
        <f>SUMIFS(O1030:O1030,E1030:E1030,"Science",F1030:F1030,"Completed")</f>
        <v>0</v>
      </c>
      <c r="Q1030" s="3" t="str">
        <f>IF(MONTH(E1030)&gt;=7, YEAR(E1030)&amp;"-"&amp;YEAR(E1030)+1, YEAR(E1030)-1&amp;"-"&amp;YEAR(E1030))</f>
        <v>2022-2023</v>
      </c>
      <c r="R1030" s="3"/>
      <c r="S1030" s="3"/>
      <c r="T1030" s="15" t="str">
        <f t="shared" ca="1" si="16"/>
        <v>0</v>
      </c>
      <c r="U1030" s="3"/>
    </row>
    <row r="1031" spans="1:21" x14ac:dyDescent="0.35">
      <c r="A1031" s="3" t="s">
        <v>2083</v>
      </c>
      <c r="B1031" s="3" t="s">
        <v>2084</v>
      </c>
      <c r="C1031" s="3" t="s">
        <v>12</v>
      </c>
      <c r="D1031" s="3" t="s">
        <v>31</v>
      </c>
      <c r="E1031" s="6">
        <v>44603</v>
      </c>
      <c r="F1031" s="3" t="s">
        <v>14</v>
      </c>
      <c r="G1031" s="3">
        <v>7185</v>
      </c>
      <c r="H1031" s="3">
        <v>3129</v>
      </c>
      <c r="I1031" s="3">
        <v>2.87</v>
      </c>
      <c r="J1031" s="3">
        <v>24</v>
      </c>
      <c r="K1031" s="15">
        <f ca="1">IF(F1031="Enrolled",TODAY()-E1031,"0")</f>
        <v>1451</v>
      </c>
      <c r="L1031" s="3" t="str">
        <f>IF(I1031&gt;=3.5,"Excellent",IF(I1031&gt;=3,"Good",IF(I1031&gt;=2,"Average","Poor")))</f>
        <v>Average</v>
      </c>
      <c r="M1031" s="3" t="str">
        <v>Dr.Sharma</v>
      </c>
      <c r="N1031" s="3" t="str">
        <f>IF(H1031 &gt; (G1031*50%), "Yes", "No")</f>
        <v>No</v>
      </c>
      <c r="O1031" s="16">
        <f>G1031-H1031</f>
        <v>4056</v>
      </c>
      <c r="P1031" s="16">
        <f>SUMIFS(O1031:O1031,E1031:E1031,"Science",F1031:F1031,"Completed")</f>
        <v>0</v>
      </c>
      <c r="Q1031" s="3" t="str">
        <f>IF(MONTH(E1031)&gt;=7, YEAR(E1031)&amp;"-"&amp;YEAR(E1031)+1, YEAR(E1031)-1&amp;"-"&amp;YEAR(E1031))</f>
        <v>2021-2022</v>
      </c>
      <c r="R1031" s="3"/>
      <c r="S1031" s="3"/>
      <c r="T1031" s="15" t="str">
        <f t="shared" ca="1" si="16"/>
        <v>0</v>
      </c>
      <c r="U1031" s="3"/>
    </row>
    <row r="1032" spans="1:21" x14ac:dyDescent="0.35">
      <c r="A1032" s="3" t="s">
        <v>2085</v>
      </c>
      <c r="B1032" s="3" t="s">
        <v>2086</v>
      </c>
      <c r="C1032" s="3" t="s">
        <v>54</v>
      </c>
      <c r="D1032" s="3" t="s">
        <v>18</v>
      </c>
      <c r="E1032" s="6">
        <v>45300</v>
      </c>
      <c r="F1032" s="3" t="s">
        <v>14</v>
      </c>
      <c r="G1032" s="3">
        <v>6263</v>
      </c>
      <c r="H1032" s="3">
        <v>1642</v>
      </c>
      <c r="I1032" s="3">
        <v>3.17</v>
      </c>
      <c r="J1032" s="3">
        <v>49</v>
      </c>
      <c r="K1032" s="15">
        <f ca="1">IF(F1032="Enrolled",TODAY()-E1032,"0")</f>
        <v>754</v>
      </c>
      <c r="L1032" s="3" t="str">
        <f>IF(I1032&gt;=3.5,"Excellent",IF(I1032&gt;=3,"Good",IF(I1032&gt;=2,"Average","Poor")))</f>
        <v>Good</v>
      </c>
      <c r="M1032" s="3" t="str">
        <v>Dr.Roy</v>
      </c>
      <c r="N1032" s="3" t="str">
        <f>IF(H1032 &gt; (G1032*50%), "Yes", "No")</f>
        <v>No</v>
      </c>
      <c r="O1032" s="16">
        <f>G1032-H1032</f>
        <v>4621</v>
      </c>
      <c r="P1032" s="16">
        <f>SUMIFS(O1032:O1032,E1032:E1032,"Science",F1032:F1032,"Completed")</f>
        <v>0</v>
      </c>
      <c r="Q1032" s="3" t="str">
        <f>IF(MONTH(E1032)&gt;=7, YEAR(E1032)&amp;"-"&amp;YEAR(E1032)+1, YEAR(E1032)-1&amp;"-"&amp;YEAR(E1032))</f>
        <v>2023-2024</v>
      </c>
      <c r="R1032" s="3"/>
      <c r="S1032" s="3"/>
      <c r="T1032" s="15" t="str">
        <f t="shared" ca="1" si="16"/>
        <v>0</v>
      </c>
      <c r="U1032" s="3"/>
    </row>
    <row r="1033" spans="1:21" x14ac:dyDescent="0.35">
      <c r="A1033" s="3" t="s">
        <v>2087</v>
      </c>
      <c r="B1033" s="3" t="s">
        <v>2088</v>
      </c>
      <c r="C1033" s="3" t="s">
        <v>36</v>
      </c>
      <c r="D1033" s="3" t="s">
        <v>13</v>
      </c>
      <c r="E1033" s="6">
        <v>45130</v>
      </c>
      <c r="F1033" s="3" t="s">
        <v>14</v>
      </c>
      <c r="G1033" s="3">
        <v>7201</v>
      </c>
      <c r="H1033" s="3">
        <v>943</v>
      </c>
      <c r="I1033" s="3">
        <v>3.49</v>
      </c>
      <c r="J1033" s="3">
        <v>19</v>
      </c>
      <c r="K1033" s="15">
        <f ca="1">IF(F1033="Enrolled",TODAY()-E1033,"0")</f>
        <v>924</v>
      </c>
      <c r="L1033" s="3" t="str">
        <f>IF(I1033&gt;=3.5,"Excellent",IF(I1033&gt;=3,"Good",IF(I1033&gt;=2,"Average","Poor")))</f>
        <v>Good</v>
      </c>
      <c r="M1033" s="3" t="str">
        <v>Dr.Mehta</v>
      </c>
      <c r="N1033" s="3" t="str">
        <f>IF(H1033 &gt; (G1033*50%), "Yes", "No")</f>
        <v>No</v>
      </c>
      <c r="O1033" s="16">
        <f>G1033-H1033</f>
        <v>6258</v>
      </c>
      <c r="P1033" s="16">
        <f>SUMIFS(O1033:O1033,E1033:E1033,"Science",F1033:F1033,"Completed")</f>
        <v>0</v>
      </c>
      <c r="Q1033" s="3" t="str">
        <f>IF(MONTH(E1033)&gt;=7, YEAR(E1033)&amp;"-"&amp;YEAR(E1033)+1, YEAR(E1033)-1&amp;"-"&amp;YEAR(E1033))</f>
        <v>2023-2024</v>
      </c>
      <c r="R1033" s="3"/>
      <c r="S1033" s="3"/>
      <c r="T1033" s="15" t="str">
        <f t="shared" ca="1" si="16"/>
        <v>0</v>
      </c>
      <c r="U1033" s="3"/>
    </row>
    <row r="1034" spans="1:21" x14ac:dyDescent="0.35">
      <c r="A1034" s="3" t="s">
        <v>2089</v>
      </c>
      <c r="B1034" s="3" t="s">
        <v>2090</v>
      </c>
      <c r="C1034" s="3" t="s">
        <v>12</v>
      </c>
      <c r="D1034" s="3" t="s">
        <v>62</v>
      </c>
      <c r="E1034" s="6">
        <v>45400</v>
      </c>
      <c r="F1034" s="3" t="s">
        <v>39</v>
      </c>
      <c r="G1034" s="3">
        <v>6043</v>
      </c>
      <c r="H1034" s="3">
        <v>6673</v>
      </c>
      <c r="I1034" s="3">
        <v>2.94</v>
      </c>
      <c r="J1034" s="3">
        <v>81</v>
      </c>
      <c r="K1034" s="15" t="str">
        <f ca="1">IF(F1034="Enrolled",TODAY()-E1034,"0")</f>
        <v>0</v>
      </c>
      <c r="L1034" s="3" t="str">
        <f>IF(I1034&gt;=3.5,"Excellent",IF(I1034&gt;=3,"Good",IF(I1034&gt;=2,"Average","Poor")))</f>
        <v>Average</v>
      </c>
      <c r="M1034" s="3" t="str">
        <v>Dr.Sinha</v>
      </c>
      <c r="N1034" s="3" t="str">
        <f>IF(H1034 &gt; (G1034*50%), "Yes", "No")</f>
        <v>Yes</v>
      </c>
      <c r="O1034" s="16">
        <f>G1034-H1034</f>
        <v>-630</v>
      </c>
      <c r="P1034" s="16">
        <f>SUMIFS(O1034:O1034,E1034:E1034,"Science",F1034:F1034,"Completed")</f>
        <v>0</v>
      </c>
      <c r="Q1034" s="3" t="str">
        <f>IF(MONTH(E1034)&gt;=7, YEAR(E1034)&amp;"-"&amp;YEAR(E1034)+1, YEAR(E1034)-1&amp;"-"&amp;YEAR(E1034))</f>
        <v>2023-2024</v>
      </c>
      <c r="R1034" s="3"/>
      <c r="S1034" s="3"/>
      <c r="T1034" s="15" t="str">
        <f t="shared" ca="1" si="16"/>
        <v>0</v>
      </c>
      <c r="U1034" s="3"/>
    </row>
    <row r="1035" spans="1:21" x14ac:dyDescent="0.35">
      <c r="A1035" s="3" t="s">
        <v>2091</v>
      </c>
      <c r="B1035" s="3" t="s">
        <v>2092</v>
      </c>
      <c r="C1035" s="3" t="s">
        <v>54</v>
      </c>
      <c r="D1035" s="3" t="s">
        <v>31</v>
      </c>
      <c r="E1035" s="6">
        <v>45326</v>
      </c>
      <c r="F1035" s="3" t="s">
        <v>14</v>
      </c>
      <c r="G1035" s="3">
        <v>4290</v>
      </c>
      <c r="H1035" s="3">
        <v>8037</v>
      </c>
      <c r="I1035" s="3">
        <v>3.2</v>
      </c>
      <c r="J1035" s="3">
        <v>100</v>
      </c>
      <c r="K1035" s="15">
        <f ca="1">IF(F1035="Enrolled",TODAY()-E1035,"0")</f>
        <v>728</v>
      </c>
      <c r="L1035" s="3" t="str">
        <f>IF(I1035&gt;=3.5,"Excellent",IF(I1035&gt;=3,"Good",IF(I1035&gt;=2,"Average","Poor")))</f>
        <v>Good</v>
      </c>
      <c r="M1035" s="3" t="str">
        <v>Dr.Sharma</v>
      </c>
      <c r="N1035" s="3" t="str">
        <f>IF(H1035 &gt; (G1035*50%), "Yes", "No")</f>
        <v>Yes</v>
      </c>
      <c r="O1035" s="16">
        <f>G1035-H1035</f>
        <v>-3747</v>
      </c>
      <c r="P1035" s="16">
        <f>SUMIFS(O1035:O1035,E1035:E1035,"Science",F1035:F1035,"Completed")</f>
        <v>0</v>
      </c>
      <c r="Q1035" s="3" t="str">
        <f>IF(MONTH(E1035)&gt;=7, YEAR(E1035)&amp;"-"&amp;YEAR(E1035)+1, YEAR(E1035)-1&amp;"-"&amp;YEAR(E1035))</f>
        <v>2023-2024</v>
      </c>
      <c r="R1035" s="3"/>
      <c r="S1035" s="3"/>
      <c r="T1035" s="15" t="str">
        <f t="shared" ca="1" si="16"/>
        <v>0</v>
      </c>
      <c r="U1035" s="3"/>
    </row>
    <row r="1036" spans="1:21" x14ac:dyDescent="0.35">
      <c r="A1036" s="3" t="s">
        <v>2093</v>
      </c>
      <c r="B1036" s="3" t="s">
        <v>2094</v>
      </c>
      <c r="C1036" s="3" t="s">
        <v>12</v>
      </c>
      <c r="D1036" s="3" t="s">
        <v>18</v>
      </c>
      <c r="E1036" s="6">
        <v>45220</v>
      </c>
      <c r="F1036" s="3" t="s">
        <v>14</v>
      </c>
      <c r="G1036" s="3">
        <v>13750</v>
      </c>
      <c r="H1036" s="3">
        <v>3160</v>
      </c>
      <c r="I1036" s="3">
        <v>2.5299999999999998</v>
      </c>
      <c r="J1036" s="3">
        <v>20</v>
      </c>
      <c r="K1036" s="15">
        <f ca="1">IF(F1036="Enrolled",TODAY()-E1036,"0")</f>
        <v>834</v>
      </c>
      <c r="L1036" s="3" t="str">
        <f>IF(I1036&gt;=3.5,"Excellent",IF(I1036&gt;=3,"Good",IF(I1036&gt;=2,"Average","Poor")))</f>
        <v>Average</v>
      </c>
      <c r="M1036" s="3" t="str">
        <v>Dr.Roy</v>
      </c>
      <c r="N1036" s="3" t="str">
        <f>IF(H1036 &gt; (G1036*50%), "Yes", "No")</f>
        <v>No</v>
      </c>
      <c r="O1036" s="16">
        <f>G1036-H1036</f>
        <v>10590</v>
      </c>
      <c r="P1036" s="16">
        <f>SUMIFS(O1036:O1036,E1036:E1036,"Science",F1036:F1036,"Completed")</f>
        <v>0</v>
      </c>
      <c r="Q1036" s="3" t="str">
        <f>IF(MONTH(E1036)&gt;=7, YEAR(E1036)&amp;"-"&amp;YEAR(E1036)+1, YEAR(E1036)-1&amp;"-"&amp;YEAR(E1036))</f>
        <v>2023-2024</v>
      </c>
      <c r="R1036" s="3"/>
      <c r="S1036" s="3"/>
      <c r="T1036" s="15" t="str">
        <f t="shared" ca="1" si="16"/>
        <v>0</v>
      </c>
      <c r="U1036" s="3"/>
    </row>
    <row r="1037" spans="1:21" x14ac:dyDescent="0.35">
      <c r="A1037" s="3" t="s">
        <v>2095</v>
      </c>
      <c r="B1037" s="3" t="s">
        <v>2096</v>
      </c>
      <c r="C1037" s="3" t="s">
        <v>54</v>
      </c>
      <c r="D1037" s="3" t="s">
        <v>18</v>
      </c>
      <c r="E1037" s="6">
        <v>44933</v>
      </c>
      <c r="F1037" s="3" t="s">
        <v>14</v>
      </c>
      <c r="G1037" s="3">
        <v>9223</v>
      </c>
      <c r="H1037" s="3">
        <v>934</v>
      </c>
      <c r="I1037" s="3">
        <v>3.49</v>
      </c>
      <c r="J1037" s="3">
        <v>104</v>
      </c>
      <c r="K1037" s="15">
        <f ca="1">IF(F1037="Enrolled",TODAY()-E1037,"0")</f>
        <v>1121</v>
      </c>
      <c r="L1037" s="3" t="str">
        <f>IF(I1037&gt;=3.5,"Excellent",IF(I1037&gt;=3,"Good",IF(I1037&gt;=2,"Average","Poor")))</f>
        <v>Good</v>
      </c>
      <c r="M1037" s="3" t="str">
        <v>Dr.Roy</v>
      </c>
      <c r="N1037" s="3" t="str">
        <f>IF(H1037 &gt; (G1037*50%), "Yes", "No")</f>
        <v>No</v>
      </c>
      <c r="O1037" s="16">
        <f>G1037-H1037</f>
        <v>8289</v>
      </c>
      <c r="P1037" s="16">
        <f>SUMIFS(O1037:O1037,E1037:E1037,"Science",F1037:F1037,"Completed")</f>
        <v>0</v>
      </c>
      <c r="Q1037" s="3" t="str">
        <f>IF(MONTH(E1037)&gt;=7, YEAR(E1037)&amp;"-"&amp;YEAR(E1037)+1, YEAR(E1037)-1&amp;"-"&amp;YEAR(E1037))</f>
        <v>2022-2023</v>
      </c>
      <c r="R1037" s="3"/>
      <c r="S1037" s="3"/>
      <c r="T1037" s="15" t="str">
        <f t="shared" ca="1" si="16"/>
        <v>0</v>
      </c>
      <c r="U1037" s="3"/>
    </row>
    <row r="1038" spans="1:21" x14ac:dyDescent="0.35">
      <c r="A1038" s="3" t="s">
        <v>2097</v>
      </c>
      <c r="B1038" s="3" t="s">
        <v>2098</v>
      </c>
      <c r="C1038" s="3" t="s">
        <v>36</v>
      </c>
      <c r="D1038" s="3" t="s">
        <v>31</v>
      </c>
      <c r="E1038" s="6">
        <v>45186</v>
      </c>
      <c r="F1038" s="3" t="s">
        <v>19</v>
      </c>
      <c r="G1038" s="3">
        <v>9699</v>
      </c>
      <c r="H1038" s="3">
        <v>3736</v>
      </c>
      <c r="I1038" s="3">
        <v>3.07</v>
      </c>
      <c r="J1038" s="3">
        <v>57</v>
      </c>
      <c r="K1038" s="15" t="str">
        <f ca="1">IF(F1038="Enrolled",TODAY()-E1038,"0")</f>
        <v>0</v>
      </c>
      <c r="L1038" s="3" t="str">
        <f>IF(I1038&gt;=3.5,"Excellent",IF(I1038&gt;=3,"Good",IF(I1038&gt;=2,"Average","Poor")))</f>
        <v>Good</v>
      </c>
      <c r="M1038" s="3" t="str">
        <v>Dr.Sharma</v>
      </c>
      <c r="N1038" s="3" t="str">
        <f>IF(H1038 &gt; (G1038*50%), "Yes", "No")</f>
        <v>No</v>
      </c>
      <c r="O1038" s="16">
        <f>G1038-H1038</f>
        <v>5963</v>
      </c>
      <c r="P1038" s="16">
        <f>SUMIFS(O1038:O1038,E1038:E1038,"Science",F1038:F1038,"Completed")</f>
        <v>0</v>
      </c>
      <c r="Q1038" s="3" t="str">
        <f>IF(MONTH(E1038)&gt;=7, YEAR(E1038)&amp;"-"&amp;YEAR(E1038)+1, YEAR(E1038)-1&amp;"-"&amp;YEAR(E1038))</f>
        <v>2023-2024</v>
      </c>
      <c r="R1038" s="3"/>
      <c r="S1038" s="3"/>
      <c r="T1038" s="15">
        <f t="shared" ca="1" si="16"/>
        <v>868</v>
      </c>
      <c r="U1038" s="3"/>
    </row>
    <row r="1039" spans="1:21" x14ac:dyDescent="0.35">
      <c r="A1039" s="3" t="s">
        <v>2099</v>
      </c>
      <c r="B1039" s="3" t="s">
        <v>2100</v>
      </c>
      <c r="C1039" s="3" t="s">
        <v>12</v>
      </c>
      <c r="D1039" s="3" t="s">
        <v>62</v>
      </c>
      <c r="E1039" s="6">
        <v>44579</v>
      </c>
      <c r="F1039" s="3" t="s">
        <v>14</v>
      </c>
      <c r="G1039" s="3">
        <v>9851</v>
      </c>
      <c r="H1039" s="3">
        <v>2149</v>
      </c>
      <c r="I1039" s="3">
        <v>3.39</v>
      </c>
      <c r="J1039" s="3">
        <v>78</v>
      </c>
      <c r="K1039" s="15">
        <f ca="1">IF(F1039="Enrolled",TODAY()-E1039,"0")</f>
        <v>1475</v>
      </c>
      <c r="L1039" s="3" t="str">
        <f>IF(I1039&gt;=3.5,"Excellent",IF(I1039&gt;=3,"Good",IF(I1039&gt;=2,"Average","Poor")))</f>
        <v>Good</v>
      </c>
      <c r="M1039" s="3" t="str">
        <v>Dr.Sinha</v>
      </c>
      <c r="N1039" s="3" t="str">
        <f>IF(H1039 &gt; (G1039*50%), "Yes", "No")</f>
        <v>No</v>
      </c>
      <c r="O1039" s="16">
        <f>G1039-H1039</f>
        <v>7702</v>
      </c>
      <c r="P1039" s="16">
        <f>SUMIFS(O1039:O1039,E1039:E1039,"Science",F1039:F1039,"Completed")</f>
        <v>0</v>
      </c>
      <c r="Q1039" s="3" t="str">
        <f>IF(MONTH(E1039)&gt;=7, YEAR(E1039)&amp;"-"&amp;YEAR(E1039)+1, YEAR(E1039)-1&amp;"-"&amp;YEAR(E1039))</f>
        <v>2021-2022</v>
      </c>
      <c r="R1039" s="3"/>
      <c r="S1039" s="3"/>
      <c r="T1039" s="15" t="str">
        <f t="shared" ca="1" si="16"/>
        <v>0</v>
      </c>
      <c r="U1039" s="3"/>
    </row>
    <row r="1040" spans="1:21" x14ac:dyDescent="0.35">
      <c r="A1040" s="3" t="s">
        <v>2101</v>
      </c>
      <c r="B1040" s="3" t="s">
        <v>2102</v>
      </c>
      <c r="C1040" s="3" t="s">
        <v>57</v>
      </c>
      <c r="D1040" s="3" t="s">
        <v>18</v>
      </c>
      <c r="E1040" s="6">
        <v>45441</v>
      </c>
      <c r="F1040" s="3" t="s">
        <v>14</v>
      </c>
      <c r="G1040" s="3">
        <v>8813</v>
      </c>
      <c r="H1040" s="3">
        <v>795</v>
      </c>
      <c r="I1040" s="3">
        <v>3.25</v>
      </c>
      <c r="J1040" s="3">
        <v>110</v>
      </c>
      <c r="K1040" s="15">
        <f ca="1">IF(F1040="Enrolled",TODAY()-E1040,"0")</f>
        <v>613</v>
      </c>
      <c r="L1040" s="3" t="str">
        <f>IF(I1040&gt;=3.5,"Excellent",IF(I1040&gt;=3,"Good",IF(I1040&gt;=2,"Average","Poor")))</f>
        <v>Good</v>
      </c>
      <c r="M1040" s="3" t="str">
        <v>Dr.Roy</v>
      </c>
      <c r="N1040" s="3" t="str">
        <f>IF(H1040 &gt; (G1040*50%), "Yes", "No")</f>
        <v>No</v>
      </c>
      <c r="O1040" s="16">
        <f>G1040-H1040</f>
        <v>8018</v>
      </c>
      <c r="P1040" s="16">
        <f>SUMIFS(O1040:O1040,E1040:E1040,"Science",F1040:F1040,"Completed")</f>
        <v>0</v>
      </c>
      <c r="Q1040" s="3" t="str">
        <f>IF(MONTH(E1040)&gt;=7, YEAR(E1040)&amp;"-"&amp;YEAR(E1040)+1, YEAR(E1040)-1&amp;"-"&amp;YEAR(E1040))</f>
        <v>2023-2024</v>
      </c>
      <c r="R1040" s="3"/>
      <c r="S1040" s="3"/>
      <c r="T1040" s="15" t="str">
        <f t="shared" ca="1" si="16"/>
        <v>0</v>
      </c>
      <c r="U1040" s="3"/>
    </row>
    <row r="1041" spans="1:21" x14ac:dyDescent="0.35">
      <c r="A1041" s="3" t="s">
        <v>2103</v>
      </c>
      <c r="B1041" s="3" t="s">
        <v>2104</v>
      </c>
      <c r="C1041" s="3" t="s">
        <v>25</v>
      </c>
      <c r="D1041" s="3" t="s">
        <v>18</v>
      </c>
      <c r="E1041" s="6">
        <v>44694</v>
      </c>
      <c r="F1041" s="3" t="s">
        <v>14</v>
      </c>
      <c r="G1041" s="3">
        <v>9828</v>
      </c>
      <c r="H1041" s="3">
        <v>9604</v>
      </c>
      <c r="I1041" s="3">
        <v>3.94</v>
      </c>
      <c r="J1041" s="3">
        <v>17</v>
      </c>
      <c r="K1041" s="15">
        <f ca="1">IF(F1041="Enrolled",TODAY()-E1041,"0")</f>
        <v>1360</v>
      </c>
      <c r="L1041" s="3" t="str">
        <f>IF(I1041&gt;=3.5,"Excellent",IF(I1041&gt;=3,"Good",IF(I1041&gt;=2,"Average","Poor")))</f>
        <v>Excellent</v>
      </c>
      <c r="M1041" s="3" t="str">
        <v>Dr.Roy</v>
      </c>
      <c r="N1041" s="3" t="str">
        <f>IF(H1041 &gt; (G1041*50%), "Yes", "No")</f>
        <v>Yes</v>
      </c>
      <c r="O1041" s="16">
        <f>G1041-H1041</f>
        <v>224</v>
      </c>
      <c r="P1041" s="16">
        <f>SUMIFS(O1041:O1041,E1041:E1041,"Science",F1041:F1041,"Completed")</f>
        <v>0</v>
      </c>
      <c r="Q1041" s="3" t="str">
        <f>IF(MONTH(E1041)&gt;=7, YEAR(E1041)&amp;"-"&amp;YEAR(E1041)+1, YEAR(E1041)-1&amp;"-"&amp;YEAR(E1041))</f>
        <v>2021-2022</v>
      </c>
      <c r="R1041" s="3"/>
      <c r="S1041" s="3"/>
      <c r="T1041" s="15" t="str">
        <f t="shared" ca="1" si="16"/>
        <v>0</v>
      </c>
      <c r="U1041" s="3"/>
    </row>
    <row r="1042" spans="1:21" x14ac:dyDescent="0.35">
      <c r="A1042" s="3" t="s">
        <v>2105</v>
      </c>
      <c r="B1042" s="3" t="s">
        <v>2106</v>
      </c>
      <c r="C1042" s="3" t="s">
        <v>25</v>
      </c>
      <c r="D1042" s="3" t="s">
        <v>62</v>
      </c>
      <c r="E1042" s="6">
        <v>44582</v>
      </c>
      <c r="F1042" s="3" t="s">
        <v>14</v>
      </c>
      <c r="G1042" s="3">
        <v>14430</v>
      </c>
      <c r="H1042" s="3">
        <v>4963</v>
      </c>
      <c r="I1042" s="3">
        <v>2.41</v>
      </c>
      <c r="J1042" s="3">
        <v>73</v>
      </c>
      <c r="K1042" s="15">
        <f ca="1">IF(F1042="Enrolled",TODAY()-E1042,"0")</f>
        <v>1472</v>
      </c>
      <c r="L1042" s="3" t="str">
        <f>IF(I1042&gt;=3.5,"Excellent",IF(I1042&gt;=3,"Good",IF(I1042&gt;=2,"Average","Poor")))</f>
        <v>Average</v>
      </c>
      <c r="M1042" s="3" t="str">
        <v>Dr.Sinha</v>
      </c>
      <c r="N1042" s="3" t="str">
        <f>IF(H1042 &gt; (G1042*50%), "Yes", "No")</f>
        <v>No</v>
      </c>
      <c r="O1042" s="16">
        <f>G1042-H1042</f>
        <v>9467</v>
      </c>
      <c r="P1042" s="16">
        <f>SUMIFS(O1042:O1042,E1042:E1042,"Science",F1042:F1042,"Completed")</f>
        <v>0</v>
      </c>
      <c r="Q1042" s="3" t="str">
        <f>IF(MONTH(E1042)&gt;=7, YEAR(E1042)&amp;"-"&amp;YEAR(E1042)+1, YEAR(E1042)-1&amp;"-"&amp;YEAR(E1042))</f>
        <v>2021-2022</v>
      </c>
      <c r="R1042" s="3"/>
      <c r="S1042" s="3"/>
      <c r="T1042" s="15" t="str">
        <f t="shared" ca="1" si="16"/>
        <v>0</v>
      </c>
      <c r="U1042" s="3"/>
    </row>
    <row r="1043" spans="1:21" x14ac:dyDescent="0.35">
      <c r="A1043" s="3" t="s">
        <v>2107</v>
      </c>
      <c r="B1043" s="3" t="s">
        <v>2108</v>
      </c>
      <c r="C1043" s="3" t="s">
        <v>17</v>
      </c>
      <c r="D1043" s="3" t="s">
        <v>62</v>
      </c>
      <c r="E1043" s="6">
        <v>45016</v>
      </c>
      <c r="F1043" s="3" t="s">
        <v>14</v>
      </c>
      <c r="G1043" s="3">
        <v>14409</v>
      </c>
      <c r="H1043" s="3">
        <v>5793</v>
      </c>
      <c r="I1043" s="3">
        <v>2.61</v>
      </c>
      <c r="J1043" s="3">
        <v>31</v>
      </c>
      <c r="K1043" s="15">
        <f ca="1">IF(F1043="Enrolled",TODAY()-E1043,"0")</f>
        <v>1038</v>
      </c>
      <c r="L1043" s="3" t="str">
        <f>IF(I1043&gt;=3.5,"Excellent",IF(I1043&gt;=3,"Good",IF(I1043&gt;=2,"Average","Poor")))</f>
        <v>Average</v>
      </c>
      <c r="M1043" s="3" t="str">
        <v>Dr.Sinha</v>
      </c>
      <c r="N1043" s="3" t="str">
        <f>IF(H1043 &gt; (G1043*50%), "Yes", "No")</f>
        <v>No</v>
      </c>
      <c r="O1043" s="16">
        <f>G1043-H1043</f>
        <v>8616</v>
      </c>
      <c r="P1043" s="16">
        <f>SUMIFS(O1043:O1043,E1043:E1043,"Science",F1043:F1043,"Completed")</f>
        <v>0</v>
      </c>
      <c r="Q1043" s="3" t="str">
        <f>IF(MONTH(E1043)&gt;=7, YEAR(E1043)&amp;"-"&amp;YEAR(E1043)+1, YEAR(E1043)-1&amp;"-"&amp;YEAR(E1043))</f>
        <v>2022-2023</v>
      </c>
      <c r="R1043" s="3"/>
      <c r="S1043" s="3"/>
      <c r="T1043" s="15" t="str">
        <f t="shared" ca="1" si="16"/>
        <v>0</v>
      </c>
      <c r="U1043" s="3"/>
    </row>
    <row r="1044" spans="1:21" x14ac:dyDescent="0.35">
      <c r="A1044" s="3" t="s">
        <v>2109</v>
      </c>
      <c r="B1044" s="3" t="s">
        <v>2110</v>
      </c>
      <c r="C1044" s="3" t="s">
        <v>36</v>
      </c>
      <c r="D1044" s="3" t="s">
        <v>31</v>
      </c>
      <c r="E1044" s="6">
        <v>44816</v>
      </c>
      <c r="F1044" s="3" t="s">
        <v>14</v>
      </c>
      <c r="G1044" s="3">
        <v>3726</v>
      </c>
      <c r="H1044" s="3">
        <v>586</v>
      </c>
      <c r="I1044" s="3">
        <v>2.2200000000000002</v>
      </c>
      <c r="J1044" s="3">
        <v>6</v>
      </c>
      <c r="K1044" s="15">
        <f ca="1">IF(F1044="Enrolled",TODAY()-E1044,"0")</f>
        <v>1238</v>
      </c>
      <c r="L1044" s="3" t="str">
        <f>IF(I1044&gt;=3.5,"Excellent",IF(I1044&gt;=3,"Good",IF(I1044&gt;=2,"Average","Poor")))</f>
        <v>Average</v>
      </c>
      <c r="M1044" s="3" t="str">
        <v>Dr.Sharma</v>
      </c>
      <c r="N1044" s="3" t="str">
        <f>IF(H1044 &gt; (G1044*50%), "Yes", "No")</f>
        <v>No</v>
      </c>
      <c r="O1044" s="16">
        <f>G1044-H1044</f>
        <v>3140</v>
      </c>
      <c r="P1044" s="16">
        <f>SUMIFS(O1044:O1044,E1044:E1044,"Science",F1044:F1044,"Completed")</f>
        <v>0</v>
      </c>
      <c r="Q1044" s="3" t="str">
        <f>IF(MONTH(E1044)&gt;=7, YEAR(E1044)&amp;"-"&amp;YEAR(E1044)+1, YEAR(E1044)-1&amp;"-"&amp;YEAR(E1044))</f>
        <v>2022-2023</v>
      </c>
      <c r="R1044" s="3"/>
      <c r="S1044" s="3"/>
      <c r="T1044" s="15" t="str">
        <f t="shared" ca="1" si="16"/>
        <v>0</v>
      </c>
      <c r="U1044" s="3"/>
    </row>
    <row r="1045" spans="1:21" x14ac:dyDescent="0.35">
      <c r="A1045" s="3" t="s">
        <v>2111</v>
      </c>
      <c r="B1045" s="3" t="s">
        <v>2112</v>
      </c>
      <c r="C1045" s="3" t="s">
        <v>28</v>
      </c>
      <c r="D1045" s="3" t="s">
        <v>18</v>
      </c>
      <c r="E1045" s="6">
        <v>45227</v>
      </c>
      <c r="F1045" s="3" t="s">
        <v>19</v>
      </c>
      <c r="G1045" s="3">
        <v>12371</v>
      </c>
      <c r="H1045" s="3">
        <v>3982</v>
      </c>
      <c r="I1045" s="3">
        <v>3.58</v>
      </c>
      <c r="J1045" s="3">
        <v>52</v>
      </c>
      <c r="K1045" s="15" t="str">
        <f ca="1">IF(F1045="Enrolled",TODAY()-E1045,"0")</f>
        <v>0</v>
      </c>
      <c r="L1045" s="3" t="str">
        <f>IF(I1045&gt;=3.5,"Excellent",IF(I1045&gt;=3,"Good",IF(I1045&gt;=2,"Average","Poor")))</f>
        <v>Excellent</v>
      </c>
      <c r="M1045" s="3" t="str">
        <v>Dr.Roy</v>
      </c>
      <c r="N1045" s="3" t="str">
        <f>IF(H1045 &gt; (G1045*50%), "Yes", "No")</f>
        <v>No</v>
      </c>
      <c r="O1045" s="16">
        <f>G1045-H1045</f>
        <v>8389</v>
      </c>
      <c r="P1045" s="16">
        <f>SUMIFS(O1045:O1045,E1045:E1045,"Science",F1045:F1045,"Completed")</f>
        <v>0</v>
      </c>
      <c r="Q1045" s="3" t="str">
        <f>IF(MONTH(E1045)&gt;=7, YEAR(E1045)&amp;"-"&amp;YEAR(E1045)+1, YEAR(E1045)-1&amp;"-"&amp;YEAR(E1045))</f>
        <v>2023-2024</v>
      </c>
      <c r="R1045" s="3"/>
      <c r="S1045" s="3"/>
      <c r="T1045" s="15">
        <f t="shared" ca="1" si="16"/>
        <v>827</v>
      </c>
      <c r="U1045" s="3"/>
    </row>
    <row r="1046" spans="1:21" x14ac:dyDescent="0.35">
      <c r="A1046" s="3" t="s">
        <v>2113</v>
      </c>
      <c r="B1046" s="3" t="s">
        <v>2114</v>
      </c>
      <c r="C1046" s="3" t="s">
        <v>25</v>
      </c>
      <c r="D1046" s="3" t="s">
        <v>31</v>
      </c>
      <c r="E1046" s="6">
        <v>45104</v>
      </c>
      <c r="F1046" s="3" t="s">
        <v>19</v>
      </c>
      <c r="G1046" s="3">
        <v>3344</v>
      </c>
      <c r="H1046" s="3">
        <v>5902</v>
      </c>
      <c r="I1046" s="3">
        <v>3.46</v>
      </c>
      <c r="J1046" s="3">
        <v>75</v>
      </c>
      <c r="K1046" s="15" t="str">
        <f ca="1">IF(F1046="Enrolled",TODAY()-E1046,"0")</f>
        <v>0</v>
      </c>
      <c r="L1046" s="3" t="str">
        <f>IF(I1046&gt;=3.5,"Excellent",IF(I1046&gt;=3,"Good",IF(I1046&gt;=2,"Average","Poor")))</f>
        <v>Good</v>
      </c>
      <c r="M1046" s="3" t="str">
        <v>Dr.Sharma</v>
      </c>
      <c r="N1046" s="3" t="str">
        <f>IF(H1046 &gt; (G1046*50%), "Yes", "No")</f>
        <v>Yes</v>
      </c>
      <c r="O1046" s="16">
        <f>G1046-H1046</f>
        <v>-2558</v>
      </c>
      <c r="P1046" s="16">
        <f>SUMIFS(O1046:O1046,E1046:E1046,"Science",F1046:F1046,"Completed")</f>
        <v>0</v>
      </c>
      <c r="Q1046" s="3" t="str">
        <f>IF(MONTH(E1046)&gt;=7, YEAR(E1046)&amp;"-"&amp;YEAR(E1046)+1, YEAR(E1046)-1&amp;"-"&amp;YEAR(E1046))</f>
        <v>2022-2023</v>
      </c>
      <c r="R1046" s="3"/>
      <c r="S1046" s="3"/>
      <c r="T1046" s="15">
        <f t="shared" ca="1" si="16"/>
        <v>950</v>
      </c>
      <c r="U1046" s="3"/>
    </row>
    <row r="1047" spans="1:21" x14ac:dyDescent="0.35">
      <c r="A1047" s="3" t="s">
        <v>2115</v>
      </c>
      <c r="B1047" s="3" t="s">
        <v>2116</v>
      </c>
      <c r="C1047" s="3" t="s">
        <v>36</v>
      </c>
      <c r="D1047" s="3" t="s">
        <v>13</v>
      </c>
      <c r="E1047" s="6">
        <v>45004</v>
      </c>
      <c r="F1047" s="3" t="s">
        <v>14</v>
      </c>
      <c r="G1047" s="3">
        <v>10360</v>
      </c>
      <c r="H1047" s="3">
        <v>6049</v>
      </c>
      <c r="I1047" s="3">
        <v>2.79</v>
      </c>
      <c r="J1047" s="3">
        <v>42</v>
      </c>
      <c r="K1047" s="15">
        <f ca="1">IF(F1047="Enrolled",TODAY()-E1047,"0")</f>
        <v>1050</v>
      </c>
      <c r="L1047" s="3" t="str">
        <f>IF(I1047&gt;=3.5,"Excellent",IF(I1047&gt;=3,"Good",IF(I1047&gt;=2,"Average","Poor")))</f>
        <v>Average</v>
      </c>
      <c r="M1047" s="3" t="str">
        <v>Dr.Mehta</v>
      </c>
      <c r="N1047" s="3" t="str">
        <f>IF(H1047 &gt; (G1047*50%), "Yes", "No")</f>
        <v>Yes</v>
      </c>
      <c r="O1047" s="16">
        <f>G1047-H1047</f>
        <v>4311</v>
      </c>
      <c r="P1047" s="16">
        <f>SUMIFS(O1047:O1047,E1047:E1047,"Science",F1047:F1047,"Completed")</f>
        <v>0</v>
      </c>
      <c r="Q1047" s="3" t="str">
        <f>IF(MONTH(E1047)&gt;=7, YEAR(E1047)&amp;"-"&amp;YEAR(E1047)+1, YEAR(E1047)-1&amp;"-"&amp;YEAR(E1047))</f>
        <v>2022-2023</v>
      </c>
      <c r="R1047" s="3"/>
      <c r="S1047" s="3"/>
      <c r="T1047" s="15" t="str">
        <f t="shared" ca="1" si="16"/>
        <v>0</v>
      </c>
      <c r="U1047" s="3"/>
    </row>
    <row r="1048" spans="1:21" x14ac:dyDescent="0.35">
      <c r="A1048" s="3" t="s">
        <v>2117</v>
      </c>
      <c r="B1048" s="3" t="s">
        <v>2118</v>
      </c>
      <c r="C1048" s="3" t="s">
        <v>54</v>
      </c>
      <c r="D1048" s="3" t="s">
        <v>13</v>
      </c>
      <c r="E1048" s="6">
        <v>44764</v>
      </c>
      <c r="F1048" s="3" t="s">
        <v>14</v>
      </c>
      <c r="G1048" s="3">
        <v>9592</v>
      </c>
      <c r="H1048" s="3">
        <v>5292</v>
      </c>
      <c r="I1048" s="3">
        <v>3.61</v>
      </c>
      <c r="J1048" s="3">
        <v>59</v>
      </c>
      <c r="K1048" s="15">
        <f ca="1">IF(F1048="Enrolled",TODAY()-E1048,"0")</f>
        <v>1290</v>
      </c>
      <c r="L1048" s="3" t="str">
        <f>IF(I1048&gt;=3.5,"Excellent",IF(I1048&gt;=3,"Good",IF(I1048&gt;=2,"Average","Poor")))</f>
        <v>Excellent</v>
      </c>
      <c r="M1048" s="3" t="str">
        <v>Dr.Mehta</v>
      </c>
      <c r="N1048" s="3" t="str">
        <f>IF(H1048 &gt; (G1048*50%), "Yes", "No")</f>
        <v>Yes</v>
      </c>
      <c r="O1048" s="16">
        <f>G1048-H1048</f>
        <v>4300</v>
      </c>
      <c r="P1048" s="16">
        <f>SUMIFS(O1048:O1048,E1048:E1048,"Science",F1048:F1048,"Completed")</f>
        <v>0</v>
      </c>
      <c r="Q1048" s="3" t="str">
        <f>IF(MONTH(E1048)&gt;=7, YEAR(E1048)&amp;"-"&amp;YEAR(E1048)+1, YEAR(E1048)-1&amp;"-"&amp;YEAR(E1048))</f>
        <v>2022-2023</v>
      </c>
      <c r="R1048" s="3"/>
      <c r="S1048" s="3"/>
      <c r="T1048" s="15" t="str">
        <f t="shared" ca="1" si="16"/>
        <v>0</v>
      </c>
      <c r="U1048" s="3"/>
    </row>
    <row r="1049" spans="1:21" x14ac:dyDescent="0.35">
      <c r="A1049" s="3" t="s">
        <v>2119</v>
      </c>
      <c r="B1049" s="3" t="s">
        <v>2120</v>
      </c>
      <c r="C1049" s="3" t="s">
        <v>36</v>
      </c>
      <c r="D1049" s="3" t="s">
        <v>13</v>
      </c>
      <c r="E1049" s="6">
        <v>44742</v>
      </c>
      <c r="F1049" s="3" t="s">
        <v>14</v>
      </c>
      <c r="G1049" s="3">
        <v>9512</v>
      </c>
      <c r="H1049" s="3">
        <v>2317</v>
      </c>
      <c r="I1049" s="3">
        <v>2.98</v>
      </c>
      <c r="J1049" s="3">
        <v>56</v>
      </c>
      <c r="K1049" s="15">
        <f ca="1">IF(F1049="Enrolled",TODAY()-E1049,"0")</f>
        <v>1312</v>
      </c>
      <c r="L1049" s="3" t="str">
        <f>IF(I1049&gt;=3.5,"Excellent",IF(I1049&gt;=3,"Good",IF(I1049&gt;=2,"Average","Poor")))</f>
        <v>Average</v>
      </c>
      <c r="M1049" s="3" t="str">
        <v>Dr.Mehta</v>
      </c>
      <c r="N1049" s="3" t="str">
        <f>IF(H1049 &gt; (G1049*50%), "Yes", "No")</f>
        <v>No</v>
      </c>
      <c r="O1049" s="16">
        <f>G1049-H1049</f>
        <v>7195</v>
      </c>
      <c r="P1049" s="16">
        <f>SUMIFS(O1049:O1049,E1049:E1049,"Science",F1049:F1049,"Completed")</f>
        <v>0</v>
      </c>
      <c r="Q1049" s="3" t="str">
        <f>IF(MONTH(E1049)&gt;=7, YEAR(E1049)&amp;"-"&amp;YEAR(E1049)+1, YEAR(E1049)-1&amp;"-"&amp;YEAR(E1049))</f>
        <v>2021-2022</v>
      </c>
      <c r="R1049" s="3"/>
      <c r="S1049" s="3"/>
      <c r="T1049" s="15" t="str">
        <f t="shared" ca="1" si="16"/>
        <v>0</v>
      </c>
      <c r="U1049" s="3"/>
    </row>
    <row r="1050" spans="1:21" x14ac:dyDescent="0.35">
      <c r="A1050" s="3" t="s">
        <v>2121</v>
      </c>
      <c r="B1050" s="3" t="s">
        <v>2122</v>
      </c>
      <c r="C1050" s="3" t="s">
        <v>57</v>
      </c>
      <c r="D1050" s="3" t="s">
        <v>18</v>
      </c>
      <c r="E1050" s="6">
        <v>44765</v>
      </c>
      <c r="F1050" s="3" t="s">
        <v>19</v>
      </c>
      <c r="G1050" s="3">
        <v>5373</v>
      </c>
      <c r="H1050" s="3">
        <v>8186</v>
      </c>
      <c r="I1050" s="3">
        <v>2.29</v>
      </c>
      <c r="J1050" s="3">
        <v>22</v>
      </c>
      <c r="K1050" s="15" t="str">
        <f ca="1">IF(F1050="Enrolled",TODAY()-E1050,"0")</f>
        <v>0</v>
      </c>
      <c r="L1050" s="3" t="str">
        <f>IF(I1050&gt;=3.5,"Excellent",IF(I1050&gt;=3,"Good",IF(I1050&gt;=2,"Average","Poor")))</f>
        <v>Average</v>
      </c>
      <c r="M1050" s="3" t="str">
        <v>Dr.Roy</v>
      </c>
      <c r="N1050" s="3" t="str">
        <f>IF(H1050 &gt; (G1050*50%), "Yes", "No")</f>
        <v>Yes</v>
      </c>
      <c r="O1050" s="16">
        <f>G1050-H1050</f>
        <v>-2813</v>
      </c>
      <c r="P1050" s="16">
        <f>SUMIFS(O1050:O1050,E1050:E1050,"Science",F1050:F1050,"Completed")</f>
        <v>0</v>
      </c>
      <c r="Q1050" s="3" t="str">
        <f>IF(MONTH(E1050)&gt;=7, YEAR(E1050)&amp;"-"&amp;YEAR(E1050)+1, YEAR(E1050)-1&amp;"-"&amp;YEAR(E1050))</f>
        <v>2022-2023</v>
      </c>
      <c r="R1050" s="3"/>
      <c r="S1050" s="3"/>
      <c r="T1050" s="15">
        <f t="shared" ca="1" si="16"/>
        <v>1289</v>
      </c>
      <c r="U1050" s="3"/>
    </row>
    <row r="1051" spans="1:21" x14ac:dyDescent="0.35">
      <c r="A1051" s="3" t="s">
        <v>2123</v>
      </c>
      <c r="B1051" s="3" t="s">
        <v>2124</v>
      </c>
      <c r="C1051" s="3" t="s">
        <v>22</v>
      </c>
      <c r="D1051" s="3" t="s">
        <v>18</v>
      </c>
      <c r="E1051" s="6">
        <v>44814</v>
      </c>
      <c r="F1051" s="3" t="s">
        <v>19</v>
      </c>
      <c r="G1051" s="3">
        <v>5354</v>
      </c>
      <c r="H1051" s="3">
        <v>2730</v>
      </c>
      <c r="I1051" s="3">
        <v>2.44</v>
      </c>
      <c r="J1051" s="3">
        <v>94</v>
      </c>
      <c r="K1051" s="15" t="str">
        <f ca="1">IF(F1051="Enrolled",TODAY()-E1051,"0")</f>
        <v>0</v>
      </c>
      <c r="L1051" s="3" t="str">
        <f>IF(I1051&gt;=3.5,"Excellent",IF(I1051&gt;=3,"Good",IF(I1051&gt;=2,"Average","Poor")))</f>
        <v>Average</v>
      </c>
      <c r="M1051" s="3" t="str">
        <v>Dr.Roy</v>
      </c>
      <c r="N1051" s="3" t="str">
        <f>IF(H1051 &gt; (G1051*50%), "Yes", "No")</f>
        <v>Yes</v>
      </c>
      <c r="O1051" s="16">
        <f>G1051-H1051</f>
        <v>2624</v>
      </c>
      <c r="P1051" s="16">
        <f>SUMIFS(O1051:O1051,E1051:E1051,"Science",F1051:F1051,"Completed")</f>
        <v>0</v>
      </c>
      <c r="Q1051" s="3" t="str">
        <f>IF(MONTH(E1051)&gt;=7, YEAR(E1051)&amp;"-"&amp;YEAR(E1051)+1, YEAR(E1051)-1&amp;"-"&amp;YEAR(E1051))</f>
        <v>2022-2023</v>
      </c>
      <c r="R1051" s="3"/>
      <c r="S1051" s="3"/>
      <c r="T1051" s="15">
        <f t="shared" ca="1" si="16"/>
        <v>1240</v>
      </c>
      <c r="U1051" s="3"/>
    </row>
    <row r="1052" spans="1:21" x14ac:dyDescent="0.35">
      <c r="A1052" s="3" t="s">
        <v>2125</v>
      </c>
      <c r="B1052" s="3" t="s">
        <v>2126</v>
      </c>
      <c r="C1052" s="3" t="s">
        <v>36</v>
      </c>
      <c r="D1052" s="3" t="s">
        <v>62</v>
      </c>
      <c r="E1052" s="6">
        <v>44839</v>
      </c>
      <c r="F1052" s="3" t="s">
        <v>19</v>
      </c>
      <c r="G1052" s="3">
        <v>2479</v>
      </c>
      <c r="H1052" s="3">
        <v>1588</v>
      </c>
      <c r="I1052" s="3">
        <v>3.71</v>
      </c>
      <c r="J1052" s="3">
        <v>100</v>
      </c>
      <c r="K1052" s="15" t="str">
        <f ca="1">IF(F1052="Enrolled",TODAY()-E1052,"0")</f>
        <v>0</v>
      </c>
      <c r="L1052" s="3" t="str">
        <f>IF(I1052&gt;=3.5,"Excellent",IF(I1052&gt;=3,"Good",IF(I1052&gt;=2,"Average","Poor")))</f>
        <v>Excellent</v>
      </c>
      <c r="M1052" s="3" t="str">
        <v>Dr.Sinha</v>
      </c>
      <c r="N1052" s="3" t="str">
        <f>IF(H1052 &gt; (G1052*50%), "Yes", "No")</f>
        <v>Yes</v>
      </c>
      <c r="O1052" s="16">
        <f>G1052-H1052</f>
        <v>891</v>
      </c>
      <c r="P1052" s="16">
        <f>SUMIFS(O1052:O1052,E1052:E1052,"Science",F1052:F1052,"Completed")</f>
        <v>0</v>
      </c>
      <c r="Q1052" s="3" t="str">
        <f>IF(MONTH(E1052)&gt;=7, YEAR(E1052)&amp;"-"&amp;YEAR(E1052)+1, YEAR(E1052)-1&amp;"-"&amp;YEAR(E1052))</f>
        <v>2022-2023</v>
      </c>
      <c r="R1052" s="3"/>
      <c r="S1052" s="3"/>
      <c r="T1052" s="15">
        <f t="shared" ca="1" si="16"/>
        <v>1215</v>
      </c>
      <c r="U1052" s="3"/>
    </row>
    <row r="1053" spans="1:21" x14ac:dyDescent="0.35">
      <c r="A1053" s="3" t="s">
        <v>2127</v>
      </c>
      <c r="B1053" s="3" t="s">
        <v>2128</v>
      </c>
      <c r="C1053" s="3" t="s">
        <v>12</v>
      </c>
      <c r="D1053" s="3" t="s">
        <v>62</v>
      </c>
      <c r="E1053" s="6">
        <v>45007</v>
      </c>
      <c r="F1053" s="3" t="s">
        <v>39</v>
      </c>
      <c r="G1053" s="3">
        <v>6810</v>
      </c>
      <c r="H1053" s="3">
        <v>405</v>
      </c>
      <c r="I1053" s="3">
        <v>2.94</v>
      </c>
      <c r="J1053" s="3">
        <v>46</v>
      </c>
      <c r="K1053" s="15" t="str">
        <f ca="1">IF(F1053="Enrolled",TODAY()-E1053,"0")</f>
        <v>0</v>
      </c>
      <c r="L1053" s="3" t="str">
        <f>IF(I1053&gt;=3.5,"Excellent",IF(I1053&gt;=3,"Good",IF(I1053&gt;=2,"Average","Poor")))</f>
        <v>Average</v>
      </c>
      <c r="M1053" s="3" t="str">
        <v>Dr.Sinha</v>
      </c>
      <c r="N1053" s="3" t="str">
        <f>IF(H1053 &gt; (G1053*50%), "Yes", "No")</f>
        <v>No</v>
      </c>
      <c r="O1053" s="16">
        <f>G1053-H1053</f>
        <v>6405</v>
      </c>
      <c r="P1053" s="16">
        <f>SUMIFS(O1053:O1053,E1053:E1053,"Science",F1053:F1053,"Completed")</f>
        <v>0</v>
      </c>
      <c r="Q1053" s="3" t="str">
        <f>IF(MONTH(E1053)&gt;=7, YEAR(E1053)&amp;"-"&amp;YEAR(E1053)+1, YEAR(E1053)-1&amp;"-"&amp;YEAR(E1053))</f>
        <v>2022-2023</v>
      </c>
      <c r="R1053" s="3"/>
      <c r="S1053" s="3"/>
      <c r="T1053" s="15" t="str">
        <f t="shared" ca="1" si="16"/>
        <v>0</v>
      </c>
      <c r="U1053" s="3"/>
    </row>
    <row r="1054" spans="1:21" x14ac:dyDescent="0.35">
      <c r="A1054" s="3" t="s">
        <v>2129</v>
      </c>
      <c r="B1054" s="3" t="s">
        <v>2130</v>
      </c>
      <c r="C1054" s="3" t="s">
        <v>12</v>
      </c>
      <c r="D1054" s="3" t="s">
        <v>18</v>
      </c>
      <c r="E1054" s="6">
        <v>44718</v>
      </c>
      <c r="F1054" s="3" t="s">
        <v>14</v>
      </c>
      <c r="G1054" s="3">
        <v>7686</v>
      </c>
      <c r="H1054" s="3">
        <v>9818</v>
      </c>
      <c r="I1054" s="3">
        <v>2.69</v>
      </c>
      <c r="J1054" s="3">
        <v>4</v>
      </c>
      <c r="K1054" s="15">
        <f ca="1">IF(F1054="Enrolled",TODAY()-E1054,"0")</f>
        <v>1336</v>
      </c>
      <c r="L1054" s="3" t="str">
        <f>IF(I1054&gt;=3.5,"Excellent",IF(I1054&gt;=3,"Good",IF(I1054&gt;=2,"Average","Poor")))</f>
        <v>Average</v>
      </c>
      <c r="M1054" s="3" t="str">
        <v>Dr.Roy</v>
      </c>
      <c r="N1054" s="3" t="str">
        <f>IF(H1054 &gt; (G1054*50%), "Yes", "No")</f>
        <v>Yes</v>
      </c>
      <c r="O1054" s="16">
        <f>G1054-H1054</f>
        <v>-2132</v>
      </c>
      <c r="P1054" s="16">
        <f>SUMIFS(O1054:O1054,E1054:E1054,"Science",F1054:F1054,"Completed")</f>
        <v>0</v>
      </c>
      <c r="Q1054" s="3" t="str">
        <f>IF(MONTH(E1054)&gt;=7, YEAR(E1054)&amp;"-"&amp;YEAR(E1054)+1, YEAR(E1054)-1&amp;"-"&amp;YEAR(E1054))</f>
        <v>2021-2022</v>
      </c>
      <c r="R1054" s="3"/>
      <c r="S1054" s="3"/>
      <c r="T1054" s="15" t="str">
        <f t="shared" ca="1" si="16"/>
        <v>0</v>
      </c>
      <c r="U1054" s="3"/>
    </row>
    <row r="1055" spans="1:21" x14ac:dyDescent="0.35">
      <c r="A1055" s="3" t="s">
        <v>2131</v>
      </c>
      <c r="B1055" s="3" t="s">
        <v>2132</v>
      </c>
      <c r="C1055" s="3" t="s">
        <v>54</v>
      </c>
      <c r="D1055" s="3" t="s">
        <v>13</v>
      </c>
      <c r="E1055" s="6">
        <v>44888</v>
      </c>
      <c r="F1055" s="3" t="s">
        <v>14</v>
      </c>
      <c r="G1055" s="3">
        <v>7121</v>
      </c>
      <c r="H1055" s="3">
        <v>7090</v>
      </c>
      <c r="I1055" s="3">
        <v>3.87</v>
      </c>
      <c r="J1055" s="3">
        <v>28</v>
      </c>
      <c r="K1055" s="15">
        <f ca="1">IF(F1055="Enrolled",TODAY()-E1055,"0")</f>
        <v>1166</v>
      </c>
      <c r="L1055" s="3" t="str">
        <f>IF(I1055&gt;=3.5,"Excellent",IF(I1055&gt;=3,"Good",IF(I1055&gt;=2,"Average","Poor")))</f>
        <v>Excellent</v>
      </c>
      <c r="M1055" s="3" t="str">
        <v>Dr.Mehta</v>
      </c>
      <c r="N1055" s="3" t="str">
        <f>IF(H1055 &gt; (G1055*50%), "Yes", "No")</f>
        <v>Yes</v>
      </c>
      <c r="O1055" s="16">
        <f>G1055-H1055</f>
        <v>31</v>
      </c>
      <c r="P1055" s="16">
        <f>SUMIFS(O1055:O1055,E1055:E1055,"Science",F1055:F1055,"Completed")</f>
        <v>0</v>
      </c>
      <c r="Q1055" s="3" t="str">
        <f>IF(MONTH(E1055)&gt;=7, YEAR(E1055)&amp;"-"&amp;YEAR(E1055)+1, YEAR(E1055)-1&amp;"-"&amp;YEAR(E1055))</f>
        <v>2022-2023</v>
      </c>
      <c r="R1055" s="3"/>
      <c r="S1055" s="3"/>
      <c r="T1055" s="15" t="str">
        <f t="shared" ca="1" si="16"/>
        <v>0</v>
      </c>
      <c r="U1055" s="3"/>
    </row>
    <row r="1056" spans="1:21" x14ac:dyDescent="0.35">
      <c r="A1056" s="3" t="s">
        <v>2133</v>
      </c>
      <c r="B1056" s="3" t="s">
        <v>2134</v>
      </c>
      <c r="C1056" s="3" t="s">
        <v>17</v>
      </c>
      <c r="D1056" s="3" t="s">
        <v>31</v>
      </c>
      <c r="E1056" s="6">
        <v>45450</v>
      </c>
      <c r="F1056" s="3" t="s">
        <v>19</v>
      </c>
      <c r="G1056" s="3">
        <v>3813</v>
      </c>
      <c r="H1056" s="3">
        <v>1221</v>
      </c>
      <c r="I1056" s="3">
        <v>2.78</v>
      </c>
      <c r="J1056" s="3">
        <v>55</v>
      </c>
      <c r="K1056" s="15" t="str">
        <f ca="1">IF(F1056="Enrolled",TODAY()-E1056,"0")</f>
        <v>0</v>
      </c>
      <c r="L1056" s="3" t="str">
        <f>IF(I1056&gt;=3.5,"Excellent",IF(I1056&gt;=3,"Good",IF(I1056&gt;=2,"Average","Poor")))</f>
        <v>Average</v>
      </c>
      <c r="M1056" s="3" t="str">
        <v>Dr.Sharma</v>
      </c>
      <c r="N1056" s="3" t="str">
        <f>IF(H1056 &gt; (G1056*50%), "Yes", "No")</f>
        <v>No</v>
      </c>
      <c r="O1056" s="16">
        <f>G1056-H1056</f>
        <v>2592</v>
      </c>
      <c r="P1056" s="16">
        <f>SUMIFS(O1056:O1056,E1056:E1056,"Science",F1056:F1056,"Completed")</f>
        <v>0</v>
      </c>
      <c r="Q1056" s="3" t="str">
        <f>IF(MONTH(E1056)&gt;=7, YEAR(E1056)&amp;"-"&amp;YEAR(E1056)+1, YEAR(E1056)-1&amp;"-"&amp;YEAR(E1056))</f>
        <v>2023-2024</v>
      </c>
      <c r="R1056" s="3"/>
      <c r="S1056" s="3"/>
      <c r="T1056" s="15">
        <f t="shared" ca="1" si="16"/>
        <v>604</v>
      </c>
      <c r="U1056" s="3"/>
    </row>
    <row r="1057" spans="1:21" x14ac:dyDescent="0.35">
      <c r="A1057" s="3" t="s">
        <v>2135</v>
      </c>
      <c r="B1057" s="3" t="s">
        <v>2136</v>
      </c>
      <c r="C1057" s="3" t="s">
        <v>57</v>
      </c>
      <c r="D1057" s="3" t="s">
        <v>62</v>
      </c>
      <c r="E1057" s="6">
        <v>45410</v>
      </c>
      <c r="F1057" s="3" t="s">
        <v>19</v>
      </c>
      <c r="G1057" s="3">
        <v>5115</v>
      </c>
      <c r="H1057" s="3">
        <v>6700</v>
      </c>
      <c r="I1057" s="3">
        <v>3.09</v>
      </c>
      <c r="J1057" s="3">
        <v>35</v>
      </c>
      <c r="K1057" s="15" t="str">
        <f ca="1">IF(F1057="Enrolled",TODAY()-E1057,"0")</f>
        <v>0</v>
      </c>
      <c r="L1057" s="3" t="str">
        <f>IF(I1057&gt;=3.5,"Excellent",IF(I1057&gt;=3,"Good",IF(I1057&gt;=2,"Average","Poor")))</f>
        <v>Good</v>
      </c>
      <c r="M1057" s="3" t="str">
        <v>Dr.Sinha</v>
      </c>
      <c r="N1057" s="3" t="str">
        <f>IF(H1057 &gt; (G1057*50%), "Yes", "No")</f>
        <v>Yes</v>
      </c>
      <c r="O1057" s="16">
        <f>G1057-H1057</f>
        <v>-1585</v>
      </c>
      <c r="P1057" s="16">
        <f>SUMIFS(O1057:O1057,E1057:E1057,"Science",F1057:F1057,"Completed")</f>
        <v>0</v>
      </c>
      <c r="Q1057" s="3" t="str">
        <f>IF(MONTH(E1057)&gt;=7, YEAR(E1057)&amp;"-"&amp;YEAR(E1057)+1, YEAR(E1057)-1&amp;"-"&amp;YEAR(E1057))</f>
        <v>2023-2024</v>
      </c>
      <c r="R1057" s="3"/>
      <c r="S1057" s="3"/>
      <c r="T1057" s="15">
        <f t="shared" ca="1" si="16"/>
        <v>644</v>
      </c>
      <c r="U1057" s="3"/>
    </row>
    <row r="1058" spans="1:21" x14ac:dyDescent="0.35">
      <c r="A1058" s="3" t="s">
        <v>2137</v>
      </c>
      <c r="B1058" s="3" t="s">
        <v>2138</v>
      </c>
      <c r="C1058" s="3" t="s">
        <v>36</v>
      </c>
      <c r="D1058" s="3" t="s">
        <v>18</v>
      </c>
      <c r="E1058" s="6">
        <v>44963</v>
      </c>
      <c r="F1058" s="3" t="s">
        <v>14</v>
      </c>
      <c r="G1058" s="3">
        <v>8897</v>
      </c>
      <c r="H1058" s="3">
        <v>2452</v>
      </c>
      <c r="I1058" s="3">
        <v>3.51</v>
      </c>
      <c r="J1058" s="3">
        <v>90</v>
      </c>
      <c r="K1058" s="15">
        <f ca="1">IF(F1058="Enrolled",TODAY()-E1058,"0")</f>
        <v>1091</v>
      </c>
      <c r="L1058" s="3" t="str">
        <f>IF(I1058&gt;=3.5,"Excellent",IF(I1058&gt;=3,"Good",IF(I1058&gt;=2,"Average","Poor")))</f>
        <v>Excellent</v>
      </c>
      <c r="M1058" s="3" t="str">
        <v>Dr.Roy</v>
      </c>
      <c r="N1058" s="3" t="str">
        <f>IF(H1058 &gt; (G1058*50%), "Yes", "No")</f>
        <v>No</v>
      </c>
      <c r="O1058" s="16">
        <f>G1058-H1058</f>
        <v>6445</v>
      </c>
      <c r="P1058" s="16">
        <f>SUMIFS(O1058:O1058,E1058:E1058,"Science",F1058:F1058,"Completed")</f>
        <v>0</v>
      </c>
      <c r="Q1058" s="3" t="str">
        <f>IF(MONTH(E1058)&gt;=7, YEAR(E1058)&amp;"-"&amp;YEAR(E1058)+1, YEAR(E1058)-1&amp;"-"&amp;YEAR(E1058))</f>
        <v>2022-2023</v>
      </c>
      <c r="R1058" s="3"/>
      <c r="S1058" s="3"/>
      <c r="T1058" s="15" t="str">
        <f t="shared" ca="1" si="16"/>
        <v>0</v>
      </c>
      <c r="U1058" s="3"/>
    </row>
    <row r="1059" spans="1:21" x14ac:dyDescent="0.35">
      <c r="A1059" s="3" t="s">
        <v>2139</v>
      </c>
      <c r="B1059" s="3" t="s">
        <v>2140</v>
      </c>
      <c r="C1059" s="3" t="s">
        <v>28</v>
      </c>
      <c r="D1059" s="3" t="s">
        <v>31</v>
      </c>
      <c r="E1059" s="6">
        <v>45408</v>
      </c>
      <c r="F1059" s="3" t="s">
        <v>14</v>
      </c>
      <c r="G1059" s="3">
        <v>10286</v>
      </c>
      <c r="H1059" s="3">
        <v>8637</v>
      </c>
      <c r="I1059" s="3">
        <v>2.17</v>
      </c>
      <c r="J1059" s="3">
        <v>76</v>
      </c>
      <c r="K1059" s="15">
        <f ca="1">IF(F1059="Enrolled",TODAY()-E1059,"0")</f>
        <v>646</v>
      </c>
      <c r="L1059" s="3" t="str">
        <f>IF(I1059&gt;=3.5,"Excellent",IF(I1059&gt;=3,"Good",IF(I1059&gt;=2,"Average","Poor")))</f>
        <v>Average</v>
      </c>
      <c r="M1059" s="3" t="str">
        <v>Dr.Sharma</v>
      </c>
      <c r="N1059" s="3" t="str">
        <f>IF(H1059 &gt; (G1059*50%), "Yes", "No")</f>
        <v>Yes</v>
      </c>
      <c r="O1059" s="16">
        <f>G1059-H1059</f>
        <v>1649</v>
      </c>
      <c r="P1059" s="16">
        <f>SUMIFS(O1059:O1059,E1059:E1059,"Science",F1059:F1059,"Completed")</f>
        <v>0</v>
      </c>
      <c r="Q1059" s="3" t="str">
        <f>IF(MONTH(E1059)&gt;=7, YEAR(E1059)&amp;"-"&amp;YEAR(E1059)+1, YEAR(E1059)-1&amp;"-"&amp;YEAR(E1059))</f>
        <v>2023-2024</v>
      </c>
      <c r="R1059" s="3"/>
      <c r="S1059" s="3"/>
      <c r="T1059" s="15" t="str">
        <f t="shared" ca="1" si="16"/>
        <v>0</v>
      </c>
      <c r="U1059" s="3"/>
    </row>
    <row r="1060" spans="1:21" x14ac:dyDescent="0.35">
      <c r="A1060" s="3" t="s">
        <v>2141</v>
      </c>
      <c r="B1060" s="3" t="s">
        <v>2142</v>
      </c>
      <c r="C1060" s="3" t="s">
        <v>22</v>
      </c>
      <c r="D1060" s="3" t="s">
        <v>31</v>
      </c>
      <c r="E1060" s="6">
        <v>45381</v>
      </c>
      <c r="F1060" s="3" t="s">
        <v>19</v>
      </c>
      <c r="G1060" s="3">
        <v>6792</v>
      </c>
      <c r="H1060" s="3">
        <v>999</v>
      </c>
      <c r="I1060" s="3">
        <v>2.19</v>
      </c>
      <c r="J1060" s="3">
        <v>6</v>
      </c>
      <c r="K1060" s="15" t="str">
        <f ca="1">IF(F1060="Enrolled",TODAY()-E1060,"0")</f>
        <v>0</v>
      </c>
      <c r="L1060" s="3" t="str">
        <f>IF(I1060&gt;=3.5,"Excellent",IF(I1060&gt;=3,"Good",IF(I1060&gt;=2,"Average","Poor")))</f>
        <v>Average</v>
      </c>
      <c r="M1060" s="3" t="str">
        <v>Dr.Sharma</v>
      </c>
      <c r="N1060" s="3" t="str">
        <f>IF(H1060 &gt; (G1060*50%), "Yes", "No")</f>
        <v>No</v>
      </c>
      <c r="O1060" s="16">
        <f>G1060-H1060</f>
        <v>5793</v>
      </c>
      <c r="P1060" s="16">
        <f>SUMIFS(O1060:O1060,E1060:E1060,"Science",F1060:F1060,"Completed")</f>
        <v>0</v>
      </c>
      <c r="Q1060" s="3" t="str">
        <f>IF(MONTH(E1060)&gt;=7, YEAR(E1060)&amp;"-"&amp;YEAR(E1060)+1, YEAR(E1060)-1&amp;"-"&amp;YEAR(E1060))</f>
        <v>2023-2024</v>
      </c>
      <c r="R1060" s="3"/>
      <c r="S1060" s="3"/>
      <c r="T1060" s="15">
        <f t="shared" ca="1" si="16"/>
        <v>673</v>
      </c>
      <c r="U1060" s="3"/>
    </row>
    <row r="1061" spans="1:21" x14ac:dyDescent="0.35">
      <c r="A1061" s="3" t="s">
        <v>2143</v>
      </c>
      <c r="B1061" s="3" t="s">
        <v>2144</v>
      </c>
      <c r="C1061" s="3" t="s">
        <v>25</v>
      </c>
      <c r="D1061" s="3" t="s">
        <v>62</v>
      </c>
      <c r="E1061" s="6">
        <v>44982</v>
      </c>
      <c r="F1061" s="3" t="s">
        <v>14</v>
      </c>
      <c r="G1061" s="3">
        <v>9636</v>
      </c>
      <c r="H1061" s="3">
        <v>8999</v>
      </c>
      <c r="I1061" s="3">
        <v>2.4900000000000002</v>
      </c>
      <c r="J1061" s="3">
        <v>46</v>
      </c>
      <c r="K1061" s="15">
        <f ca="1">IF(F1061="Enrolled",TODAY()-E1061,"0")</f>
        <v>1072</v>
      </c>
      <c r="L1061" s="3" t="str">
        <f>IF(I1061&gt;=3.5,"Excellent",IF(I1061&gt;=3,"Good",IF(I1061&gt;=2,"Average","Poor")))</f>
        <v>Average</v>
      </c>
      <c r="M1061" s="3" t="str">
        <v>Dr.Sinha</v>
      </c>
      <c r="N1061" s="3" t="str">
        <f>IF(H1061 &gt; (G1061*50%), "Yes", "No")</f>
        <v>Yes</v>
      </c>
      <c r="O1061" s="16">
        <f>G1061-H1061</f>
        <v>637</v>
      </c>
      <c r="P1061" s="16">
        <f>SUMIFS(O1061:O1061,E1061:E1061,"Science",F1061:F1061,"Completed")</f>
        <v>0</v>
      </c>
      <c r="Q1061" s="3" t="str">
        <f>IF(MONTH(E1061)&gt;=7, YEAR(E1061)&amp;"-"&amp;YEAR(E1061)+1, YEAR(E1061)-1&amp;"-"&amp;YEAR(E1061))</f>
        <v>2022-2023</v>
      </c>
      <c r="R1061" s="3"/>
      <c r="S1061" s="3"/>
      <c r="T1061" s="15" t="str">
        <f t="shared" ca="1" si="16"/>
        <v>0</v>
      </c>
      <c r="U1061" s="3"/>
    </row>
    <row r="1062" spans="1:21" x14ac:dyDescent="0.35">
      <c r="A1062" s="3" t="s">
        <v>2145</v>
      </c>
      <c r="B1062" s="3" t="s">
        <v>2146</v>
      </c>
      <c r="C1062" s="3" t="s">
        <v>22</v>
      </c>
      <c r="D1062" s="3" t="s">
        <v>62</v>
      </c>
      <c r="E1062" s="6">
        <v>44564</v>
      </c>
      <c r="F1062" s="3" t="s">
        <v>14</v>
      </c>
      <c r="G1062" s="3">
        <v>14185</v>
      </c>
      <c r="H1062" s="3">
        <v>3785</v>
      </c>
      <c r="I1062" s="3">
        <v>3.14</v>
      </c>
      <c r="J1062" s="3">
        <v>84</v>
      </c>
      <c r="K1062" s="15">
        <f ca="1">IF(F1062="Enrolled",TODAY()-E1062,"0")</f>
        <v>1490</v>
      </c>
      <c r="L1062" s="3" t="str">
        <f>IF(I1062&gt;=3.5,"Excellent",IF(I1062&gt;=3,"Good",IF(I1062&gt;=2,"Average","Poor")))</f>
        <v>Good</v>
      </c>
      <c r="M1062" s="3" t="str">
        <v>Dr.Sinha</v>
      </c>
      <c r="N1062" s="3" t="str">
        <f>IF(H1062 &gt; (G1062*50%), "Yes", "No")</f>
        <v>No</v>
      </c>
      <c r="O1062" s="16">
        <f>G1062-H1062</f>
        <v>10400</v>
      </c>
      <c r="P1062" s="16">
        <f>SUMIFS(O1062:O1062,E1062:E1062,"Science",F1062:F1062,"Completed")</f>
        <v>0</v>
      </c>
      <c r="Q1062" s="3" t="str">
        <f>IF(MONTH(E1062)&gt;=7, YEAR(E1062)&amp;"-"&amp;YEAR(E1062)+1, YEAR(E1062)-1&amp;"-"&amp;YEAR(E1062))</f>
        <v>2021-2022</v>
      </c>
      <c r="R1062" s="3"/>
      <c r="S1062" s="3"/>
      <c r="T1062" s="15" t="str">
        <f t="shared" ca="1" si="16"/>
        <v>0</v>
      </c>
      <c r="U1062" s="3"/>
    </row>
    <row r="1063" spans="1:21" x14ac:dyDescent="0.35">
      <c r="A1063" s="3" t="s">
        <v>2147</v>
      </c>
      <c r="B1063" s="3" t="s">
        <v>2148</v>
      </c>
      <c r="C1063" s="3" t="s">
        <v>57</v>
      </c>
      <c r="D1063" s="3" t="s">
        <v>62</v>
      </c>
      <c r="E1063" s="6">
        <v>45091</v>
      </c>
      <c r="F1063" s="3" t="s">
        <v>14</v>
      </c>
      <c r="G1063" s="3">
        <v>13293</v>
      </c>
      <c r="H1063" s="3">
        <v>9628</v>
      </c>
      <c r="I1063" s="3">
        <v>2.66</v>
      </c>
      <c r="J1063" s="3">
        <v>99</v>
      </c>
      <c r="K1063" s="15">
        <f ca="1">IF(F1063="Enrolled",TODAY()-E1063,"0")</f>
        <v>963</v>
      </c>
      <c r="L1063" s="3" t="str">
        <f>IF(I1063&gt;=3.5,"Excellent",IF(I1063&gt;=3,"Good",IF(I1063&gt;=2,"Average","Poor")))</f>
        <v>Average</v>
      </c>
      <c r="M1063" s="3" t="str">
        <v>Dr.Sinha</v>
      </c>
      <c r="N1063" s="3" t="str">
        <f>IF(H1063 &gt; (G1063*50%), "Yes", "No")</f>
        <v>Yes</v>
      </c>
      <c r="O1063" s="16">
        <f>G1063-H1063</f>
        <v>3665</v>
      </c>
      <c r="P1063" s="16">
        <f>SUMIFS(O1063:O1063,E1063:E1063,"Science",F1063:F1063,"Completed")</f>
        <v>0</v>
      </c>
      <c r="Q1063" s="3" t="str">
        <f>IF(MONTH(E1063)&gt;=7, YEAR(E1063)&amp;"-"&amp;YEAR(E1063)+1, YEAR(E1063)-1&amp;"-"&amp;YEAR(E1063))</f>
        <v>2022-2023</v>
      </c>
      <c r="R1063" s="3"/>
      <c r="S1063" s="3"/>
      <c r="T1063" s="15" t="str">
        <f t="shared" ca="1" si="16"/>
        <v>0</v>
      </c>
      <c r="U1063" s="3"/>
    </row>
    <row r="1064" spans="1:21" x14ac:dyDescent="0.35">
      <c r="A1064" s="3" t="s">
        <v>2149</v>
      </c>
      <c r="B1064" s="3" t="s">
        <v>2150</v>
      </c>
      <c r="C1064" s="3" t="s">
        <v>57</v>
      </c>
      <c r="D1064" s="3" t="s">
        <v>18</v>
      </c>
      <c r="E1064" s="6">
        <v>45124</v>
      </c>
      <c r="F1064" s="3" t="s">
        <v>19</v>
      </c>
      <c r="G1064" s="3">
        <v>7446</v>
      </c>
      <c r="H1064" s="3">
        <v>4781</v>
      </c>
      <c r="I1064" s="3">
        <v>3.43</v>
      </c>
      <c r="J1064" s="3">
        <v>101</v>
      </c>
      <c r="K1064" s="15" t="str">
        <f ca="1">IF(F1064="Enrolled",TODAY()-E1064,"0")</f>
        <v>0</v>
      </c>
      <c r="L1064" s="3" t="str">
        <f>IF(I1064&gt;=3.5,"Excellent",IF(I1064&gt;=3,"Good",IF(I1064&gt;=2,"Average","Poor")))</f>
        <v>Good</v>
      </c>
      <c r="M1064" s="3" t="str">
        <v>Dr.Roy</v>
      </c>
      <c r="N1064" s="3" t="str">
        <f>IF(H1064 &gt; (G1064*50%), "Yes", "No")</f>
        <v>Yes</v>
      </c>
      <c r="O1064" s="16">
        <f>G1064-H1064</f>
        <v>2665</v>
      </c>
      <c r="P1064" s="16">
        <f>SUMIFS(O1064:O1064,E1064:E1064,"Science",F1064:F1064,"Completed")</f>
        <v>0</v>
      </c>
      <c r="Q1064" s="3" t="str">
        <f>IF(MONTH(E1064)&gt;=7, YEAR(E1064)&amp;"-"&amp;YEAR(E1064)+1, YEAR(E1064)-1&amp;"-"&amp;YEAR(E1064))</f>
        <v>2023-2024</v>
      </c>
      <c r="R1064" s="3"/>
      <c r="S1064" s="3"/>
      <c r="T1064" s="15">
        <f t="shared" ca="1" si="16"/>
        <v>930</v>
      </c>
      <c r="U1064" s="3"/>
    </row>
    <row r="1065" spans="1:21" x14ac:dyDescent="0.35">
      <c r="A1065" s="3" t="s">
        <v>2151</v>
      </c>
      <c r="B1065" s="3" t="s">
        <v>2152</v>
      </c>
      <c r="C1065" s="3" t="s">
        <v>28</v>
      </c>
      <c r="D1065" s="3" t="s">
        <v>62</v>
      </c>
      <c r="E1065" s="6">
        <v>44849</v>
      </c>
      <c r="F1065" s="3" t="s">
        <v>14</v>
      </c>
      <c r="G1065" s="3">
        <v>11119</v>
      </c>
      <c r="H1065" s="3">
        <v>8712</v>
      </c>
      <c r="I1065" s="3">
        <v>3.96</v>
      </c>
      <c r="J1065" s="3">
        <v>103</v>
      </c>
      <c r="K1065" s="15">
        <f ca="1">IF(F1065="Enrolled",TODAY()-E1065,"0")</f>
        <v>1205</v>
      </c>
      <c r="L1065" s="3" t="str">
        <f>IF(I1065&gt;=3.5,"Excellent",IF(I1065&gt;=3,"Good",IF(I1065&gt;=2,"Average","Poor")))</f>
        <v>Excellent</v>
      </c>
      <c r="M1065" s="3" t="str">
        <v>Dr.Sinha</v>
      </c>
      <c r="N1065" s="3" t="str">
        <f>IF(H1065 &gt; (G1065*50%), "Yes", "No")</f>
        <v>Yes</v>
      </c>
      <c r="O1065" s="16">
        <f>G1065-H1065</f>
        <v>2407</v>
      </c>
      <c r="P1065" s="16">
        <f>SUMIFS(O1065:O1065,E1065:E1065,"Science",F1065:F1065,"Completed")</f>
        <v>0</v>
      </c>
      <c r="Q1065" s="3" t="str">
        <f>IF(MONTH(E1065)&gt;=7, YEAR(E1065)&amp;"-"&amp;YEAR(E1065)+1, YEAR(E1065)-1&amp;"-"&amp;YEAR(E1065))</f>
        <v>2022-2023</v>
      </c>
      <c r="R1065" s="3"/>
      <c r="S1065" s="3"/>
      <c r="T1065" s="15" t="str">
        <f t="shared" ca="1" si="16"/>
        <v>0</v>
      </c>
      <c r="U1065" s="3"/>
    </row>
    <row r="1066" spans="1:21" x14ac:dyDescent="0.35">
      <c r="A1066" s="3" t="s">
        <v>2153</v>
      </c>
      <c r="B1066" s="3" t="s">
        <v>2154</v>
      </c>
      <c r="C1066" s="3" t="s">
        <v>36</v>
      </c>
      <c r="D1066" s="3" t="s">
        <v>18</v>
      </c>
      <c r="E1066" s="6">
        <v>44806</v>
      </c>
      <c r="F1066" s="3" t="s">
        <v>14</v>
      </c>
      <c r="G1066" s="3">
        <v>13651</v>
      </c>
      <c r="H1066" s="3">
        <v>6144</v>
      </c>
      <c r="I1066" s="3">
        <v>3.84</v>
      </c>
      <c r="J1066" s="3">
        <v>76</v>
      </c>
      <c r="K1066" s="15">
        <f ca="1">IF(F1066="Enrolled",TODAY()-E1066,"0")</f>
        <v>1248</v>
      </c>
      <c r="L1066" s="3" t="str">
        <f>IF(I1066&gt;=3.5,"Excellent",IF(I1066&gt;=3,"Good",IF(I1066&gt;=2,"Average","Poor")))</f>
        <v>Excellent</v>
      </c>
      <c r="M1066" s="3" t="str">
        <v>Dr.Roy</v>
      </c>
      <c r="N1066" s="3" t="str">
        <f>IF(H1066 &gt; (G1066*50%), "Yes", "No")</f>
        <v>No</v>
      </c>
      <c r="O1066" s="16">
        <f>G1066-H1066</f>
        <v>7507</v>
      </c>
      <c r="P1066" s="16">
        <f>SUMIFS(O1066:O1066,E1066:E1066,"Science",F1066:F1066,"Completed")</f>
        <v>0</v>
      </c>
      <c r="Q1066" s="3" t="str">
        <f>IF(MONTH(E1066)&gt;=7, YEAR(E1066)&amp;"-"&amp;YEAR(E1066)+1, YEAR(E1066)-1&amp;"-"&amp;YEAR(E1066))</f>
        <v>2022-2023</v>
      </c>
      <c r="R1066" s="3"/>
      <c r="S1066" s="3"/>
      <c r="T1066" s="15" t="str">
        <f t="shared" ca="1" si="16"/>
        <v>0</v>
      </c>
      <c r="U1066" s="3"/>
    </row>
    <row r="1067" spans="1:21" x14ac:dyDescent="0.35">
      <c r="A1067" s="3" t="s">
        <v>2155</v>
      </c>
      <c r="B1067" s="3" t="s">
        <v>2156</v>
      </c>
      <c r="C1067" s="3" t="s">
        <v>12</v>
      </c>
      <c r="D1067" s="3" t="s">
        <v>62</v>
      </c>
      <c r="E1067" s="6">
        <v>44714</v>
      </c>
      <c r="F1067" s="3" t="s">
        <v>14</v>
      </c>
      <c r="G1067" s="3">
        <v>4701</v>
      </c>
      <c r="H1067" s="3">
        <v>5681</v>
      </c>
      <c r="I1067" s="3">
        <v>2.84</v>
      </c>
      <c r="J1067" s="3">
        <v>44</v>
      </c>
      <c r="K1067" s="15">
        <f ca="1">IF(F1067="Enrolled",TODAY()-E1067,"0")</f>
        <v>1340</v>
      </c>
      <c r="L1067" s="3" t="str">
        <f>IF(I1067&gt;=3.5,"Excellent",IF(I1067&gt;=3,"Good",IF(I1067&gt;=2,"Average","Poor")))</f>
        <v>Average</v>
      </c>
      <c r="M1067" s="3" t="str">
        <v>Dr.Sinha</v>
      </c>
      <c r="N1067" s="3" t="str">
        <f>IF(H1067 &gt; (G1067*50%), "Yes", "No")</f>
        <v>Yes</v>
      </c>
      <c r="O1067" s="16">
        <f>G1067-H1067</f>
        <v>-980</v>
      </c>
      <c r="P1067" s="16">
        <f>SUMIFS(O1067:O1067,E1067:E1067,"Science",F1067:F1067,"Completed")</f>
        <v>0</v>
      </c>
      <c r="Q1067" s="3" t="str">
        <f>IF(MONTH(E1067)&gt;=7, YEAR(E1067)&amp;"-"&amp;YEAR(E1067)+1, YEAR(E1067)-1&amp;"-"&amp;YEAR(E1067))</f>
        <v>2021-2022</v>
      </c>
      <c r="R1067" s="3"/>
      <c r="S1067" s="3"/>
      <c r="T1067" s="15" t="str">
        <f t="shared" ca="1" si="16"/>
        <v>0</v>
      </c>
      <c r="U1067" s="3"/>
    </row>
    <row r="1068" spans="1:21" x14ac:dyDescent="0.35">
      <c r="A1068" s="3" t="s">
        <v>2157</v>
      </c>
      <c r="B1068" s="3" t="s">
        <v>2158</v>
      </c>
      <c r="C1068" s="3" t="s">
        <v>17</v>
      </c>
      <c r="D1068" s="3" t="s">
        <v>62</v>
      </c>
      <c r="E1068" s="6">
        <v>45395</v>
      </c>
      <c r="F1068" s="3" t="s">
        <v>39</v>
      </c>
      <c r="G1068" s="3">
        <v>9016</v>
      </c>
      <c r="H1068" s="3">
        <v>7292</v>
      </c>
      <c r="I1068" s="3">
        <v>2.7</v>
      </c>
      <c r="J1068" s="3">
        <v>5</v>
      </c>
      <c r="K1068" s="15" t="str">
        <f ca="1">IF(F1068="Enrolled",TODAY()-E1068,"0")</f>
        <v>0</v>
      </c>
      <c r="L1068" s="3" t="str">
        <f>IF(I1068&gt;=3.5,"Excellent",IF(I1068&gt;=3,"Good",IF(I1068&gt;=2,"Average","Poor")))</f>
        <v>Average</v>
      </c>
      <c r="M1068" s="3" t="str">
        <v>Dr.Sinha</v>
      </c>
      <c r="N1068" s="3" t="str">
        <f>IF(H1068 &gt; (G1068*50%), "Yes", "No")</f>
        <v>Yes</v>
      </c>
      <c r="O1068" s="16">
        <f>G1068-H1068</f>
        <v>1724</v>
      </c>
      <c r="P1068" s="16">
        <f>SUMIFS(O1068:O1068,E1068:E1068,"Science",F1068:F1068,"Completed")</f>
        <v>0</v>
      </c>
      <c r="Q1068" s="3" t="str">
        <f>IF(MONTH(E1068)&gt;=7, YEAR(E1068)&amp;"-"&amp;YEAR(E1068)+1, YEAR(E1068)-1&amp;"-"&amp;YEAR(E1068))</f>
        <v>2023-2024</v>
      </c>
      <c r="R1068" s="3"/>
      <c r="S1068" s="3"/>
      <c r="T1068" s="15" t="str">
        <f t="shared" ca="1" si="16"/>
        <v>0</v>
      </c>
      <c r="U1068" s="3"/>
    </row>
    <row r="1069" spans="1:21" x14ac:dyDescent="0.35">
      <c r="A1069" s="3" t="s">
        <v>2159</v>
      </c>
      <c r="B1069" s="3" t="s">
        <v>2160</v>
      </c>
      <c r="C1069" s="3" t="s">
        <v>54</v>
      </c>
      <c r="D1069" s="3" t="s">
        <v>18</v>
      </c>
      <c r="E1069" s="6">
        <v>45120</v>
      </c>
      <c r="F1069" s="3" t="s">
        <v>19</v>
      </c>
      <c r="G1069" s="3">
        <v>6208</v>
      </c>
      <c r="H1069" s="3">
        <v>6067</v>
      </c>
      <c r="I1069" s="3">
        <v>3.75</v>
      </c>
      <c r="J1069" s="3">
        <v>93</v>
      </c>
      <c r="K1069" s="15" t="str">
        <f ca="1">IF(F1069="Enrolled",TODAY()-E1069,"0")</f>
        <v>0</v>
      </c>
      <c r="L1069" s="3" t="str">
        <f>IF(I1069&gt;=3.5,"Excellent",IF(I1069&gt;=3,"Good",IF(I1069&gt;=2,"Average","Poor")))</f>
        <v>Excellent</v>
      </c>
      <c r="M1069" s="3" t="str">
        <v>Dr.Roy</v>
      </c>
      <c r="N1069" s="3" t="str">
        <f>IF(H1069 &gt; (G1069*50%), "Yes", "No")</f>
        <v>Yes</v>
      </c>
      <c r="O1069" s="16">
        <f>G1069-H1069</f>
        <v>141</v>
      </c>
      <c r="P1069" s="16">
        <f>SUMIFS(O1069:O1069,E1069:E1069,"Science",F1069:F1069,"Completed")</f>
        <v>0</v>
      </c>
      <c r="Q1069" s="3" t="str">
        <f>IF(MONTH(E1069)&gt;=7, YEAR(E1069)&amp;"-"&amp;YEAR(E1069)+1, YEAR(E1069)-1&amp;"-"&amp;YEAR(E1069))</f>
        <v>2023-2024</v>
      </c>
      <c r="R1069" s="3"/>
      <c r="S1069" s="3"/>
      <c r="T1069" s="15">
        <f t="shared" ca="1" si="16"/>
        <v>934</v>
      </c>
      <c r="U1069" s="3"/>
    </row>
    <row r="1070" spans="1:21" x14ac:dyDescent="0.35">
      <c r="A1070" s="3" t="s">
        <v>2161</v>
      </c>
      <c r="B1070" s="3" t="s">
        <v>2162</v>
      </c>
      <c r="C1070" s="3" t="s">
        <v>28</v>
      </c>
      <c r="D1070" s="3" t="s">
        <v>13</v>
      </c>
      <c r="E1070" s="6">
        <v>45090</v>
      </c>
      <c r="F1070" s="3" t="s">
        <v>19</v>
      </c>
      <c r="G1070" s="3">
        <v>5697</v>
      </c>
      <c r="H1070" s="3">
        <v>3573</v>
      </c>
      <c r="I1070" s="3">
        <v>3.77</v>
      </c>
      <c r="J1070" s="3">
        <v>79</v>
      </c>
      <c r="K1070" s="15" t="str">
        <f ca="1">IF(F1070="Enrolled",TODAY()-E1070,"0")</f>
        <v>0</v>
      </c>
      <c r="L1070" s="3" t="str">
        <f>IF(I1070&gt;=3.5,"Excellent",IF(I1070&gt;=3,"Good",IF(I1070&gt;=2,"Average","Poor")))</f>
        <v>Excellent</v>
      </c>
      <c r="M1070" s="3" t="str">
        <v>Dr.Mehta</v>
      </c>
      <c r="N1070" s="3" t="str">
        <f>IF(H1070 &gt; (G1070*50%), "Yes", "No")</f>
        <v>Yes</v>
      </c>
      <c r="O1070" s="16">
        <f>G1070-H1070</f>
        <v>2124</v>
      </c>
      <c r="P1070" s="16">
        <f>SUMIFS(O1070:O1070,E1070:E1070,"Science",F1070:F1070,"Completed")</f>
        <v>0</v>
      </c>
      <c r="Q1070" s="3" t="str">
        <f>IF(MONTH(E1070)&gt;=7, YEAR(E1070)&amp;"-"&amp;YEAR(E1070)+1, YEAR(E1070)-1&amp;"-"&amp;YEAR(E1070))</f>
        <v>2022-2023</v>
      </c>
      <c r="R1070" s="3"/>
      <c r="S1070" s="3"/>
      <c r="T1070" s="15">
        <f t="shared" ca="1" si="16"/>
        <v>964</v>
      </c>
      <c r="U1070" s="3"/>
    </row>
    <row r="1071" spans="1:21" x14ac:dyDescent="0.35">
      <c r="A1071" s="3" t="s">
        <v>2163</v>
      </c>
      <c r="B1071" s="3" t="s">
        <v>2164</v>
      </c>
      <c r="C1071" s="3" t="s">
        <v>22</v>
      </c>
      <c r="D1071" s="3" t="s">
        <v>31</v>
      </c>
      <c r="E1071" s="6">
        <v>44568</v>
      </c>
      <c r="F1071" s="3" t="s">
        <v>14</v>
      </c>
      <c r="G1071" s="3">
        <v>14742</v>
      </c>
      <c r="H1071" s="3">
        <v>445</v>
      </c>
      <c r="I1071" s="3">
        <v>2.5499999999999998</v>
      </c>
      <c r="J1071" s="3">
        <v>6</v>
      </c>
      <c r="K1071" s="15">
        <f ca="1">IF(F1071="Enrolled",TODAY()-E1071,"0")</f>
        <v>1486</v>
      </c>
      <c r="L1071" s="3" t="str">
        <f>IF(I1071&gt;=3.5,"Excellent",IF(I1071&gt;=3,"Good",IF(I1071&gt;=2,"Average","Poor")))</f>
        <v>Average</v>
      </c>
      <c r="M1071" s="3" t="str">
        <v>Dr.Sharma</v>
      </c>
      <c r="N1071" s="3" t="str">
        <f>IF(H1071 &gt; (G1071*50%), "Yes", "No")</f>
        <v>No</v>
      </c>
      <c r="O1071" s="16">
        <f>G1071-H1071</f>
        <v>14297</v>
      </c>
      <c r="P1071" s="16">
        <f>SUMIFS(O1071:O1071,E1071:E1071,"Science",F1071:F1071,"Completed")</f>
        <v>0</v>
      </c>
      <c r="Q1071" s="3" t="str">
        <f>IF(MONTH(E1071)&gt;=7, YEAR(E1071)&amp;"-"&amp;YEAR(E1071)+1, YEAR(E1071)-1&amp;"-"&amp;YEAR(E1071))</f>
        <v>2021-2022</v>
      </c>
      <c r="R1071" s="3"/>
      <c r="S1071" s="3"/>
      <c r="T1071" s="15" t="str">
        <f t="shared" ca="1" si="16"/>
        <v>0</v>
      </c>
      <c r="U1071" s="3"/>
    </row>
    <row r="1072" spans="1:21" x14ac:dyDescent="0.35">
      <c r="A1072" s="3" t="s">
        <v>2165</v>
      </c>
      <c r="B1072" s="3" t="s">
        <v>2166</v>
      </c>
      <c r="C1072" s="3" t="s">
        <v>54</v>
      </c>
      <c r="D1072" s="3" t="s">
        <v>62</v>
      </c>
      <c r="E1072" s="6">
        <v>44740</v>
      </c>
      <c r="F1072" s="3" t="s">
        <v>19</v>
      </c>
      <c r="G1072" s="3">
        <v>2296</v>
      </c>
      <c r="H1072" s="3">
        <v>325</v>
      </c>
      <c r="I1072" s="3">
        <v>2.64</v>
      </c>
      <c r="J1072" s="3">
        <v>71</v>
      </c>
      <c r="K1072" s="15" t="str">
        <f ca="1">IF(F1072="Enrolled",TODAY()-E1072,"0")</f>
        <v>0</v>
      </c>
      <c r="L1072" s="3" t="str">
        <f>IF(I1072&gt;=3.5,"Excellent",IF(I1072&gt;=3,"Good",IF(I1072&gt;=2,"Average","Poor")))</f>
        <v>Average</v>
      </c>
      <c r="M1072" s="3" t="str">
        <v>Dr.Sinha</v>
      </c>
      <c r="N1072" s="3" t="str">
        <f>IF(H1072 &gt; (G1072*50%), "Yes", "No")</f>
        <v>No</v>
      </c>
      <c r="O1072" s="16">
        <f>G1072-H1072</f>
        <v>1971</v>
      </c>
      <c r="P1072" s="16">
        <f>SUMIFS(O1072:O1072,E1072:E1072,"Science",F1072:F1072,"Completed")</f>
        <v>0</v>
      </c>
      <c r="Q1072" s="3" t="str">
        <f>IF(MONTH(E1072)&gt;=7, YEAR(E1072)&amp;"-"&amp;YEAR(E1072)+1, YEAR(E1072)-1&amp;"-"&amp;YEAR(E1072))</f>
        <v>2021-2022</v>
      </c>
      <c r="R1072" s="3"/>
      <c r="S1072" s="3"/>
      <c r="T1072" s="15">
        <f t="shared" ca="1" si="16"/>
        <v>1314</v>
      </c>
      <c r="U1072" s="3"/>
    </row>
    <row r="1073" spans="1:21" x14ac:dyDescent="0.35">
      <c r="A1073" s="3" t="s">
        <v>2167</v>
      </c>
      <c r="B1073" s="3" t="s">
        <v>2168</v>
      </c>
      <c r="C1073" s="3" t="s">
        <v>57</v>
      </c>
      <c r="D1073" s="3" t="s">
        <v>62</v>
      </c>
      <c r="E1073" s="6">
        <v>45231</v>
      </c>
      <c r="F1073" s="3" t="s">
        <v>14</v>
      </c>
      <c r="G1073" s="3">
        <v>10330</v>
      </c>
      <c r="H1073" s="3">
        <v>5973</v>
      </c>
      <c r="I1073" s="3">
        <v>2.65</v>
      </c>
      <c r="J1073" s="3">
        <v>50</v>
      </c>
      <c r="K1073" s="15">
        <f ca="1">IF(F1073="Enrolled",TODAY()-E1073,"0")</f>
        <v>823</v>
      </c>
      <c r="L1073" s="3" t="str">
        <f>IF(I1073&gt;=3.5,"Excellent",IF(I1073&gt;=3,"Good",IF(I1073&gt;=2,"Average","Poor")))</f>
        <v>Average</v>
      </c>
      <c r="M1073" s="3" t="str">
        <v>Dr.Sinha</v>
      </c>
      <c r="N1073" s="3" t="str">
        <f>IF(H1073 &gt; (G1073*50%), "Yes", "No")</f>
        <v>Yes</v>
      </c>
      <c r="O1073" s="16">
        <f>G1073-H1073</f>
        <v>4357</v>
      </c>
      <c r="P1073" s="16">
        <f>SUMIFS(O1073:O1073,E1073:E1073,"Science",F1073:F1073,"Completed")</f>
        <v>0</v>
      </c>
      <c r="Q1073" s="3" t="str">
        <f>IF(MONTH(E1073)&gt;=7, YEAR(E1073)&amp;"-"&amp;YEAR(E1073)+1, YEAR(E1073)-1&amp;"-"&amp;YEAR(E1073))</f>
        <v>2023-2024</v>
      </c>
      <c r="R1073" s="3"/>
      <c r="S1073" s="3"/>
      <c r="T1073" s="15" t="str">
        <f t="shared" ca="1" si="16"/>
        <v>0</v>
      </c>
      <c r="U1073" s="3"/>
    </row>
    <row r="1074" spans="1:21" x14ac:dyDescent="0.35">
      <c r="A1074" s="3" t="s">
        <v>2169</v>
      </c>
      <c r="B1074" s="3" t="s">
        <v>2170</v>
      </c>
      <c r="C1074" s="3" t="s">
        <v>28</v>
      </c>
      <c r="D1074" s="3" t="s">
        <v>13</v>
      </c>
      <c r="E1074" s="6">
        <v>45271</v>
      </c>
      <c r="F1074" s="3" t="s">
        <v>39</v>
      </c>
      <c r="G1074" s="3">
        <v>2000</v>
      </c>
      <c r="H1074" s="3">
        <v>8608</v>
      </c>
      <c r="I1074" s="3">
        <v>3.95</v>
      </c>
      <c r="J1074" s="3">
        <v>2</v>
      </c>
      <c r="K1074" s="15" t="str">
        <f ca="1">IF(F1074="Enrolled",TODAY()-E1074,"0")</f>
        <v>0</v>
      </c>
      <c r="L1074" s="3" t="str">
        <f>IF(I1074&gt;=3.5,"Excellent",IF(I1074&gt;=3,"Good",IF(I1074&gt;=2,"Average","Poor")))</f>
        <v>Excellent</v>
      </c>
      <c r="M1074" s="3" t="str">
        <v>Dr.Mehta</v>
      </c>
      <c r="N1074" s="3" t="str">
        <f>IF(H1074 &gt; (G1074*50%), "Yes", "No")</f>
        <v>Yes</v>
      </c>
      <c r="O1074" s="16">
        <f>G1074-H1074</f>
        <v>-6608</v>
      </c>
      <c r="P1074" s="16">
        <f>SUMIFS(O1074:O1074,E1074:E1074,"Science",F1074:F1074,"Completed")</f>
        <v>0</v>
      </c>
      <c r="Q1074" s="3" t="str">
        <f>IF(MONTH(E1074)&gt;=7, YEAR(E1074)&amp;"-"&amp;YEAR(E1074)+1, YEAR(E1074)-1&amp;"-"&amp;YEAR(E1074))</f>
        <v>2023-2024</v>
      </c>
      <c r="R1074" s="3"/>
      <c r="S1074" s="3"/>
      <c r="T1074" s="15" t="str">
        <f t="shared" ca="1" si="16"/>
        <v>0</v>
      </c>
      <c r="U1074" s="3"/>
    </row>
    <row r="1075" spans="1:21" x14ac:dyDescent="0.35">
      <c r="A1075" s="3" t="s">
        <v>2171</v>
      </c>
      <c r="B1075" s="3" t="s">
        <v>2172</v>
      </c>
      <c r="C1075" s="3" t="s">
        <v>57</v>
      </c>
      <c r="D1075" s="3" t="s">
        <v>18</v>
      </c>
      <c r="E1075" s="6">
        <v>44982</v>
      </c>
      <c r="F1075" s="3" t="s">
        <v>19</v>
      </c>
      <c r="G1075" s="3">
        <v>8970</v>
      </c>
      <c r="H1075" s="3">
        <v>6430</v>
      </c>
      <c r="I1075" s="3">
        <v>2.04</v>
      </c>
      <c r="J1075" s="3">
        <v>97</v>
      </c>
      <c r="K1075" s="15" t="str">
        <f ca="1">IF(F1075="Enrolled",TODAY()-E1075,"0")</f>
        <v>0</v>
      </c>
      <c r="L1075" s="3" t="str">
        <f>IF(I1075&gt;=3.5,"Excellent",IF(I1075&gt;=3,"Good",IF(I1075&gt;=2,"Average","Poor")))</f>
        <v>Average</v>
      </c>
      <c r="M1075" s="3" t="str">
        <v>Dr.Roy</v>
      </c>
      <c r="N1075" s="3" t="str">
        <f>IF(H1075 &gt; (G1075*50%), "Yes", "No")</f>
        <v>Yes</v>
      </c>
      <c r="O1075" s="16">
        <f>G1075-H1075</f>
        <v>2540</v>
      </c>
      <c r="P1075" s="16">
        <f>SUMIFS(O1075:O1075,E1075:E1075,"Science",F1075:F1075,"Completed")</f>
        <v>0</v>
      </c>
      <c r="Q1075" s="3" t="str">
        <f>IF(MONTH(E1075)&gt;=7, YEAR(E1075)&amp;"-"&amp;YEAR(E1075)+1, YEAR(E1075)-1&amp;"-"&amp;YEAR(E1075))</f>
        <v>2022-2023</v>
      </c>
      <c r="R1075" s="3"/>
      <c r="S1075" s="3"/>
      <c r="T1075" s="15">
        <f t="shared" ca="1" si="16"/>
        <v>1072</v>
      </c>
      <c r="U1075" s="3"/>
    </row>
    <row r="1076" spans="1:21" x14ac:dyDescent="0.35">
      <c r="A1076" s="3" t="s">
        <v>2173</v>
      </c>
      <c r="B1076" s="3" t="s">
        <v>2174</v>
      </c>
      <c r="C1076" s="3" t="s">
        <v>57</v>
      </c>
      <c r="D1076" s="3" t="s">
        <v>18</v>
      </c>
      <c r="E1076" s="6">
        <v>45126</v>
      </c>
      <c r="F1076" s="3" t="s">
        <v>19</v>
      </c>
      <c r="G1076" s="3">
        <v>5560</v>
      </c>
      <c r="H1076" s="3">
        <v>6629</v>
      </c>
      <c r="I1076" s="3">
        <v>2.4700000000000002</v>
      </c>
      <c r="J1076" s="3">
        <v>66</v>
      </c>
      <c r="K1076" s="15" t="str">
        <f ca="1">IF(F1076="Enrolled",TODAY()-E1076,"0")</f>
        <v>0</v>
      </c>
      <c r="L1076" s="3" t="str">
        <f>IF(I1076&gt;=3.5,"Excellent",IF(I1076&gt;=3,"Good",IF(I1076&gt;=2,"Average","Poor")))</f>
        <v>Average</v>
      </c>
      <c r="M1076" s="3" t="str">
        <v>Dr.Roy</v>
      </c>
      <c r="N1076" s="3" t="str">
        <f>IF(H1076 &gt; (G1076*50%), "Yes", "No")</f>
        <v>Yes</v>
      </c>
      <c r="O1076" s="16">
        <f>G1076-H1076</f>
        <v>-1069</v>
      </c>
      <c r="P1076" s="16">
        <f>SUMIFS(O1076:O1076,E1076:E1076,"Science",F1076:F1076,"Completed")</f>
        <v>0</v>
      </c>
      <c r="Q1076" s="3" t="str">
        <f>IF(MONTH(E1076)&gt;=7, YEAR(E1076)&amp;"-"&amp;YEAR(E1076)+1, YEAR(E1076)-1&amp;"-"&amp;YEAR(E1076))</f>
        <v>2023-2024</v>
      </c>
      <c r="R1076" s="3"/>
      <c r="S1076" s="3"/>
      <c r="T1076" s="15">
        <f t="shared" ca="1" si="16"/>
        <v>928</v>
      </c>
      <c r="U1076" s="3"/>
    </row>
    <row r="1077" spans="1:21" x14ac:dyDescent="0.35">
      <c r="A1077" s="3" t="s">
        <v>2175</v>
      </c>
      <c r="B1077" s="3" t="s">
        <v>2176</v>
      </c>
      <c r="C1077" s="3" t="s">
        <v>12</v>
      </c>
      <c r="D1077" s="3" t="s">
        <v>13</v>
      </c>
      <c r="E1077" s="6">
        <v>45196</v>
      </c>
      <c r="F1077" s="3" t="s">
        <v>14</v>
      </c>
      <c r="G1077" s="3">
        <v>7903</v>
      </c>
      <c r="H1077" s="3">
        <v>897</v>
      </c>
      <c r="I1077" s="3">
        <v>2.0699999999999998</v>
      </c>
      <c r="J1077" s="3">
        <v>110</v>
      </c>
      <c r="K1077" s="15">
        <f ca="1">IF(F1077="Enrolled",TODAY()-E1077,"0")</f>
        <v>858</v>
      </c>
      <c r="L1077" s="3" t="str">
        <f>IF(I1077&gt;=3.5,"Excellent",IF(I1077&gt;=3,"Good",IF(I1077&gt;=2,"Average","Poor")))</f>
        <v>Average</v>
      </c>
      <c r="M1077" s="3" t="str">
        <v>Dr.Mehta</v>
      </c>
      <c r="N1077" s="3" t="str">
        <f>IF(H1077 &gt; (G1077*50%), "Yes", "No")</f>
        <v>No</v>
      </c>
      <c r="O1077" s="16">
        <f>G1077-H1077</f>
        <v>7006</v>
      </c>
      <c r="P1077" s="16">
        <f>SUMIFS(O1077:O1077,E1077:E1077,"Science",F1077:F1077,"Completed")</f>
        <v>0</v>
      </c>
      <c r="Q1077" s="3" t="str">
        <f>IF(MONTH(E1077)&gt;=7, YEAR(E1077)&amp;"-"&amp;YEAR(E1077)+1, YEAR(E1077)-1&amp;"-"&amp;YEAR(E1077))</f>
        <v>2023-2024</v>
      </c>
      <c r="R1077" s="3"/>
      <c r="S1077" s="3"/>
      <c r="T1077" s="15" t="str">
        <f t="shared" ca="1" si="16"/>
        <v>0</v>
      </c>
      <c r="U1077" s="3"/>
    </row>
    <row r="1078" spans="1:21" x14ac:dyDescent="0.35">
      <c r="A1078" s="3" t="s">
        <v>2177</v>
      </c>
      <c r="B1078" s="3" t="s">
        <v>2178</v>
      </c>
      <c r="C1078" s="3" t="s">
        <v>57</v>
      </c>
      <c r="D1078" s="3" t="s">
        <v>31</v>
      </c>
      <c r="E1078" s="6">
        <v>45104</v>
      </c>
      <c r="F1078" s="3" t="s">
        <v>14</v>
      </c>
      <c r="G1078" s="3">
        <v>4119</v>
      </c>
      <c r="H1078" s="3">
        <v>8833</v>
      </c>
      <c r="I1078" s="3">
        <v>3.31</v>
      </c>
      <c r="J1078" s="3">
        <v>74</v>
      </c>
      <c r="K1078" s="15">
        <f ca="1">IF(F1078="Enrolled",TODAY()-E1078,"0")</f>
        <v>950</v>
      </c>
      <c r="L1078" s="3" t="str">
        <f>IF(I1078&gt;=3.5,"Excellent",IF(I1078&gt;=3,"Good",IF(I1078&gt;=2,"Average","Poor")))</f>
        <v>Good</v>
      </c>
      <c r="M1078" s="3" t="str">
        <v>Dr.Sharma</v>
      </c>
      <c r="N1078" s="3" t="str">
        <f>IF(H1078 &gt; (G1078*50%), "Yes", "No")</f>
        <v>Yes</v>
      </c>
      <c r="O1078" s="16">
        <f>G1078-H1078</f>
        <v>-4714</v>
      </c>
      <c r="P1078" s="16">
        <f>SUMIFS(O1078:O1078,E1078:E1078,"Science",F1078:F1078,"Completed")</f>
        <v>0</v>
      </c>
      <c r="Q1078" s="3" t="str">
        <f>IF(MONTH(E1078)&gt;=7, YEAR(E1078)&amp;"-"&amp;YEAR(E1078)+1, YEAR(E1078)-1&amp;"-"&amp;YEAR(E1078))</f>
        <v>2022-2023</v>
      </c>
      <c r="R1078" s="3"/>
      <c r="S1078" s="3"/>
      <c r="T1078" s="15" t="str">
        <f t="shared" ca="1" si="16"/>
        <v>0</v>
      </c>
      <c r="U1078" s="3"/>
    </row>
    <row r="1079" spans="1:21" x14ac:dyDescent="0.35">
      <c r="A1079" s="3" t="s">
        <v>2179</v>
      </c>
      <c r="B1079" s="3" t="s">
        <v>2180</v>
      </c>
      <c r="C1079" s="3" t="s">
        <v>28</v>
      </c>
      <c r="D1079" s="3" t="s">
        <v>62</v>
      </c>
      <c r="E1079" s="6">
        <v>45378</v>
      </c>
      <c r="F1079" s="3" t="s">
        <v>39</v>
      </c>
      <c r="G1079" s="3">
        <v>7853</v>
      </c>
      <c r="H1079" s="3">
        <v>2032</v>
      </c>
      <c r="I1079" s="3">
        <v>3.33</v>
      </c>
      <c r="J1079" s="3">
        <v>96</v>
      </c>
      <c r="K1079" s="15" t="str">
        <f ca="1">IF(F1079="Enrolled",TODAY()-E1079,"0")</f>
        <v>0</v>
      </c>
      <c r="L1079" s="3" t="str">
        <f>IF(I1079&gt;=3.5,"Excellent",IF(I1079&gt;=3,"Good",IF(I1079&gt;=2,"Average","Poor")))</f>
        <v>Good</v>
      </c>
      <c r="M1079" s="3" t="str">
        <v>Dr.Sinha</v>
      </c>
      <c r="N1079" s="3" t="str">
        <f>IF(H1079 &gt; (G1079*50%), "Yes", "No")</f>
        <v>No</v>
      </c>
      <c r="O1079" s="16">
        <f>G1079-H1079</f>
        <v>5821</v>
      </c>
      <c r="P1079" s="16">
        <f>SUMIFS(O1079:O1079,E1079:E1079,"Science",F1079:F1079,"Completed")</f>
        <v>0</v>
      </c>
      <c r="Q1079" s="3" t="str">
        <f>IF(MONTH(E1079)&gt;=7, YEAR(E1079)&amp;"-"&amp;YEAR(E1079)+1, YEAR(E1079)-1&amp;"-"&amp;YEAR(E1079))</f>
        <v>2023-2024</v>
      </c>
      <c r="R1079" s="3"/>
      <c r="S1079" s="3"/>
      <c r="T1079" s="15" t="str">
        <f t="shared" ca="1" si="16"/>
        <v>0</v>
      </c>
      <c r="U1079" s="3"/>
    </row>
    <row r="1080" spans="1:21" x14ac:dyDescent="0.35">
      <c r="A1080" s="3" t="s">
        <v>2181</v>
      </c>
      <c r="B1080" s="3" t="s">
        <v>2182</v>
      </c>
      <c r="C1080" s="3" t="s">
        <v>12</v>
      </c>
      <c r="D1080" s="3" t="s">
        <v>13</v>
      </c>
      <c r="E1080" s="6">
        <v>44918</v>
      </c>
      <c r="F1080" s="3" t="s">
        <v>39</v>
      </c>
      <c r="G1080" s="3">
        <v>7107</v>
      </c>
      <c r="H1080" s="3">
        <v>1911</v>
      </c>
      <c r="I1080" s="3">
        <v>2.87</v>
      </c>
      <c r="J1080" s="3">
        <v>73</v>
      </c>
      <c r="K1080" s="15" t="str">
        <f ca="1">IF(F1080="Enrolled",TODAY()-E1080,"0")</f>
        <v>0</v>
      </c>
      <c r="L1080" s="3" t="str">
        <f>IF(I1080&gt;=3.5,"Excellent",IF(I1080&gt;=3,"Good",IF(I1080&gt;=2,"Average","Poor")))</f>
        <v>Average</v>
      </c>
      <c r="M1080" s="3" t="str">
        <v>Dr.Mehta</v>
      </c>
      <c r="N1080" s="3" t="str">
        <f>IF(H1080 &gt; (G1080*50%), "Yes", "No")</f>
        <v>No</v>
      </c>
      <c r="O1080" s="16">
        <f>G1080-H1080</f>
        <v>5196</v>
      </c>
      <c r="P1080" s="16">
        <f>SUMIFS(O1080:O1080,E1080:E1080,"Science",F1080:F1080,"Completed")</f>
        <v>0</v>
      </c>
      <c r="Q1080" s="3" t="str">
        <f>IF(MONTH(E1080)&gt;=7, YEAR(E1080)&amp;"-"&amp;YEAR(E1080)+1, YEAR(E1080)-1&amp;"-"&amp;YEAR(E1080))</f>
        <v>2022-2023</v>
      </c>
      <c r="R1080" s="3"/>
      <c r="S1080" s="3"/>
      <c r="T1080" s="15" t="str">
        <f t="shared" ca="1" si="16"/>
        <v>0</v>
      </c>
      <c r="U1080" s="3"/>
    </row>
    <row r="1081" spans="1:21" x14ac:dyDescent="0.35">
      <c r="A1081" s="3" t="s">
        <v>2183</v>
      </c>
      <c r="B1081" s="3" t="s">
        <v>2184</v>
      </c>
      <c r="C1081" s="3" t="s">
        <v>17</v>
      </c>
      <c r="D1081" s="3" t="s">
        <v>18</v>
      </c>
      <c r="E1081" s="6">
        <v>45385</v>
      </c>
      <c r="F1081" s="3" t="s">
        <v>14</v>
      </c>
      <c r="G1081" s="3">
        <v>3245</v>
      </c>
      <c r="H1081" s="3">
        <v>6823</v>
      </c>
      <c r="I1081" s="3">
        <v>2.5</v>
      </c>
      <c r="J1081" s="3">
        <v>16</v>
      </c>
      <c r="K1081" s="15">
        <f ca="1">IF(F1081="Enrolled",TODAY()-E1081,"0")</f>
        <v>669</v>
      </c>
      <c r="L1081" s="3" t="str">
        <f>IF(I1081&gt;=3.5,"Excellent",IF(I1081&gt;=3,"Good",IF(I1081&gt;=2,"Average","Poor")))</f>
        <v>Average</v>
      </c>
      <c r="M1081" s="3" t="str">
        <v>Dr.Roy</v>
      </c>
      <c r="N1081" s="3" t="str">
        <f>IF(H1081 &gt; (G1081*50%), "Yes", "No")</f>
        <v>Yes</v>
      </c>
      <c r="O1081" s="16">
        <f>G1081-H1081</f>
        <v>-3578</v>
      </c>
      <c r="P1081" s="16">
        <f>SUMIFS(O1081:O1081,E1081:E1081,"Science",F1081:F1081,"Completed")</f>
        <v>0</v>
      </c>
      <c r="Q1081" s="3" t="str">
        <f>IF(MONTH(E1081)&gt;=7, YEAR(E1081)&amp;"-"&amp;YEAR(E1081)+1, YEAR(E1081)-1&amp;"-"&amp;YEAR(E1081))</f>
        <v>2023-2024</v>
      </c>
      <c r="R1081" s="3"/>
      <c r="S1081" s="3"/>
      <c r="T1081" s="15" t="str">
        <f t="shared" ca="1" si="16"/>
        <v>0</v>
      </c>
      <c r="U1081" s="3"/>
    </row>
    <row r="1082" spans="1:21" x14ac:dyDescent="0.35">
      <c r="A1082" s="3" t="s">
        <v>2185</v>
      </c>
      <c r="B1082" s="3" t="s">
        <v>2186</v>
      </c>
      <c r="C1082" s="3" t="s">
        <v>17</v>
      </c>
      <c r="D1082" s="3" t="s">
        <v>13</v>
      </c>
      <c r="E1082" s="6">
        <v>45387</v>
      </c>
      <c r="F1082" s="3" t="s">
        <v>14</v>
      </c>
      <c r="G1082" s="3">
        <v>4892</v>
      </c>
      <c r="H1082" s="3">
        <v>7034</v>
      </c>
      <c r="I1082" s="3">
        <v>3.83</v>
      </c>
      <c r="J1082" s="3">
        <v>43</v>
      </c>
      <c r="K1082" s="15">
        <f ca="1">IF(F1082="Enrolled",TODAY()-E1082,"0")</f>
        <v>667</v>
      </c>
      <c r="L1082" s="3" t="str">
        <f>IF(I1082&gt;=3.5,"Excellent",IF(I1082&gt;=3,"Good",IF(I1082&gt;=2,"Average","Poor")))</f>
        <v>Excellent</v>
      </c>
      <c r="M1082" s="3" t="str">
        <v>Dr.Mehta</v>
      </c>
      <c r="N1082" s="3" t="str">
        <f>IF(H1082 &gt; (G1082*50%), "Yes", "No")</f>
        <v>Yes</v>
      </c>
      <c r="O1082" s="16">
        <f>G1082-H1082</f>
        <v>-2142</v>
      </c>
      <c r="P1082" s="16">
        <f>SUMIFS(O1082:O1082,E1082:E1082,"Science",F1082:F1082,"Completed")</f>
        <v>0</v>
      </c>
      <c r="Q1082" s="3" t="str">
        <f>IF(MONTH(E1082)&gt;=7, YEAR(E1082)&amp;"-"&amp;YEAR(E1082)+1, YEAR(E1082)-1&amp;"-"&amp;YEAR(E1082))</f>
        <v>2023-2024</v>
      </c>
      <c r="R1082" s="3"/>
      <c r="S1082" s="3"/>
      <c r="T1082" s="15" t="str">
        <f t="shared" ca="1" si="16"/>
        <v>0</v>
      </c>
      <c r="U1082" s="3"/>
    </row>
    <row r="1083" spans="1:21" x14ac:dyDescent="0.35">
      <c r="A1083" s="3" t="s">
        <v>2187</v>
      </c>
      <c r="B1083" s="3" t="s">
        <v>2188</v>
      </c>
      <c r="C1083" s="3" t="s">
        <v>54</v>
      </c>
      <c r="D1083" s="3" t="s">
        <v>62</v>
      </c>
      <c r="E1083" s="6">
        <v>44846</v>
      </c>
      <c r="F1083" s="3" t="s">
        <v>14</v>
      </c>
      <c r="G1083" s="3">
        <v>5130</v>
      </c>
      <c r="H1083" s="3">
        <v>9628</v>
      </c>
      <c r="I1083" s="3">
        <v>2.56</v>
      </c>
      <c r="J1083" s="3">
        <v>113</v>
      </c>
      <c r="K1083" s="15">
        <f ca="1">IF(F1083="Enrolled",TODAY()-E1083,"0")</f>
        <v>1208</v>
      </c>
      <c r="L1083" s="3" t="str">
        <f>IF(I1083&gt;=3.5,"Excellent",IF(I1083&gt;=3,"Good",IF(I1083&gt;=2,"Average","Poor")))</f>
        <v>Average</v>
      </c>
      <c r="M1083" s="3" t="str">
        <v>Dr.Sinha</v>
      </c>
      <c r="N1083" s="3" t="str">
        <f>IF(H1083 &gt; (G1083*50%), "Yes", "No")</f>
        <v>Yes</v>
      </c>
      <c r="O1083" s="16">
        <f>G1083-H1083</f>
        <v>-4498</v>
      </c>
      <c r="P1083" s="16">
        <f>SUMIFS(O1083:O1083,E1083:E1083,"Science",F1083:F1083,"Completed")</f>
        <v>0</v>
      </c>
      <c r="Q1083" s="3" t="str">
        <f>IF(MONTH(E1083)&gt;=7, YEAR(E1083)&amp;"-"&amp;YEAR(E1083)+1, YEAR(E1083)-1&amp;"-"&amp;YEAR(E1083))</f>
        <v>2022-2023</v>
      </c>
      <c r="R1083" s="3"/>
      <c r="S1083" s="3"/>
      <c r="T1083" s="15" t="str">
        <f t="shared" ca="1" si="16"/>
        <v>0</v>
      </c>
      <c r="U1083" s="3"/>
    </row>
    <row r="1084" spans="1:21" x14ac:dyDescent="0.35">
      <c r="A1084" s="3" t="s">
        <v>2189</v>
      </c>
      <c r="B1084" s="3" t="s">
        <v>2190</v>
      </c>
      <c r="C1084" s="3" t="s">
        <v>25</v>
      </c>
      <c r="D1084" s="3" t="s">
        <v>62</v>
      </c>
      <c r="E1084" s="6">
        <v>44831</v>
      </c>
      <c r="F1084" s="3" t="s">
        <v>14</v>
      </c>
      <c r="G1084" s="3">
        <v>12773</v>
      </c>
      <c r="H1084" s="3">
        <v>1546</v>
      </c>
      <c r="I1084" s="3">
        <v>3.89</v>
      </c>
      <c r="J1084" s="3">
        <v>96</v>
      </c>
      <c r="K1084" s="15">
        <f ca="1">IF(F1084="Enrolled",TODAY()-E1084,"0")</f>
        <v>1223</v>
      </c>
      <c r="L1084" s="3" t="str">
        <f>IF(I1084&gt;=3.5,"Excellent",IF(I1084&gt;=3,"Good",IF(I1084&gt;=2,"Average","Poor")))</f>
        <v>Excellent</v>
      </c>
      <c r="M1084" s="3" t="str">
        <v>Dr.Sinha</v>
      </c>
      <c r="N1084" s="3" t="str">
        <f>IF(H1084 &gt; (G1084*50%), "Yes", "No")</f>
        <v>No</v>
      </c>
      <c r="O1084" s="16">
        <f>G1084-H1084</f>
        <v>11227</v>
      </c>
      <c r="P1084" s="16">
        <f>SUMIFS(O1084:O1084,E1084:E1084,"Science",F1084:F1084,"Completed")</f>
        <v>0</v>
      </c>
      <c r="Q1084" s="3" t="str">
        <f>IF(MONTH(E1084)&gt;=7, YEAR(E1084)&amp;"-"&amp;YEAR(E1084)+1, YEAR(E1084)-1&amp;"-"&amp;YEAR(E1084))</f>
        <v>2022-2023</v>
      </c>
      <c r="R1084" s="3"/>
      <c r="S1084" s="3"/>
      <c r="T1084" s="15" t="str">
        <f t="shared" ca="1" si="16"/>
        <v>0</v>
      </c>
      <c r="U1084" s="3"/>
    </row>
    <row r="1085" spans="1:21" x14ac:dyDescent="0.35">
      <c r="A1085" s="3" t="s">
        <v>2191</v>
      </c>
      <c r="B1085" s="3" t="s">
        <v>2192</v>
      </c>
      <c r="C1085" s="3" t="s">
        <v>54</v>
      </c>
      <c r="D1085" s="3" t="s">
        <v>18</v>
      </c>
      <c r="E1085" s="6">
        <v>44758</v>
      </c>
      <c r="F1085" s="3" t="s">
        <v>19</v>
      </c>
      <c r="G1085" s="3">
        <v>11415</v>
      </c>
      <c r="H1085" s="3">
        <v>2626</v>
      </c>
      <c r="I1085" s="3">
        <v>3.4</v>
      </c>
      <c r="J1085" s="3">
        <v>5</v>
      </c>
      <c r="K1085" s="15" t="str">
        <f ca="1">IF(F1085="Enrolled",TODAY()-E1085,"0")</f>
        <v>0</v>
      </c>
      <c r="L1085" s="3" t="str">
        <f>IF(I1085&gt;=3.5,"Excellent",IF(I1085&gt;=3,"Good",IF(I1085&gt;=2,"Average","Poor")))</f>
        <v>Good</v>
      </c>
      <c r="M1085" s="3" t="str">
        <v>Dr.Roy</v>
      </c>
      <c r="N1085" s="3" t="str">
        <f>IF(H1085 &gt; (G1085*50%), "Yes", "No")</f>
        <v>No</v>
      </c>
      <c r="O1085" s="16">
        <f>G1085-H1085</f>
        <v>8789</v>
      </c>
      <c r="P1085" s="16">
        <f>SUMIFS(O1085:O1085,E1085:E1085,"Science",F1085:F1085,"Completed")</f>
        <v>0</v>
      </c>
      <c r="Q1085" s="3" t="str">
        <f>IF(MONTH(E1085)&gt;=7, YEAR(E1085)&amp;"-"&amp;YEAR(E1085)+1, YEAR(E1085)-1&amp;"-"&amp;YEAR(E1085))</f>
        <v>2022-2023</v>
      </c>
      <c r="R1085" s="3"/>
      <c r="S1085" s="3"/>
      <c r="T1085" s="15">
        <f t="shared" ca="1" si="16"/>
        <v>1296</v>
      </c>
      <c r="U1085" s="3"/>
    </row>
    <row r="1086" spans="1:21" x14ac:dyDescent="0.35">
      <c r="A1086" s="3" t="s">
        <v>2193</v>
      </c>
      <c r="B1086" s="3" t="s">
        <v>2194</v>
      </c>
      <c r="C1086" s="3" t="s">
        <v>54</v>
      </c>
      <c r="D1086" s="3" t="s">
        <v>62</v>
      </c>
      <c r="E1086" s="6">
        <v>44772</v>
      </c>
      <c r="F1086" s="3" t="s">
        <v>14</v>
      </c>
      <c r="G1086" s="3">
        <v>8463</v>
      </c>
      <c r="H1086" s="3">
        <v>6739</v>
      </c>
      <c r="I1086" s="3">
        <v>3.87</v>
      </c>
      <c r="J1086" s="3">
        <v>33</v>
      </c>
      <c r="K1086" s="15">
        <f ca="1">IF(F1086="Enrolled",TODAY()-E1086,"0")</f>
        <v>1282</v>
      </c>
      <c r="L1086" s="3" t="str">
        <f>IF(I1086&gt;=3.5,"Excellent",IF(I1086&gt;=3,"Good",IF(I1086&gt;=2,"Average","Poor")))</f>
        <v>Excellent</v>
      </c>
      <c r="M1086" s="3" t="str">
        <v>Dr.Sinha</v>
      </c>
      <c r="N1086" s="3" t="str">
        <f>IF(H1086 &gt; (G1086*50%), "Yes", "No")</f>
        <v>Yes</v>
      </c>
      <c r="O1086" s="16">
        <f>G1086-H1086</f>
        <v>1724</v>
      </c>
      <c r="P1086" s="16">
        <f>SUMIFS(O1086:O1086,E1086:E1086,"Science",F1086:F1086,"Completed")</f>
        <v>0</v>
      </c>
      <c r="Q1086" s="3" t="str">
        <f>IF(MONTH(E1086)&gt;=7, YEAR(E1086)&amp;"-"&amp;YEAR(E1086)+1, YEAR(E1086)-1&amp;"-"&amp;YEAR(E1086))</f>
        <v>2022-2023</v>
      </c>
      <c r="R1086" s="3"/>
      <c r="S1086" s="3"/>
      <c r="T1086" s="15" t="str">
        <f t="shared" ca="1" si="16"/>
        <v>0</v>
      </c>
      <c r="U1086" s="3"/>
    </row>
    <row r="1087" spans="1:21" x14ac:dyDescent="0.35">
      <c r="A1087" s="3" t="s">
        <v>2195</v>
      </c>
      <c r="B1087" s="3" t="s">
        <v>2196</v>
      </c>
      <c r="C1087" s="3" t="s">
        <v>36</v>
      </c>
      <c r="D1087" s="3" t="s">
        <v>62</v>
      </c>
      <c r="E1087" s="6">
        <v>44618</v>
      </c>
      <c r="F1087" s="3" t="s">
        <v>14</v>
      </c>
      <c r="G1087" s="3">
        <v>13713</v>
      </c>
      <c r="H1087" s="3">
        <v>3304</v>
      </c>
      <c r="I1087" s="3">
        <v>3.81</v>
      </c>
      <c r="J1087" s="3">
        <v>54</v>
      </c>
      <c r="K1087" s="15">
        <f ca="1">IF(F1087="Enrolled",TODAY()-E1087,"0")</f>
        <v>1436</v>
      </c>
      <c r="L1087" s="3" t="str">
        <f>IF(I1087&gt;=3.5,"Excellent",IF(I1087&gt;=3,"Good",IF(I1087&gt;=2,"Average","Poor")))</f>
        <v>Excellent</v>
      </c>
      <c r="M1087" s="3" t="str">
        <v>Dr.Sinha</v>
      </c>
      <c r="N1087" s="3" t="str">
        <f>IF(H1087 &gt; (G1087*50%), "Yes", "No")</f>
        <v>No</v>
      </c>
      <c r="O1087" s="16">
        <f>G1087-H1087</f>
        <v>10409</v>
      </c>
      <c r="P1087" s="16">
        <f>SUMIFS(O1087:O1087,E1087:E1087,"Science",F1087:F1087,"Completed")</f>
        <v>0</v>
      </c>
      <c r="Q1087" s="3" t="str">
        <f>IF(MONTH(E1087)&gt;=7, YEAR(E1087)&amp;"-"&amp;YEAR(E1087)+1, YEAR(E1087)-1&amp;"-"&amp;YEAR(E1087))</f>
        <v>2021-2022</v>
      </c>
      <c r="R1087" s="3"/>
      <c r="S1087" s="3"/>
      <c r="T1087" s="15" t="str">
        <f t="shared" ca="1" si="16"/>
        <v>0</v>
      </c>
      <c r="U1087" s="3"/>
    </row>
    <row r="1088" spans="1:21" x14ac:dyDescent="0.35">
      <c r="A1088" s="3" t="s">
        <v>2197</v>
      </c>
      <c r="B1088" s="3" t="s">
        <v>2198</v>
      </c>
      <c r="C1088" s="3" t="s">
        <v>28</v>
      </c>
      <c r="D1088" s="3" t="s">
        <v>62</v>
      </c>
      <c r="E1088" s="6">
        <v>44594</v>
      </c>
      <c r="F1088" s="3" t="s">
        <v>14</v>
      </c>
      <c r="G1088" s="3">
        <v>10725</v>
      </c>
      <c r="H1088" s="3">
        <v>6124</v>
      </c>
      <c r="I1088" s="3">
        <v>3.94</v>
      </c>
      <c r="J1088" s="3">
        <v>41</v>
      </c>
      <c r="K1088" s="15">
        <f ca="1">IF(F1088="Enrolled",TODAY()-E1088,"0")</f>
        <v>1460</v>
      </c>
      <c r="L1088" s="3" t="str">
        <f>IF(I1088&gt;=3.5,"Excellent",IF(I1088&gt;=3,"Good",IF(I1088&gt;=2,"Average","Poor")))</f>
        <v>Excellent</v>
      </c>
      <c r="M1088" s="3" t="str">
        <v>Dr.Sinha</v>
      </c>
      <c r="N1088" s="3" t="str">
        <f>IF(H1088 &gt; (G1088*50%), "Yes", "No")</f>
        <v>Yes</v>
      </c>
      <c r="O1088" s="16">
        <f>G1088-H1088</f>
        <v>4601</v>
      </c>
      <c r="P1088" s="16">
        <f>SUMIFS(O1088:O1088,E1088:E1088,"Science",F1088:F1088,"Completed")</f>
        <v>0</v>
      </c>
      <c r="Q1088" s="3" t="str">
        <f>IF(MONTH(E1088)&gt;=7, YEAR(E1088)&amp;"-"&amp;YEAR(E1088)+1, YEAR(E1088)-1&amp;"-"&amp;YEAR(E1088))</f>
        <v>2021-2022</v>
      </c>
      <c r="R1088" s="3"/>
      <c r="S1088" s="3"/>
      <c r="T1088" s="15" t="str">
        <f t="shared" ca="1" si="16"/>
        <v>0</v>
      </c>
      <c r="U1088" s="3"/>
    </row>
    <row r="1089" spans="1:21" x14ac:dyDescent="0.35">
      <c r="A1089" s="3" t="s">
        <v>2199</v>
      </c>
      <c r="B1089" s="3" t="s">
        <v>2200</v>
      </c>
      <c r="C1089" s="3" t="s">
        <v>17</v>
      </c>
      <c r="D1089" s="3" t="s">
        <v>62</v>
      </c>
      <c r="E1089" s="6">
        <v>45105</v>
      </c>
      <c r="F1089" s="3" t="s">
        <v>39</v>
      </c>
      <c r="G1089" s="3">
        <v>11630</v>
      </c>
      <c r="H1089" s="3">
        <v>7578</v>
      </c>
      <c r="I1089" s="3">
        <v>3.65</v>
      </c>
      <c r="J1089" s="3">
        <v>111</v>
      </c>
      <c r="K1089" s="15" t="str">
        <f ca="1">IF(F1089="Enrolled",TODAY()-E1089,"0")</f>
        <v>0</v>
      </c>
      <c r="L1089" s="3" t="str">
        <f>IF(I1089&gt;=3.5,"Excellent",IF(I1089&gt;=3,"Good",IF(I1089&gt;=2,"Average","Poor")))</f>
        <v>Excellent</v>
      </c>
      <c r="M1089" s="3" t="str">
        <v>Dr.Sinha</v>
      </c>
      <c r="N1089" s="3" t="str">
        <f>IF(H1089 &gt; (G1089*50%), "Yes", "No")</f>
        <v>Yes</v>
      </c>
      <c r="O1089" s="16">
        <f>G1089-H1089</f>
        <v>4052</v>
      </c>
      <c r="P1089" s="16">
        <f>SUMIFS(O1089:O1089,E1089:E1089,"Science",F1089:F1089,"Completed")</f>
        <v>0</v>
      </c>
      <c r="Q1089" s="3" t="str">
        <f>IF(MONTH(E1089)&gt;=7, YEAR(E1089)&amp;"-"&amp;YEAR(E1089)+1, YEAR(E1089)-1&amp;"-"&amp;YEAR(E1089))</f>
        <v>2022-2023</v>
      </c>
      <c r="R1089" s="3"/>
      <c r="S1089" s="3"/>
      <c r="T1089" s="15" t="str">
        <f t="shared" ca="1" si="16"/>
        <v>0</v>
      </c>
      <c r="U1089" s="3"/>
    </row>
    <row r="1090" spans="1:21" x14ac:dyDescent="0.35">
      <c r="A1090" s="3" t="s">
        <v>2201</v>
      </c>
      <c r="B1090" s="3" t="s">
        <v>2202</v>
      </c>
      <c r="C1090" s="3" t="s">
        <v>54</v>
      </c>
      <c r="D1090" s="3" t="s">
        <v>31</v>
      </c>
      <c r="E1090" s="6">
        <v>45413</v>
      </c>
      <c r="F1090" s="3" t="s">
        <v>14</v>
      </c>
      <c r="G1090" s="3">
        <v>12478</v>
      </c>
      <c r="H1090" s="3">
        <v>8335</v>
      </c>
      <c r="I1090" s="3">
        <v>3.01</v>
      </c>
      <c r="J1090" s="3">
        <v>22</v>
      </c>
      <c r="K1090" s="15">
        <f ca="1">IF(F1090="Enrolled",TODAY()-E1090,"0")</f>
        <v>641</v>
      </c>
      <c r="L1090" s="3" t="str">
        <f>IF(I1090&gt;=3.5,"Excellent",IF(I1090&gt;=3,"Good",IF(I1090&gt;=2,"Average","Poor")))</f>
        <v>Good</v>
      </c>
      <c r="M1090" s="3" t="str">
        <v>Dr.Sharma</v>
      </c>
      <c r="N1090" s="3" t="str">
        <f>IF(H1090 &gt; (G1090*50%), "Yes", "No")</f>
        <v>Yes</v>
      </c>
      <c r="O1090" s="16">
        <f>G1090-H1090</f>
        <v>4143</v>
      </c>
      <c r="P1090" s="16">
        <f>SUMIFS(O1090:O1090,E1090:E1090,"Science",F1090:F1090,"Completed")</f>
        <v>0</v>
      </c>
      <c r="Q1090" s="3" t="str">
        <f>IF(MONTH(E1090)&gt;=7, YEAR(E1090)&amp;"-"&amp;YEAR(E1090)+1, YEAR(E1090)-1&amp;"-"&amp;YEAR(E1090))</f>
        <v>2023-2024</v>
      </c>
      <c r="R1090" s="3"/>
      <c r="S1090" s="3"/>
      <c r="T1090" s="15" t="str">
        <f t="shared" ca="1" si="16"/>
        <v>0</v>
      </c>
      <c r="U1090" s="3"/>
    </row>
    <row r="1091" spans="1:21" x14ac:dyDescent="0.35">
      <c r="A1091" s="3" t="s">
        <v>2203</v>
      </c>
      <c r="B1091" s="3" t="s">
        <v>2204</v>
      </c>
      <c r="C1091" s="3" t="s">
        <v>22</v>
      </c>
      <c r="D1091" s="3" t="s">
        <v>62</v>
      </c>
      <c r="E1091" s="6">
        <v>44725</v>
      </c>
      <c r="F1091" s="3" t="s">
        <v>39</v>
      </c>
      <c r="G1091" s="3">
        <v>8685</v>
      </c>
      <c r="H1091" s="3">
        <v>2204</v>
      </c>
      <c r="I1091" s="3">
        <v>2.29</v>
      </c>
      <c r="J1091" s="3">
        <v>1</v>
      </c>
      <c r="K1091" s="15" t="str">
        <f ca="1">IF(F1091="Enrolled",TODAY()-E1091,"0")</f>
        <v>0</v>
      </c>
      <c r="L1091" s="3" t="str">
        <f>IF(I1091&gt;=3.5,"Excellent",IF(I1091&gt;=3,"Good",IF(I1091&gt;=2,"Average","Poor")))</f>
        <v>Average</v>
      </c>
      <c r="M1091" s="3" t="str">
        <v>Dr.Sinha</v>
      </c>
      <c r="N1091" s="3" t="str">
        <f>IF(H1091 &gt; (G1091*50%), "Yes", "No")</f>
        <v>No</v>
      </c>
      <c r="O1091" s="16">
        <f>G1091-H1091</f>
        <v>6481</v>
      </c>
      <c r="P1091" s="16">
        <f>SUMIFS(O1091:O1091,E1091:E1091,"Science",F1091:F1091,"Completed")</f>
        <v>0</v>
      </c>
      <c r="Q1091" s="3" t="str">
        <f>IF(MONTH(E1091)&gt;=7, YEAR(E1091)&amp;"-"&amp;YEAR(E1091)+1, YEAR(E1091)-1&amp;"-"&amp;YEAR(E1091))</f>
        <v>2021-2022</v>
      </c>
      <c r="R1091" s="3"/>
      <c r="S1091" s="3"/>
      <c r="T1091" s="15" t="str">
        <f t="shared" ref="T1091:T1154" ca="1" si="17">IF(F1091="Completed",TODAY()-E1091,"0")</f>
        <v>0</v>
      </c>
      <c r="U1091" s="3"/>
    </row>
    <row r="1092" spans="1:21" x14ac:dyDescent="0.35">
      <c r="A1092" s="3" t="s">
        <v>2205</v>
      </c>
      <c r="B1092" s="3" t="s">
        <v>2206</v>
      </c>
      <c r="C1092" s="3" t="s">
        <v>36</v>
      </c>
      <c r="D1092" s="3" t="s">
        <v>62</v>
      </c>
      <c r="E1092" s="6">
        <v>44983</v>
      </c>
      <c r="F1092" s="3" t="s">
        <v>14</v>
      </c>
      <c r="G1092" s="3">
        <v>6591</v>
      </c>
      <c r="H1092" s="3">
        <v>8495</v>
      </c>
      <c r="I1092" s="3">
        <v>2.29</v>
      </c>
      <c r="J1092" s="3">
        <v>46</v>
      </c>
      <c r="K1092" s="15">
        <f ca="1">IF(F1092="Enrolled",TODAY()-E1092,"0")</f>
        <v>1071</v>
      </c>
      <c r="L1092" s="3" t="str">
        <f>IF(I1092&gt;=3.5,"Excellent",IF(I1092&gt;=3,"Good",IF(I1092&gt;=2,"Average","Poor")))</f>
        <v>Average</v>
      </c>
      <c r="M1092" s="3" t="str">
        <v>Dr.Sinha</v>
      </c>
      <c r="N1092" s="3" t="str">
        <f>IF(H1092 &gt; (G1092*50%), "Yes", "No")</f>
        <v>Yes</v>
      </c>
      <c r="O1092" s="16">
        <f>G1092-H1092</f>
        <v>-1904</v>
      </c>
      <c r="P1092" s="16">
        <f>SUMIFS(O1092:O1092,E1092:E1092,"Science",F1092:F1092,"Completed")</f>
        <v>0</v>
      </c>
      <c r="Q1092" s="3" t="str">
        <f>IF(MONTH(E1092)&gt;=7, YEAR(E1092)&amp;"-"&amp;YEAR(E1092)+1, YEAR(E1092)-1&amp;"-"&amp;YEAR(E1092))</f>
        <v>2022-2023</v>
      </c>
      <c r="R1092" s="3"/>
      <c r="S1092" s="3"/>
      <c r="T1092" s="15" t="str">
        <f t="shared" ca="1" si="17"/>
        <v>0</v>
      </c>
      <c r="U1092" s="3"/>
    </row>
    <row r="1093" spans="1:21" x14ac:dyDescent="0.35">
      <c r="A1093" s="3" t="s">
        <v>2207</v>
      </c>
      <c r="B1093" s="3" t="s">
        <v>2208</v>
      </c>
      <c r="C1093" s="3" t="s">
        <v>36</v>
      </c>
      <c r="D1093" s="3" t="s">
        <v>62</v>
      </c>
      <c r="E1093" s="6">
        <v>44983</v>
      </c>
      <c r="F1093" s="3" t="s">
        <v>14</v>
      </c>
      <c r="G1093" s="3">
        <v>8141</v>
      </c>
      <c r="H1093" s="3">
        <v>7905</v>
      </c>
      <c r="I1093" s="3">
        <v>2.77</v>
      </c>
      <c r="J1093" s="3">
        <v>46</v>
      </c>
      <c r="K1093" s="15">
        <f ca="1">IF(F1093="Enrolled",TODAY()-E1093,"0")</f>
        <v>1071</v>
      </c>
      <c r="L1093" s="3" t="str">
        <f>IF(I1093&gt;=3.5,"Excellent",IF(I1093&gt;=3,"Good",IF(I1093&gt;=2,"Average","Poor")))</f>
        <v>Average</v>
      </c>
      <c r="M1093" s="3" t="str">
        <v>Dr.Sinha</v>
      </c>
      <c r="N1093" s="3" t="str">
        <f>IF(H1093 &gt; (G1093*50%), "Yes", "No")</f>
        <v>Yes</v>
      </c>
      <c r="O1093" s="16">
        <f>G1093-H1093</f>
        <v>236</v>
      </c>
      <c r="P1093" s="16">
        <f>SUMIFS(O1093:O1093,E1093:E1093,"Science",F1093:F1093,"Completed")</f>
        <v>0</v>
      </c>
      <c r="Q1093" s="3" t="str">
        <f>IF(MONTH(E1093)&gt;=7, YEAR(E1093)&amp;"-"&amp;YEAR(E1093)+1, YEAR(E1093)-1&amp;"-"&amp;YEAR(E1093))</f>
        <v>2022-2023</v>
      </c>
      <c r="R1093" s="3"/>
      <c r="S1093" s="3"/>
      <c r="T1093" s="15" t="str">
        <f t="shared" ca="1" si="17"/>
        <v>0</v>
      </c>
      <c r="U1093" s="3"/>
    </row>
    <row r="1094" spans="1:21" x14ac:dyDescent="0.35">
      <c r="A1094" s="3" t="s">
        <v>2209</v>
      </c>
      <c r="B1094" s="3" t="s">
        <v>2210</v>
      </c>
      <c r="C1094" s="3" t="s">
        <v>17</v>
      </c>
      <c r="D1094" s="3" t="s">
        <v>31</v>
      </c>
      <c r="E1094" s="6">
        <v>44635</v>
      </c>
      <c r="F1094" s="3" t="s">
        <v>14</v>
      </c>
      <c r="G1094" s="3">
        <v>3019</v>
      </c>
      <c r="H1094" s="3">
        <v>6321</v>
      </c>
      <c r="I1094" s="3">
        <v>2.82</v>
      </c>
      <c r="J1094" s="3">
        <v>79</v>
      </c>
      <c r="K1094" s="15">
        <f ca="1">IF(F1094="Enrolled",TODAY()-E1094,"0")</f>
        <v>1419</v>
      </c>
      <c r="L1094" s="3" t="str">
        <f>IF(I1094&gt;=3.5,"Excellent",IF(I1094&gt;=3,"Good",IF(I1094&gt;=2,"Average","Poor")))</f>
        <v>Average</v>
      </c>
      <c r="M1094" s="3" t="str">
        <v>Dr.Sharma</v>
      </c>
      <c r="N1094" s="3" t="str">
        <f>IF(H1094 &gt; (G1094*50%), "Yes", "No")</f>
        <v>Yes</v>
      </c>
      <c r="O1094" s="16">
        <f>G1094-H1094</f>
        <v>-3302</v>
      </c>
      <c r="P1094" s="16">
        <f>SUMIFS(O1094:O1094,E1094:E1094,"Science",F1094:F1094,"Completed")</f>
        <v>0</v>
      </c>
      <c r="Q1094" s="3" t="str">
        <f>IF(MONTH(E1094)&gt;=7, YEAR(E1094)&amp;"-"&amp;YEAR(E1094)+1, YEAR(E1094)-1&amp;"-"&amp;YEAR(E1094))</f>
        <v>2021-2022</v>
      </c>
      <c r="R1094" s="3"/>
      <c r="S1094" s="3"/>
      <c r="T1094" s="15" t="str">
        <f t="shared" ca="1" si="17"/>
        <v>0</v>
      </c>
      <c r="U1094" s="3"/>
    </row>
    <row r="1095" spans="1:21" x14ac:dyDescent="0.35">
      <c r="A1095" s="3" t="s">
        <v>2211</v>
      </c>
      <c r="B1095" s="3" t="s">
        <v>2212</v>
      </c>
      <c r="C1095" s="3" t="s">
        <v>57</v>
      </c>
      <c r="D1095" s="3" t="s">
        <v>31</v>
      </c>
      <c r="E1095" s="6">
        <v>45283</v>
      </c>
      <c r="F1095" s="3" t="s">
        <v>19</v>
      </c>
      <c r="G1095" s="3">
        <v>8929</v>
      </c>
      <c r="H1095" s="3">
        <v>7083</v>
      </c>
      <c r="I1095" s="3">
        <v>2.68</v>
      </c>
      <c r="J1095" s="3">
        <v>104</v>
      </c>
      <c r="K1095" s="15" t="str">
        <f ca="1">IF(F1095="Enrolled",TODAY()-E1095,"0")</f>
        <v>0</v>
      </c>
      <c r="L1095" s="3" t="str">
        <f>IF(I1095&gt;=3.5,"Excellent",IF(I1095&gt;=3,"Good",IF(I1095&gt;=2,"Average","Poor")))</f>
        <v>Average</v>
      </c>
      <c r="M1095" s="3" t="str">
        <v>Dr.Sharma</v>
      </c>
      <c r="N1095" s="3" t="str">
        <f>IF(H1095 &gt; (G1095*50%), "Yes", "No")</f>
        <v>Yes</v>
      </c>
      <c r="O1095" s="16">
        <f>G1095-H1095</f>
        <v>1846</v>
      </c>
      <c r="P1095" s="16">
        <f>SUMIFS(O1095:O1095,E1095:E1095,"Science",F1095:F1095,"Completed")</f>
        <v>0</v>
      </c>
      <c r="Q1095" s="3" t="str">
        <f>IF(MONTH(E1095)&gt;=7, YEAR(E1095)&amp;"-"&amp;YEAR(E1095)+1, YEAR(E1095)-1&amp;"-"&amp;YEAR(E1095))</f>
        <v>2023-2024</v>
      </c>
      <c r="R1095" s="3"/>
      <c r="S1095" s="3"/>
      <c r="T1095" s="15">
        <f t="shared" ca="1" si="17"/>
        <v>771</v>
      </c>
      <c r="U1095" s="3"/>
    </row>
    <row r="1096" spans="1:21" x14ac:dyDescent="0.35">
      <c r="A1096" s="3" t="s">
        <v>2213</v>
      </c>
      <c r="B1096" s="3" t="s">
        <v>2214</v>
      </c>
      <c r="C1096" s="3" t="s">
        <v>57</v>
      </c>
      <c r="D1096" s="3" t="s">
        <v>62</v>
      </c>
      <c r="E1096" s="6">
        <v>44576</v>
      </c>
      <c r="F1096" s="3" t="s">
        <v>14</v>
      </c>
      <c r="G1096" s="3">
        <v>11878</v>
      </c>
      <c r="H1096" s="3">
        <v>4182</v>
      </c>
      <c r="I1096" s="3">
        <v>3.52</v>
      </c>
      <c r="J1096" s="3">
        <v>96</v>
      </c>
      <c r="K1096" s="15">
        <f ca="1">IF(F1096="Enrolled",TODAY()-E1096,"0")</f>
        <v>1478</v>
      </c>
      <c r="L1096" s="3" t="str">
        <f>IF(I1096&gt;=3.5,"Excellent",IF(I1096&gt;=3,"Good",IF(I1096&gt;=2,"Average","Poor")))</f>
        <v>Excellent</v>
      </c>
      <c r="M1096" s="3" t="str">
        <v>Dr.Sinha</v>
      </c>
      <c r="N1096" s="3" t="str">
        <f>IF(H1096 &gt; (G1096*50%), "Yes", "No")</f>
        <v>No</v>
      </c>
      <c r="O1096" s="16">
        <f>G1096-H1096</f>
        <v>7696</v>
      </c>
      <c r="P1096" s="16">
        <f>SUMIFS(O1096:O1096,E1096:E1096,"Science",F1096:F1096,"Completed")</f>
        <v>0</v>
      </c>
      <c r="Q1096" s="3" t="str">
        <f>IF(MONTH(E1096)&gt;=7, YEAR(E1096)&amp;"-"&amp;YEAR(E1096)+1, YEAR(E1096)-1&amp;"-"&amp;YEAR(E1096))</f>
        <v>2021-2022</v>
      </c>
      <c r="R1096" s="3"/>
      <c r="S1096" s="3"/>
      <c r="T1096" s="15" t="str">
        <f t="shared" ca="1" si="17"/>
        <v>0</v>
      </c>
      <c r="U1096" s="3"/>
    </row>
    <row r="1097" spans="1:21" x14ac:dyDescent="0.35">
      <c r="A1097" s="3" t="s">
        <v>2215</v>
      </c>
      <c r="B1097" s="3" t="s">
        <v>2216</v>
      </c>
      <c r="C1097" s="3" t="s">
        <v>36</v>
      </c>
      <c r="D1097" s="3" t="s">
        <v>13</v>
      </c>
      <c r="E1097" s="6">
        <v>45259</v>
      </c>
      <c r="F1097" s="3" t="s">
        <v>19</v>
      </c>
      <c r="G1097" s="3">
        <v>11961</v>
      </c>
      <c r="H1097" s="3">
        <v>8528</v>
      </c>
      <c r="I1097" s="3">
        <v>3.72</v>
      </c>
      <c r="J1097" s="3">
        <v>16</v>
      </c>
      <c r="K1097" s="15" t="str">
        <f ca="1">IF(F1097="Enrolled",TODAY()-E1097,"0")</f>
        <v>0</v>
      </c>
      <c r="L1097" s="3" t="str">
        <f>IF(I1097&gt;=3.5,"Excellent",IF(I1097&gt;=3,"Good",IF(I1097&gt;=2,"Average","Poor")))</f>
        <v>Excellent</v>
      </c>
      <c r="M1097" s="3" t="str">
        <v>Dr.Mehta</v>
      </c>
      <c r="N1097" s="3" t="str">
        <f>IF(H1097 &gt; (G1097*50%), "Yes", "No")</f>
        <v>Yes</v>
      </c>
      <c r="O1097" s="16">
        <f>G1097-H1097</f>
        <v>3433</v>
      </c>
      <c r="P1097" s="16">
        <f>SUMIFS(O1097:O1097,E1097:E1097,"Science",F1097:F1097,"Completed")</f>
        <v>0</v>
      </c>
      <c r="Q1097" s="3" t="str">
        <f>IF(MONTH(E1097)&gt;=7, YEAR(E1097)&amp;"-"&amp;YEAR(E1097)+1, YEAR(E1097)-1&amp;"-"&amp;YEAR(E1097))</f>
        <v>2023-2024</v>
      </c>
      <c r="R1097" s="3"/>
      <c r="S1097" s="3"/>
      <c r="T1097" s="15">
        <f t="shared" ca="1" si="17"/>
        <v>795</v>
      </c>
      <c r="U1097" s="3"/>
    </row>
    <row r="1098" spans="1:21" x14ac:dyDescent="0.35">
      <c r="A1098" s="3" t="s">
        <v>2217</v>
      </c>
      <c r="B1098" s="3" t="s">
        <v>2218</v>
      </c>
      <c r="C1098" s="3" t="s">
        <v>12</v>
      </c>
      <c r="D1098" s="3" t="s">
        <v>13</v>
      </c>
      <c r="E1098" s="6">
        <v>44721</v>
      </c>
      <c r="F1098" s="3" t="s">
        <v>19</v>
      </c>
      <c r="G1098" s="3">
        <v>14062</v>
      </c>
      <c r="H1098" s="3">
        <v>9193</v>
      </c>
      <c r="I1098" s="3">
        <v>3.07</v>
      </c>
      <c r="J1098" s="3">
        <v>103</v>
      </c>
      <c r="K1098" s="15" t="str">
        <f ca="1">IF(F1098="Enrolled",TODAY()-E1098,"0")</f>
        <v>0</v>
      </c>
      <c r="L1098" s="3" t="str">
        <f>IF(I1098&gt;=3.5,"Excellent",IF(I1098&gt;=3,"Good",IF(I1098&gt;=2,"Average","Poor")))</f>
        <v>Good</v>
      </c>
      <c r="M1098" s="3" t="str">
        <v>Dr.Mehta</v>
      </c>
      <c r="N1098" s="3" t="str">
        <f>IF(H1098 &gt; (G1098*50%), "Yes", "No")</f>
        <v>Yes</v>
      </c>
      <c r="O1098" s="16">
        <f>G1098-H1098</f>
        <v>4869</v>
      </c>
      <c r="P1098" s="16">
        <f>SUMIFS(O1098:O1098,E1098:E1098,"Science",F1098:F1098,"Completed")</f>
        <v>0</v>
      </c>
      <c r="Q1098" s="3" t="str">
        <f>IF(MONTH(E1098)&gt;=7, YEAR(E1098)&amp;"-"&amp;YEAR(E1098)+1, YEAR(E1098)-1&amp;"-"&amp;YEAR(E1098))</f>
        <v>2021-2022</v>
      </c>
      <c r="R1098" s="3"/>
      <c r="S1098" s="3"/>
      <c r="T1098" s="15">
        <f t="shared" ca="1" si="17"/>
        <v>1333</v>
      </c>
      <c r="U1098" s="3"/>
    </row>
    <row r="1099" spans="1:21" x14ac:dyDescent="0.35">
      <c r="A1099" s="3" t="s">
        <v>2219</v>
      </c>
      <c r="B1099" s="3" t="s">
        <v>2220</v>
      </c>
      <c r="C1099" s="3" t="s">
        <v>57</v>
      </c>
      <c r="D1099" s="3" t="s">
        <v>31</v>
      </c>
      <c r="E1099" s="6">
        <v>44780</v>
      </c>
      <c r="F1099" s="3" t="s">
        <v>19</v>
      </c>
      <c r="G1099" s="3">
        <v>7312</v>
      </c>
      <c r="H1099" s="3">
        <v>8464</v>
      </c>
      <c r="I1099" s="3">
        <v>2.74</v>
      </c>
      <c r="J1099" s="3">
        <v>104</v>
      </c>
      <c r="K1099" s="15" t="str">
        <f ca="1">IF(F1099="Enrolled",TODAY()-E1099,"0")</f>
        <v>0</v>
      </c>
      <c r="L1099" s="3" t="str">
        <f>IF(I1099&gt;=3.5,"Excellent",IF(I1099&gt;=3,"Good",IF(I1099&gt;=2,"Average","Poor")))</f>
        <v>Average</v>
      </c>
      <c r="M1099" s="3" t="str">
        <v>Dr.Sharma</v>
      </c>
      <c r="N1099" s="3" t="str">
        <f>IF(H1099 &gt; (G1099*50%), "Yes", "No")</f>
        <v>Yes</v>
      </c>
      <c r="O1099" s="16">
        <f>G1099-H1099</f>
        <v>-1152</v>
      </c>
      <c r="P1099" s="16">
        <f>SUMIFS(O1099:O1099,E1099:E1099,"Science",F1099:F1099,"Completed")</f>
        <v>0</v>
      </c>
      <c r="Q1099" s="3" t="str">
        <f>IF(MONTH(E1099)&gt;=7, YEAR(E1099)&amp;"-"&amp;YEAR(E1099)+1, YEAR(E1099)-1&amp;"-"&amp;YEAR(E1099))</f>
        <v>2022-2023</v>
      </c>
      <c r="R1099" s="3"/>
      <c r="S1099" s="3"/>
      <c r="T1099" s="15">
        <f t="shared" ca="1" si="17"/>
        <v>1274</v>
      </c>
      <c r="U1099" s="3"/>
    </row>
    <row r="1100" spans="1:21" x14ac:dyDescent="0.35">
      <c r="A1100" s="3" t="s">
        <v>2221</v>
      </c>
      <c r="B1100" s="3" t="s">
        <v>2222</v>
      </c>
      <c r="C1100" s="3" t="s">
        <v>57</v>
      </c>
      <c r="D1100" s="3" t="s">
        <v>31</v>
      </c>
      <c r="E1100" s="6">
        <v>45023</v>
      </c>
      <c r="F1100" s="3" t="s">
        <v>14</v>
      </c>
      <c r="G1100" s="3">
        <v>5745</v>
      </c>
      <c r="H1100" s="3">
        <v>499</v>
      </c>
      <c r="I1100" s="3">
        <v>3.1</v>
      </c>
      <c r="J1100" s="3">
        <v>31</v>
      </c>
      <c r="K1100" s="15">
        <f ca="1">IF(F1100="Enrolled",TODAY()-E1100,"0")</f>
        <v>1031</v>
      </c>
      <c r="L1100" s="3" t="str">
        <f>IF(I1100&gt;=3.5,"Excellent",IF(I1100&gt;=3,"Good",IF(I1100&gt;=2,"Average","Poor")))</f>
        <v>Good</v>
      </c>
      <c r="M1100" s="3" t="str">
        <v>Dr.Sharma</v>
      </c>
      <c r="N1100" s="3" t="str">
        <f>IF(H1100 &gt; (G1100*50%), "Yes", "No")</f>
        <v>No</v>
      </c>
      <c r="O1100" s="16">
        <f>G1100-H1100</f>
        <v>5246</v>
      </c>
      <c r="P1100" s="16">
        <f>SUMIFS(O1100:O1100,E1100:E1100,"Science",F1100:F1100,"Completed")</f>
        <v>0</v>
      </c>
      <c r="Q1100" s="3" t="str">
        <f>IF(MONTH(E1100)&gt;=7, YEAR(E1100)&amp;"-"&amp;YEAR(E1100)+1, YEAR(E1100)-1&amp;"-"&amp;YEAR(E1100))</f>
        <v>2022-2023</v>
      </c>
      <c r="R1100" s="3"/>
      <c r="S1100" s="3"/>
      <c r="T1100" s="15" t="str">
        <f t="shared" ca="1" si="17"/>
        <v>0</v>
      </c>
      <c r="U1100" s="3"/>
    </row>
    <row r="1101" spans="1:21" x14ac:dyDescent="0.35">
      <c r="A1101" s="3" t="s">
        <v>2223</v>
      </c>
      <c r="B1101" s="3" t="s">
        <v>2224</v>
      </c>
      <c r="C1101" s="3" t="s">
        <v>17</v>
      </c>
      <c r="D1101" s="3" t="s">
        <v>62</v>
      </c>
      <c r="E1101" s="6">
        <v>44726</v>
      </c>
      <c r="F1101" s="3" t="s">
        <v>39</v>
      </c>
      <c r="G1101" s="3">
        <v>6844</v>
      </c>
      <c r="H1101" s="3">
        <v>1405</v>
      </c>
      <c r="I1101" s="3">
        <v>3.05</v>
      </c>
      <c r="J1101" s="3">
        <v>44</v>
      </c>
      <c r="K1101" s="15" t="str">
        <f ca="1">IF(F1101="Enrolled",TODAY()-E1101,"0")</f>
        <v>0</v>
      </c>
      <c r="L1101" s="3" t="str">
        <f>IF(I1101&gt;=3.5,"Excellent",IF(I1101&gt;=3,"Good",IF(I1101&gt;=2,"Average","Poor")))</f>
        <v>Good</v>
      </c>
      <c r="M1101" s="3" t="str">
        <v>Dr.Sinha</v>
      </c>
      <c r="N1101" s="3" t="str">
        <f>IF(H1101 &gt; (G1101*50%), "Yes", "No")</f>
        <v>No</v>
      </c>
      <c r="O1101" s="16">
        <f>G1101-H1101</f>
        <v>5439</v>
      </c>
      <c r="P1101" s="16">
        <f>SUMIFS(O1101:O1101,E1101:E1101,"Science",F1101:F1101,"Completed")</f>
        <v>0</v>
      </c>
      <c r="Q1101" s="3" t="str">
        <f>IF(MONTH(E1101)&gt;=7, YEAR(E1101)&amp;"-"&amp;YEAR(E1101)+1, YEAR(E1101)-1&amp;"-"&amp;YEAR(E1101))</f>
        <v>2021-2022</v>
      </c>
      <c r="R1101" s="3"/>
      <c r="S1101" s="3"/>
      <c r="T1101" s="15" t="str">
        <f t="shared" ca="1" si="17"/>
        <v>0</v>
      </c>
      <c r="U1101" s="3"/>
    </row>
    <row r="1102" spans="1:21" x14ac:dyDescent="0.35">
      <c r="A1102" s="3" t="s">
        <v>2225</v>
      </c>
      <c r="B1102" s="3" t="s">
        <v>2226</v>
      </c>
      <c r="C1102" s="3" t="s">
        <v>57</v>
      </c>
      <c r="D1102" s="3" t="s">
        <v>18</v>
      </c>
      <c r="E1102" s="6">
        <v>44753</v>
      </c>
      <c r="F1102" s="3" t="s">
        <v>14</v>
      </c>
      <c r="G1102" s="3">
        <v>13054</v>
      </c>
      <c r="H1102" s="3">
        <v>4741</v>
      </c>
      <c r="I1102" s="3">
        <v>3.54</v>
      </c>
      <c r="J1102" s="3">
        <v>31</v>
      </c>
      <c r="K1102" s="15">
        <f ca="1">IF(F1102="Enrolled",TODAY()-E1102,"0")</f>
        <v>1301</v>
      </c>
      <c r="L1102" s="3" t="str">
        <f>IF(I1102&gt;=3.5,"Excellent",IF(I1102&gt;=3,"Good",IF(I1102&gt;=2,"Average","Poor")))</f>
        <v>Excellent</v>
      </c>
      <c r="M1102" s="3" t="str">
        <v>Dr.Roy</v>
      </c>
      <c r="N1102" s="3" t="str">
        <f>IF(H1102 &gt; (G1102*50%), "Yes", "No")</f>
        <v>No</v>
      </c>
      <c r="O1102" s="16">
        <f>G1102-H1102</f>
        <v>8313</v>
      </c>
      <c r="P1102" s="16">
        <f>SUMIFS(O1102:O1102,E1102:E1102,"Science",F1102:F1102,"Completed")</f>
        <v>0</v>
      </c>
      <c r="Q1102" s="3" t="str">
        <f>IF(MONTH(E1102)&gt;=7, YEAR(E1102)&amp;"-"&amp;YEAR(E1102)+1, YEAR(E1102)-1&amp;"-"&amp;YEAR(E1102))</f>
        <v>2022-2023</v>
      </c>
      <c r="R1102" s="3"/>
      <c r="S1102" s="3"/>
      <c r="T1102" s="15" t="str">
        <f t="shared" ca="1" si="17"/>
        <v>0</v>
      </c>
      <c r="U1102" s="3"/>
    </row>
    <row r="1103" spans="1:21" x14ac:dyDescent="0.35">
      <c r="A1103" s="3" t="s">
        <v>2227</v>
      </c>
      <c r="B1103" s="3" t="s">
        <v>2228</v>
      </c>
      <c r="C1103" s="3" t="s">
        <v>36</v>
      </c>
      <c r="D1103" s="3" t="s">
        <v>31</v>
      </c>
      <c r="E1103" s="6">
        <v>45007</v>
      </c>
      <c r="F1103" s="3" t="s">
        <v>14</v>
      </c>
      <c r="G1103" s="3">
        <v>10986</v>
      </c>
      <c r="H1103" s="3">
        <v>8048</v>
      </c>
      <c r="I1103" s="3">
        <v>3.16</v>
      </c>
      <c r="J1103" s="3">
        <v>70</v>
      </c>
      <c r="K1103" s="15">
        <f ca="1">IF(F1103="Enrolled",TODAY()-E1103,"0")</f>
        <v>1047</v>
      </c>
      <c r="L1103" s="3" t="str">
        <f>IF(I1103&gt;=3.5,"Excellent",IF(I1103&gt;=3,"Good",IF(I1103&gt;=2,"Average","Poor")))</f>
        <v>Good</v>
      </c>
      <c r="M1103" s="3" t="str">
        <v>Dr.Sharma</v>
      </c>
      <c r="N1103" s="3" t="str">
        <f>IF(H1103 &gt; (G1103*50%), "Yes", "No")</f>
        <v>Yes</v>
      </c>
      <c r="O1103" s="16">
        <f>G1103-H1103</f>
        <v>2938</v>
      </c>
      <c r="P1103" s="16">
        <f>SUMIFS(O1103:O1103,E1103:E1103,"Science",F1103:F1103,"Completed")</f>
        <v>0</v>
      </c>
      <c r="Q1103" s="3" t="str">
        <f>IF(MONTH(E1103)&gt;=7, YEAR(E1103)&amp;"-"&amp;YEAR(E1103)+1, YEAR(E1103)-1&amp;"-"&amp;YEAR(E1103))</f>
        <v>2022-2023</v>
      </c>
      <c r="R1103" s="3"/>
      <c r="S1103" s="3"/>
      <c r="T1103" s="15" t="str">
        <f t="shared" ca="1" si="17"/>
        <v>0</v>
      </c>
      <c r="U1103" s="3"/>
    </row>
    <row r="1104" spans="1:21" x14ac:dyDescent="0.35">
      <c r="A1104" s="3" t="s">
        <v>2229</v>
      </c>
      <c r="B1104" s="3" t="s">
        <v>2230</v>
      </c>
      <c r="C1104" s="3" t="s">
        <v>17</v>
      </c>
      <c r="D1104" s="3" t="s">
        <v>18</v>
      </c>
      <c r="E1104" s="6">
        <v>45421</v>
      </c>
      <c r="F1104" s="3" t="s">
        <v>39</v>
      </c>
      <c r="G1104" s="3">
        <v>3798</v>
      </c>
      <c r="H1104" s="3">
        <v>1392</v>
      </c>
      <c r="I1104" s="3">
        <v>2.2999999999999998</v>
      </c>
      <c r="J1104" s="3">
        <v>98</v>
      </c>
      <c r="K1104" s="15" t="str">
        <f ca="1">IF(F1104="Enrolled",TODAY()-E1104,"0")</f>
        <v>0</v>
      </c>
      <c r="L1104" s="3" t="str">
        <f>IF(I1104&gt;=3.5,"Excellent",IF(I1104&gt;=3,"Good",IF(I1104&gt;=2,"Average","Poor")))</f>
        <v>Average</v>
      </c>
      <c r="M1104" s="3" t="str">
        <v>Dr.Roy</v>
      </c>
      <c r="N1104" s="3" t="str">
        <f>IF(H1104 &gt; (G1104*50%), "Yes", "No")</f>
        <v>No</v>
      </c>
      <c r="O1104" s="16">
        <f>G1104-H1104</f>
        <v>2406</v>
      </c>
      <c r="P1104" s="16">
        <f>SUMIFS(O1104:O1104,E1104:E1104,"Science",F1104:F1104,"Completed")</f>
        <v>0</v>
      </c>
      <c r="Q1104" s="3" t="str">
        <f>IF(MONTH(E1104)&gt;=7, YEAR(E1104)&amp;"-"&amp;YEAR(E1104)+1, YEAR(E1104)-1&amp;"-"&amp;YEAR(E1104))</f>
        <v>2023-2024</v>
      </c>
      <c r="R1104" s="3"/>
      <c r="S1104" s="3"/>
      <c r="T1104" s="15" t="str">
        <f t="shared" ca="1" si="17"/>
        <v>0</v>
      </c>
      <c r="U1104" s="3"/>
    </row>
    <row r="1105" spans="1:21" x14ac:dyDescent="0.35">
      <c r="A1105" s="3" t="s">
        <v>2231</v>
      </c>
      <c r="B1105" s="3" t="s">
        <v>2232</v>
      </c>
      <c r="C1105" s="3" t="s">
        <v>54</v>
      </c>
      <c r="D1105" s="3" t="s">
        <v>13</v>
      </c>
      <c r="E1105" s="6">
        <v>45332</v>
      </c>
      <c r="F1105" s="3" t="s">
        <v>19</v>
      </c>
      <c r="G1105" s="3">
        <v>8999</v>
      </c>
      <c r="H1105" s="3">
        <v>7122</v>
      </c>
      <c r="I1105" s="3">
        <v>2.0499999999999998</v>
      </c>
      <c r="J1105" s="3">
        <v>115</v>
      </c>
      <c r="K1105" s="15" t="str">
        <f ca="1">IF(F1105="Enrolled",TODAY()-E1105,"0")</f>
        <v>0</v>
      </c>
      <c r="L1105" s="3" t="str">
        <f>IF(I1105&gt;=3.5,"Excellent",IF(I1105&gt;=3,"Good",IF(I1105&gt;=2,"Average","Poor")))</f>
        <v>Average</v>
      </c>
      <c r="M1105" s="3" t="str">
        <v>Dr.Mehta</v>
      </c>
      <c r="N1105" s="3" t="str">
        <f>IF(H1105 &gt; (G1105*50%), "Yes", "No")</f>
        <v>Yes</v>
      </c>
      <c r="O1105" s="16">
        <f>G1105-H1105</f>
        <v>1877</v>
      </c>
      <c r="P1105" s="16">
        <f>SUMIFS(O1105:O1105,E1105:E1105,"Science",F1105:F1105,"Completed")</f>
        <v>0</v>
      </c>
      <c r="Q1105" s="3" t="str">
        <f>IF(MONTH(E1105)&gt;=7, YEAR(E1105)&amp;"-"&amp;YEAR(E1105)+1, YEAR(E1105)-1&amp;"-"&amp;YEAR(E1105))</f>
        <v>2023-2024</v>
      </c>
      <c r="R1105" s="3"/>
      <c r="S1105" s="3"/>
      <c r="T1105" s="15">
        <f t="shared" ca="1" si="17"/>
        <v>722</v>
      </c>
      <c r="U1105" s="3"/>
    </row>
    <row r="1106" spans="1:21" x14ac:dyDescent="0.35">
      <c r="A1106" s="3" t="s">
        <v>2233</v>
      </c>
      <c r="B1106" s="3" t="s">
        <v>2234</v>
      </c>
      <c r="C1106" s="3" t="s">
        <v>12</v>
      </c>
      <c r="D1106" s="3" t="s">
        <v>62</v>
      </c>
      <c r="E1106" s="6">
        <v>44649</v>
      </c>
      <c r="F1106" s="3" t="s">
        <v>14</v>
      </c>
      <c r="G1106" s="3">
        <v>4243</v>
      </c>
      <c r="H1106" s="3">
        <v>6445</v>
      </c>
      <c r="I1106" s="3">
        <v>3.32</v>
      </c>
      <c r="J1106" s="3">
        <v>18</v>
      </c>
      <c r="K1106" s="15">
        <f ca="1">IF(F1106="Enrolled",TODAY()-E1106,"0")</f>
        <v>1405</v>
      </c>
      <c r="L1106" s="3" t="str">
        <f>IF(I1106&gt;=3.5,"Excellent",IF(I1106&gt;=3,"Good",IF(I1106&gt;=2,"Average","Poor")))</f>
        <v>Good</v>
      </c>
      <c r="M1106" s="3" t="str">
        <v>Dr.Sinha</v>
      </c>
      <c r="N1106" s="3" t="str">
        <f>IF(H1106 &gt; (G1106*50%), "Yes", "No")</f>
        <v>Yes</v>
      </c>
      <c r="O1106" s="16">
        <f>G1106-H1106</f>
        <v>-2202</v>
      </c>
      <c r="P1106" s="16">
        <f>SUMIFS(O1106:O1106,E1106:E1106,"Science",F1106:F1106,"Completed")</f>
        <v>0</v>
      </c>
      <c r="Q1106" s="3" t="str">
        <f>IF(MONTH(E1106)&gt;=7, YEAR(E1106)&amp;"-"&amp;YEAR(E1106)+1, YEAR(E1106)-1&amp;"-"&amp;YEAR(E1106))</f>
        <v>2021-2022</v>
      </c>
      <c r="R1106" s="3"/>
      <c r="S1106" s="3"/>
      <c r="T1106" s="15" t="str">
        <f t="shared" ca="1" si="17"/>
        <v>0</v>
      </c>
      <c r="U1106" s="3"/>
    </row>
    <row r="1107" spans="1:21" x14ac:dyDescent="0.35">
      <c r="A1107" s="3" t="s">
        <v>2235</v>
      </c>
      <c r="B1107" s="3" t="s">
        <v>2236</v>
      </c>
      <c r="C1107" s="3" t="s">
        <v>12</v>
      </c>
      <c r="D1107" s="3" t="s">
        <v>13</v>
      </c>
      <c r="E1107" s="6">
        <v>45071</v>
      </c>
      <c r="F1107" s="3" t="s">
        <v>19</v>
      </c>
      <c r="G1107" s="3">
        <v>2171</v>
      </c>
      <c r="H1107" s="3">
        <v>2358</v>
      </c>
      <c r="I1107" s="3">
        <v>2.4500000000000002</v>
      </c>
      <c r="J1107" s="3">
        <v>31</v>
      </c>
      <c r="K1107" s="15" t="str">
        <f ca="1">IF(F1107="Enrolled",TODAY()-E1107,"0")</f>
        <v>0</v>
      </c>
      <c r="L1107" s="3" t="str">
        <f>IF(I1107&gt;=3.5,"Excellent",IF(I1107&gt;=3,"Good",IF(I1107&gt;=2,"Average","Poor")))</f>
        <v>Average</v>
      </c>
      <c r="M1107" s="3" t="str">
        <v>Dr.Mehta</v>
      </c>
      <c r="N1107" s="3" t="str">
        <f>IF(H1107 &gt; (G1107*50%), "Yes", "No")</f>
        <v>Yes</v>
      </c>
      <c r="O1107" s="16">
        <f>G1107-H1107</f>
        <v>-187</v>
      </c>
      <c r="P1107" s="16">
        <f>SUMIFS(O1107:O1107,E1107:E1107,"Science",F1107:F1107,"Completed")</f>
        <v>0</v>
      </c>
      <c r="Q1107" s="3" t="str">
        <f>IF(MONTH(E1107)&gt;=7, YEAR(E1107)&amp;"-"&amp;YEAR(E1107)+1, YEAR(E1107)-1&amp;"-"&amp;YEAR(E1107))</f>
        <v>2022-2023</v>
      </c>
      <c r="R1107" s="3"/>
      <c r="S1107" s="3"/>
      <c r="T1107" s="15">
        <f t="shared" ca="1" si="17"/>
        <v>983</v>
      </c>
      <c r="U1107" s="3"/>
    </row>
    <row r="1108" spans="1:21" x14ac:dyDescent="0.35">
      <c r="A1108" s="3" t="s">
        <v>2237</v>
      </c>
      <c r="B1108" s="3" t="s">
        <v>2238</v>
      </c>
      <c r="C1108" s="3" t="s">
        <v>25</v>
      </c>
      <c r="D1108" s="3" t="s">
        <v>62</v>
      </c>
      <c r="E1108" s="6">
        <v>44839</v>
      </c>
      <c r="F1108" s="3" t="s">
        <v>19</v>
      </c>
      <c r="G1108" s="3">
        <v>4746</v>
      </c>
      <c r="H1108" s="3">
        <v>1220</v>
      </c>
      <c r="I1108" s="3">
        <v>3.26</v>
      </c>
      <c r="J1108" s="3">
        <v>10</v>
      </c>
      <c r="K1108" s="15" t="str">
        <f ca="1">IF(F1108="Enrolled",TODAY()-E1108,"0")</f>
        <v>0</v>
      </c>
      <c r="L1108" s="3" t="str">
        <f>IF(I1108&gt;=3.5,"Excellent",IF(I1108&gt;=3,"Good",IF(I1108&gt;=2,"Average","Poor")))</f>
        <v>Good</v>
      </c>
      <c r="M1108" s="3" t="str">
        <v>Dr.Sinha</v>
      </c>
      <c r="N1108" s="3" t="str">
        <f>IF(H1108 &gt; (G1108*50%), "Yes", "No")</f>
        <v>No</v>
      </c>
      <c r="O1108" s="16">
        <f>G1108-H1108</f>
        <v>3526</v>
      </c>
      <c r="P1108" s="16">
        <f>SUMIFS(O1108:O1108,E1108:E1108,"Science",F1108:F1108,"Completed")</f>
        <v>0</v>
      </c>
      <c r="Q1108" s="3" t="str">
        <f>IF(MONTH(E1108)&gt;=7, YEAR(E1108)&amp;"-"&amp;YEAR(E1108)+1, YEAR(E1108)-1&amp;"-"&amp;YEAR(E1108))</f>
        <v>2022-2023</v>
      </c>
      <c r="R1108" s="3"/>
      <c r="S1108" s="3"/>
      <c r="T1108" s="15">
        <f t="shared" ca="1" si="17"/>
        <v>1215</v>
      </c>
      <c r="U1108" s="3"/>
    </row>
    <row r="1109" spans="1:21" x14ac:dyDescent="0.35">
      <c r="A1109" s="3" t="s">
        <v>2239</v>
      </c>
      <c r="B1109" s="3" t="s">
        <v>2240</v>
      </c>
      <c r="C1109" s="3" t="s">
        <v>17</v>
      </c>
      <c r="D1109" s="3" t="s">
        <v>18</v>
      </c>
      <c r="E1109" s="6">
        <v>45329</v>
      </c>
      <c r="F1109" s="3" t="s">
        <v>14</v>
      </c>
      <c r="G1109" s="3">
        <v>5813</v>
      </c>
      <c r="H1109" s="3">
        <v>8271</v>
      </c>
      <c r="I1109" s="3">
        <v>3.89</v>
      </c>
      <c r="J1109" s="3">
        <v>13</v>
      </c>
      <c r="K1109" s="15">
        <f ca="1">IF(F1109="Enrolled",TODAY()-E1109,"0")</f>
        <v>725</v>
      </c>
      <c r="L1109" s="3" t="str">
        <f>IF(I1109&gt;=3.5,"Excellent",IF(I1109&gt;=3,"Good",IF(I1109&gt;=2,"Average","Poor")))</f>
        <v>Excellent</v>
      </c>
      <c r="M1109" s="3" t="str">
        <v>Dr.Roy</v>
      </c>
      <c r="N1109" s="3" t="str">
        <f>IF(H1109 &gt; (G1109*50%), "Yes", "No")</f>
        <v>Yes</v>
      </c>
      <c r="O1109" s="16">
        <f>G1109-H1109</f>
        <v>-2458</v>
      </c>
      <c r="P1109" s="16">
        <f>SUMIFS(O1109:O1109,E1109:E1109,"Science",F1109:F1109,"Completed")</f>
        <v>0</v>
      </c>
      <c r="Q1109" s="3" t="str">
        <f>IF(MONTH(E1109)&gt;=7, YEAR(E1109)&amp;"-"&amp;YEAR(E1109)+1, YEAR(E1109)-1&amp;"-"&amp;YEAR(E1109))</f>
        <v>2023-2024</v>
      </c>
      <c r="R1109" s="3"/>
      <c r="S1109" s="3"/>
      <c r="T1109" s="15" t="str">
        <f t="shared" ca="1" si="17"/>
        <v>0</v>
      </c>
      <c r="U1109" s="3"/>
    </row>
    <row r="1110" spans="1:21" x14ac:dyDescent="0.35">
      <c r="A1110" s="3" t="s">
        <v>2241</v>
      </c>
      <c r="B1110" s="3" t="s">
        <v>2242</v>
      </c>
      <c r="C1110" s="3" t="s">
        <v>36</v>
      </c>
      <c r="D1110" s="3" t="s">
        <v>13</v>
      </c>
      <c r="E1110" s="6">
        <v>44599</v>
      </c>
      <c r="F1110" s="3" t="s">
        <v>14</v>
      </c>
      <c r="G1110" s="3">
        <v>11997</v>
      </c>
      <c r="H1110" s="3">
        <v>3979</v>
      </c>
      <c r="I1110" s="3">
        <v>3.75</v>
      </c>
      <c r="J1110" s="3">
        <v>81</v>
      </c>
      <c r="K1110" s="15">
        <f ca="1">IF(F1110="Enrolled",TODAY()-E1110,"0")</f>
        <v>1455</v>
      </c>
      <c r="L1110" s="3" t="str">
        <f>IF(I1110&gt;=3.5,"Excellent",IF(I1110&gt;=3,"Good",IF(I1110&gt;=2,"Average","Poor")))</f>
        <v>Excellent</v>
      </c>
      <c r="M1110" s="3" t="str">
        <v>Dr.Mehta</v>
      </c>
      <c r="N1110" s="3" t="str">
        <f>IF(H1110 &gt; (G1110*50%), "Yes", "No")</f>
        <v>No</v>
      </c>
      <c r="O1110" s="16">
        <f>G1110-H1110</f>
        <v>8018</v>
      </c>
      <c r="P1110" s="16">
        <f>SUMIFS(O1110:O1110,E1110:E1110,"Science",F1110:F1110,"Completed")</f>
        <v>0</v>
      </c>
      <c r="Q1110" s="3" t="str">
        <f>IF(MONTH(E1110)&gt;=7, YEAR(E1110)&amp;"-"&amp;YEAR(E1110)+1, YEAR(E1110)-1&amp;"-"&amp;YEAR(E1110))</f>
        <v>2021-2022</v>
      </c>
      <c r="R1110" s="3"/>
      <c r="S1110" s="3"/>
      <c r="T1110" s="15" t="str">
        <f t="shared" ca="1" si="17"/>
        <v>0</v>
      </c>
      <c r="U1110" s="3"/>
    </row>
    <row r="1111" spans="1:21" x14ac:dyDescent="0.35">
      <c r="A1111" s="3" t="s">
        <v>2243</v>
      </c>
      <c r="B1111" s="3" t="s">
        <v>2244</v>
      </c>
      <c r="C1111" s="3" t="s">
        <v>36</v>
      </c>
      <c r="D1111" s="3" t="s">
        <v>31</v>
      </c>
      <c r="E1111" s="6">
        <v>44891</v>
      </c>
      <c r="F1111" s="3" t="s">
        <v>19</v>
      </c>
      <c r="G1111" s="3">
        <v>3129</v>
      </c>
      <c r="H1111" s="3">
        <v>3377</v>
      </c>
      <c r="I1111" s="3">
        <v>2.92</v>
      </c>
      <c r="J1111" s="3">
        <v>94</v>
      </c>
      <c r="K1111" s="15" t="str">
        <f ca="1">IF(F1111="Enrolled",TODAY()-E1111,"0")</f>
        <v>0</v>
      </c>
      <c r="L1111" s="3" t="str">
        <f>IF(I1111&gt;=3.5,"Excellent",IF(I1111&gt;=3,"Good",IF(I1111&gt;=2,"Average","Poor")))</f>
        <v>Average</v>
      </c>
      <c r="M1111" s="3" t="str">
        <v>Dr.Sharma</v>
      </c>
      <c r="N1111" s="3" t="str">
        <f>IF(H1111 &gt; (G1111*50%), "Yes", "No")</f>
        <v>Yes</v>
      </c>
      <c r="O1111" s="16">
        <f>G1111-H1111</f>
        <v>-248</v>
      </c>
      <c r="P1111" s="16">
        <f>SUMIFS(O1111:O1111,E1111:E1111,"Science",F1111:F1111,"Completed")</f>
        <v>0</v>
      </c>
      <c r="Q1111" s="3" t="str">
        <f>IF(MONTH(E1111)&gt;=7, YEAR(E1111)&amp;"-"&amp;YEAR(E1111)+1, YEAR(E1111)-1&amp;"-"&amp;YEAR(E1111))</f>
        <v>2022-2023</v>
      </c>
      <c r="R1111" s="3"/>
      <c r="S1111" s="3"/>
      <c r="T1111" s="15">
        <f t="shared" ca="1" si="17"/>
        <v>1163</v>
      </c>
      <c r="U1111" s="3"/>
    </row>
    <row r="1112" spans="1:21" x14ac:dyDescent="0.35">
      <c r="A1112" s="3" t="s">
        <v>2245</v>
      </c>
      <c r="B1112" s="3" t="s">
        <v>2246</v>
      </c>
      <c r="C1112" s="3" t="s">
        <v>22</v>
      </c>
      <c r="D1112" s="3" t="s">
        <v>62</v>
      </c>
      <c r="E1112" s="6">
        <v>45278</v>
      </c>
      <c r="F1112" s="3" t="s">
        <v>14</v>
      </c>
      <c r="G1112" s="3">
        <v>4829</v>
      </c>
      <c r="H1112" s="3">
        <v>2463</v>
      </c>
      <c r="I1112" s="3">
        <v>3.81</v>
      </c>
      <c r="J1112" s="3">
        <v>71</v>
      </c>
      <c r="K1112" s="15">
        <f ca="1">IF(F1112="Enrolled",TODAY()-E1112,"0")</f>
        <v>776</v>
      </c>
      <c r="L1112" s="3" t="str">
        <f>IF(I1112&gt;=3.5,"Excellent",IF(I1112&gt;=3,"Good",IF(I1112&gt;=2,"Average","Poor")))</f>
        <v>Excellent</v>
      </c>
      <c r="M1112" s="3" t="str">
        <v>Dr.Sinha</v>
      </c>
      <c r="N1112" s="3" t="str">
        <f>IF(H1112 &gt; (G1112*50%), "Yes", "No")</f>
        <v>Yes</v>
      </c>
      <c r="O1112" s="16">
        <f>G1112-H1112</f>
        <v>2366</v>
      </c>
      <c r="P1112" s="16">
        <f>SUMIFS(O1112:O1112,E1112:E1112,"Science",F1112:F1112,"Completed")</f>
        <v>0</v>
      </c>
      <c r="Q1112" s="3" t="str">
        <f>IF(MONTH(E1112)&gt;=7, YEAR(E1112)&amp;"-"&amp;YEAR(E1112)+1, YEAR(E1112)-1&amp;"-"&amp;YEAR(E1112))</f>
        <v>2023-2024</v>
      </c>
      <c r="R1112" s="3"/>
      <c r="S1112" s="3"/>
      <c r="T1112" s="15" t="str">
        <f t="shared" ca="1" si="17"/>
        <v>0</v>
      </c>
      <c r="U1112" s="3"/>
    </row>
    <row r="1113" spans="1:21" x14ac:dyDescent="0.35">
      <c r="A1113" s="3" t="s">
        <v>2247</v>
      </c>
      <c r="B1113" s="3" t="s">
        <v>2248</v>
      </c>
      <c r="C1113" s="3" t="s">
        <v>17</v>
      </c>
      <c r="D1113" s="3" t="s">
        <v>31</v>
      </c>
      <c r="E1113" s="6">
        <v>45270</v>
      </c>
      <c r="F1113" s="3" t="s">
        <v>14</v>
      </c>
      <c r="G1113" s="3">
        <v>13773</v>
      </c>
      <c r="H1113" s="3">
        <v>9595</v>
      </c>
      <c r="I1113" s="3">
        <v>2.15</v>
      </c>
      <c r="J1113" s="3">
        <v>22</v>
      </c>
      <c r="K1113" s="15">
        <f ca="1">IF(F1113="Enrolled",TODAY()-E1113,"0")</f>
        <v>784</v>
      </c>
      <c r="L1113" s="3" t="str">
        <f>IF(I1113&gt;=3.5,"Excellent",IF(I1113&gt;=3,"Good",IF(I1113&gt;=2,"Average","Poor")))</f>
        <v>Average</v>
      </c>
      <c r="M1113" s="3" t="str">
        <v>Dr.Sharma</v>
      </c>
      <c r="N1113" s="3" t="str">
        <f>IF(H1113 &gt; (G1113*50%), "Yes", "No")</f>
        <v>Yes</v>
      </c>
      <c r="O1113" s="16">
        <f>G1113-H1113</f>
        <v>4178</v>
      </c>
      <c r="P1113" s="16">
        <f>SUMIFS(O1113:O1113,E1113:E1113,"Science",F1113:F1113,"Completed")</f>
        <v>0</v>
      </c>
      <c r="Q1113" s="3" t="str">
        <f>IF(MONTH(E1113)&gt;=7, YEAR(E1113)&amp;"-"&amp;YEAR(E1113)+1, YEAR(E1113)-1&amp;"-"&amp;YEAR(E1113))</f>
        <v>2023-2024</v>
      </c>
      <c r="R1113" s="3"/>
      <c r="S1113" s="3"/>
      <c r="T1113" s="15" t="str">
        <f t="shared" ca="1" si="17"/>
        <v>0</v>
      </c>
      <c r="U1113" s="3"/>
    </row>
    <row r="1114" spans="1:21" x14ac:dyDescent="0.35">
      <c r="A1114" s="3" t="s">
        <v>2249</v>
      </c>
      <c r="B1114" s="3" t="s">
        <v>2250</v>
      </c>
      <c r="C1114" s="3" t="s">
        <v>57</v>
      </c>
      <c r="D1114" s="3" t="s">
        <v>18</v>
      </c>
      <c r="E1114" s="6">
        <v>44879</v>
      </c>
      <c r="F1114" s="3" t="s">
        <v>19</v>
      </c>
      <c r="G1114" s="3">
        <v>7845</v>
      </c>
      <c r="H1114" s="3">
        <v>1768</v>
      </c>
      <c r="I1114" s="3">
        <v>3.79</v>
      </c>
      <c r="J1114" s="3">
        <v>82</v>
      </c>
      <c r="K1114" s="15" t="str">
        <f ca="1">IF(F1114="Enrolled",TODAY()-E1114,"0")</f>
        <v>0</v>
      </c>
      <c r="L1114" s="3" t="str">
        <f>IF(I1114&gt;=3.5,"Excellent",IF(I1114&gt;=3,"Good",IF(I1114&gt;=2,"Average","Poor")))</f>
        <v>Excellent</v>
      </c>
      <c r="M1114" s="3" t="str">
        <v>Dr.Roy</v>
      </c>
      <c r="N1114" s="3" t="str">
        <f>IF(H1114 &gt; (G1114*50%), "Yes", "No")</f>
        <v>No</v>
      </c>
      <c r="O1114" s="16">
        <f>G1114-H1114</f>
        <v>6077</v>
      </c>
      <c r="P1114" s="16">
        <f>SUMIFS(O1114:O1114,E1114:E1114,"Science",F1114:F1114,"Completed")</f>
        <v>0</v>
      </c>
      <c r="Q1114" s="3" t="str">
        <f>IF(MONTH(E1114)&gt;=7, YEAR(E1114)&amp;"-"&amp;YEAR(E1114)+1, YEAR(E1114)-1&amp;"-"&amp;YEAR(E1114))</f>
        <v>2022-2023</v>
      </c>
      <c r="R1114" s="3"/>
      <c r="S1114" s="3"/>
      <c r="T1114" s="15">
        <f t="shared" ca="1" si="17"/>
        <v>1175</v>
      </c>
      <c r="U1114" s="3"/>
    </row>
    <row r="1115" spans="1:21" x14ac:dyDescent="0.35">
      <c r="A1115" s="3" t="s">
        <v>2251</v>
      </c>
      <c r="B1115" s="3" t="s">
        <v>2252</v>
      </c>
      <c r="C1115" s="3" t="s">
        <v>28</v>
      </c>
      <c r="D1115" s="3" t="s">
        <v>31</v>
      </c>
      <c r="E1115" s="6">
        <v>45337</v>
      </c>
      <c r="F1115" s="3" t="s">
        <v>19</v>
      </c>
      <c r="G1115" s="3">
        <v>14112</v>
      </c>
      <c r="H1115" s="3">
        <v>4858</v>
      </c>
      <c r="I1115" s="3">
        <v>2.48</v>
      </c>
      <c r="J1115" s="3">
        <v>106</v>
      </c>
      <c r="K1115" s="15" t="str">
        <f ca="1">IF(F1115="Enrolled",TODAY()-E1115,"0")</f>
        <v>0</v>
      </c>
      <c r="L1115" s="3" t="str">
        <f>IF(I1115&gt;=3.5,"Excellent",IF(I1115&gt;=3,"Good",IF(I1115&gt;=2,"Average","Poor")))</f>
        <v>Average</v>
      </c>
      <c r="M1115" s="3" t="str">
        <v>Dr.Sharma</v>
      </c>
      <c r="N1115" s="3" t="str">
        <f>IF(H1115 &gt; (G1115*50%), "Yes", "No")</f>
        <v>No</v>
      </c>
      <c r="O1115" s="16">
        <f>G1115-H1115</f>
        <v>9254</v>
      </c>
      <c r="P1115" s="16">
        <f>SUMIFS(O1115:O1115,E1115:E1115,"Science",F1115:F1115,"Completed")</f>
        <v>0</v>
      </c>
      <c r="Q1115" s="3" t="str">
        <f>IF(MONTH(E1115)&gt;=7, YEAR(E1115)&amp;"-"&amp;YEAR(E1115)+1, YEAR(E1115)-1&amp;"-"&amp;YEAR(E1115))</f>
        <v>2023-2024</v>
      </c>
      <c r="R1115" s="3"/>
      <c r="S1115" s="3"/>
      <c r="T1115" s="15">
        <f t="shared" ca="1" si="17"/>
        <v>717</v>
      </c>
      <c r="U1115" s="3"/>
    </row>
    <row r="1116" spans="1:21" x14ac:dyDescent="0.35">
      <c r="A1116" s="3" t="s">
        <v>2253</v>
      </c>
      <c r="B1116" s="3" t="s">
        <v>2254</v>
      </c>
      <c r="C1116" s="3" t="s">
        <v>17</v>
      </c>
      <c r="D1116" s="3" t="s">
        <v>31</v>
      </c>
      <c r="E1116" s="6">
        <v>45429</v>
      </c>
      <c r="F1116" s="3" t="s">
        <v>14</v>
      </c>
      <c r="G1116" s="3">
        <v>8386</v>
      </c>
      <c r="H1116" s="3">
        <v>6949</v>
      </c>
      <c r="I1116" s="3">
        <v>2.54</v>
      </c>
      <c r="J1116" s="3">
        <v>97</v>
      </c>
      <c r="K1116" s="15">
        <f ca="1">IF(F1116="Enrolled",TODAY()-E1116,"0")</f>
        <v>625</v>
      </c>
      <c r="L1116" s="3" t="str">
        <f>IF(I1116&gt;=3.5,"Excellent",IF(I1116&gt;=3,"Good",IF(I1116&gt;=2,"Average","Poor")))</f>
        <v>Average</v>
      </c>
      <c r="M1116" s="3" t="str">
        <v>Dr.Sharma</v>
      </c>
      <c r="N1116" s="3" t="str">
        <f>IF(H1116 &gt; (G1116*50%), "Yes", "No")</f>
        <v>Yes</v>
      </c>
      <c r="O1116" s="16">
        <f>G1116-H1116</f>
        <v>1437</v>
      </c>
      <c r="P1116" s="16">
        <f>SUMIFS(O1116:O1116,E1116:E1116,"Science",F1116:F1116,"Completed")</f>
        <v>0</v>
      </c>
      <c r="Q1116" s="3" t="str">
        <f>IF(MONTH(E1116)&gt;=7, YEAR(E1116)&amp;"-"&amp;YEAR(E1116)+1, YEAR(E1116)-1&amp;"-"&amp;YEAR(E1116))</f>
        <v>2023-2024</v>
      </c>
      <c r="R1116" s="3"/>
      <c r="S1116" s="3"/>
      <c r="T1116" s="15" t="str">
        <f t="shared" ca="1" si="17"/>
        <v>0</v>
      </c>
      <c r="U1116" s="3"/>
    </row>
    <row r="1117" spans="1:21" x14ac:dyDescent="0.35">
      <c r="A1117" s="3" t="s">
        <v>2255</v>
      </c>
      <c r="B1117" s="3" t="s">
        <v>2256</v>
      </c>
      <c r="C1117" s="3" t="s">
        <v>54</v>
      </c>
      <c r="D1117" s="3" t="s">
        <v>18</v>
      </c>
      <c r="E1117" s="6">
        <v>45136</v>
      </c>
      <c r="F1117" s="3" t="s">
        <v>14</v>
      </c>
      <c r="G1117" s="3">
        <v>11924</v>
      </c>
      <c r="H1117" s="3">
        <v>8400</v>
      </c>
      <c r="I1117" s="3">
        <v>3.46</v>
      </c>
      <c r="J1117" s="3">
        <v>23</v>
      </c>
      <c r="K1117" s="15">
        <f ca="1">IF(F1117="Enrolled",TODAY()-E1117,"0")</f>
        <v>918</v>
      </c>
      <c r="L1117" s="3" t="str">
        <f>IF(I1117&gt;=3.5,"Excellent",IF(I1117&gt;=3,"Good",IF(I1117&gt;=2,"Average","Poor")))</f>
        <v>Good</v>
      </c>
      <c r="M1117" s="3" t="str">
        <v>Dr.Roy</v>
      </c>
      <c r="N1117" s="3" t="str">
        <f>IF(H1117 &gt; (G1117*50%), "Yes", "No")</f>
        <v>Yes</v>
      </c>
      <c r="O1117" s="16">
        <f>G1117-H1117</f>
        <v>3524</v>
      </c>
      <c r="P1117" s="16">
        <f>SUMIFS(O1117:O1117,E1117:E1117,"Science",F1117:F1117,"Completed")</f>
        <v>0</v>
      </c>
      <c r="Q1117" s="3" t="str">
        <f>IF(MONTH(E1117)&gt;=7, YEAR(E1117)&amp;"-"&amp;YEAR(E1117)+1, YEAR(E1117)-1&amp;"-"&amp;YEAR(E1117))</f>
        <v>2023-2024</v>
      </c>
      <c r="R1117" s="3"/>
      <c r="S1117" s="3"/>
      <c r="T1117" s="15" t="str">
        <f t="shared" ca="1" si="17"/>
        <v>0</v>
      </c>
      <c r="U1117" s="3"/>
    </row>
    <row r="1118" spans="1:21" x14ac:dyDescent="0.35">
      <c r="A1118" s="3" t="s">
        <v>2257</v>
      </c>
      <c r="B1118" s="3" t="s">
        <v>2258</v>
      </c>
      <c r="C1118" s="3" t="s">
        <v>28</v>
      </c>
      <c r="D1118" s="3" t="s">
        <v>31</v>
      </c>
      <c r="E1118" s="6">
        <v>44647</v>
      </c>
      <c r="F1118" s="3" t="s">
        <v>19</v>
      </c>
      <c r="G1118" s="3">
        <v>6259</v>
      </c>
      <c r="H1118" s="3">
        <v>6330</v>
      </c>
      <c r="I1118" s="3">
        <v>3.7</v>
      </c>
      <c r="J1118" s="3">
        <v>69</v>
      </c>
      <c r="K1118" s="15" t="str">
        <f ca="1">IF(F1118="Enrolled",TODAY()-E1118,"0")</f>
        <v>0</v>
      </c>
      <c r="L1118" s="3" t="str">
        <f>IF(I1118&gt;=3.5,"Excellent",IF(I1118&gt;=3,"Good",IF(I1118&gt;=2,"Average","Poor")))</f>
        <v>Excellent</v>
      </c>
      <c r="M1118" s="3" t="str">
        <v>Dr.Sharma</v>
      </c>
      <c r="N1118" s="3" t="str">
        <f>IF(H1118 &gt; (G1118*50%), "Yes", "No")</f>
        <v>Yes</v>
      </c>
      <c r="O1118" s="16">
        <f>G1118-H1118</f>
        <v>-71</v>
      </c>
      <c r="P1118" s="16">
        <f>SUMIFS(O1118:O1118,E1118:E1118,"Science",F1118:F1118,"Completed")</f>
        <v>0</v>
      </c>
      <c r="Q1118" s="3" t="str">
        <f>IF(MONTH(E1118)&gt;=7, YEAR(E1118)&amp;"-"&amp;YEAR(E1118)+1, YEAR(E1118)-1&amp;"-"&amp;YEAR(E1118))</f>
        <v>2021-2022</v>
      </c>
      <c r="R1118" s="3"/>
      <c r="S1118" s="3"/>
      <c r="T1118" s="15">
        <f t="shared" ca="1" si="17"/>
        <v>1407</v>
      </c>
      <c r="U1118" s="3"/>
    </row>
    <row r="1119" spans="1:21" x14ac:dyDescent="0.35">
      <c r="A1119" s="3" t="s">
        <v>2259</v>
      </c>
      <c r="B1119" s="3" t="s">
        <v>2260</v>
      </c>
      <c r="C1119" s="3" t="s">
        <v>22</v>
      </c>
      <c r="D1119" s="3" t="s">
        <v>31</v>
      </c>
      <c r="E1119" s="6">
        <v>45347</v>
      </c>
      <c r="F1119" s="3" t="s">
        <v>14</v>
      </c>
      <c r="G1119" s="3">
        <v>2965</v>
      </c>
      <c r="H1119" s="3">
        <v>4420</v>
      </c>
      <c r="I1119" s="3">
        <v>3.5</v>
      </c>
      <c r="J1119" s="3">
        <v>79</v>
      </c>
      <c r="K1119" s="15">
        <f ca="1">IF(F1119="Enrolled",TODAY()-E1119,"0")</f>
        <v>707</v>
      </c>
      <c r="L1119" s="3" t="str">
        <f>IF(I1119&gt;=3.5,"Excellent",IF(I1119&gt;=3,"Good",IF(I1119&gt;=2,"Average","Poor")))</f>
        <v>Excellent</v>
      </c>
      <c r="M1119" s="3" t="str">
        <v>Dr.Sharma</v>
      </c>
      <c r="N1119" s="3" t="str">
        <f>IF(H1119 &gt; (G1119*50%), "Yes", "No")</f>
        <v>Yes</v>
      </c>
      <c r="O1119" s="16">
        <f>G1119-H1119</f>
        <v>-1455</v>
      </c>
      <c r="P1119" s="16">
        <f>SUMIFS(O1119:O1119,E1119:E1119,"Science",F1119:F1119,"Completed")</f>
        <v>0</v>
      </c>
      <c r="Q1119" s="3" t="str">
        <f>IF(MONTH(E1119)&gt;=7, YEAR(E1119)&amp;"-"&amp;YEAR(E1119)+1, YEAR(E1119)-1&amp;"-"&amp;YEAR(E1119))</f>
        <v>2023-2024</v>
      </c>
      <c r="R1119" s="3"/>
      <c r="S1119" s="3"/>
      <c r="T1119" s="15" t="str">
        <f t="shared" ca="1" si="17"/>
        <v>0</v>
      </c>
      <c r="U1119" s="3"/>
    </row>
    <row r="1120" spans="1:21" x14ac:dyDescent="0.35">
      <c r="A1120" s="3" t="s">
        <v>2261</v>
      </c>
      <c r="B1120" s="3" t="s">
        <v>2262</v>
      </c>
      <c r="C1120" s="3" t="s">
        <v>12</v>
      </c>
      <c r="D1120" s="3" t="s">
        <v>13</v>
      </c>
      <c r="E1120" s="6">
        <v>45347</v>
      </c>
      <c r="F1120" s="3" t="s">
        <v>14</v>
      </c>
      <c r="G1120" s="3">
        <v>10945</v>
      </c>
      <c r="H1120" s="3">
        <v>3789</v>
      </c>
      <c r="I1120" s="3">
        <v>3.56</v>
      </c>
      <c r="J1120" s="3">
        <v>39</v>
      </c>
      <c r="K1120" s="15">
        <f ca="1">IF(F1120="Enrolled",TODAY()-E1120,"0")</f>
        <v>707</v>
      </c>
      <c r="L1120" s="3" t="str">
        <f>IF(I1120&gt;=3.5,"Excellent",IF(I1120&gt;=3,"Good",IF(I1120&gt;=2,"Average","Poor")))</f>
        <v>Excellent</v>
      </c>
      <c r="M1120" s="3" t="str">
        <v>Dr.Mehta</v>
      </c>
      <c r="N1120" s="3" t="str">
        <f>IF(H1120 &gt; (G1120*50%), "Yes", "No")</f>
        <v>No</v>
      </c>
      <c r="O1120" s="16">
        <f>G1120-H1120</f>
        <v>7156</v>
      </c>
      <c r="P1120" s="16">
        <f>SUMIFS(O1120:O1120,E1120:E1120,"Science",F1120:F1120,"Completed")</f>
        <v>0</v>
      </c>
      <c r="Q1120" s="3" t="str">
        <f>IF(MONTH(E1120)&gt;=7, YEAR(E1120)&amp;"-"&amp;YEAR(E1120)+1, YEAR(E1120)-1&amp;"-"&amp;YEAR(E1120))</f>
        <v>2023-2024</v>
      </c>
      <c r="R1120" s="3"/>
      <c r="S1120" s="3"/>
      <c r="T1120" s="15" t="str">
        <f t="shared" ca="1" si="17"/>
        <v>0</v>
      </c>
      <c r="U1120" s="3"/>
    </row>
    <row r="1121" spans="1:21" x14ac:dyDescent="0.35">
      <c r="A1121" s="3" t="s">
        <v>2263</v>
      </c>
      <c r="B1121" s="3" t="s">
        <v>2264</v>
      </c>
      <c r="C1121" s="3" t="s">
        <v>54</v>
      </c>
      <c r="D1121" s="3" t="s">
        <v>62</v>
      </c>
      <c r="E1121" s="6">
        <v>45406</v>
      </c>
      <c r="F1121" s="3" t="s">
        <v>19</v>
      </c>
      <c r="G1121" s="3">
        <v>5840</v>
      </c>
      <c r="H1121" s="3">
        <v>9839</v>
      </c>
      <c r="I1121" s="3">
        <v>3.91</v>
      </c>
      <c r="J1121" s="3">
        <v>21</v>
      </c>
      <c r="K1121" s="15" t="str">
        <f ca="1">IF(F1121="Enrolled",TODAY()-E1121,"0")</f>
        <v>0</v>
      </c>
      <c r="L1121" s="3" t="str">
        <f>IF(I1121&gt;=3.5,"Excellent",IF(I1121&gt;=3,"Good",IF(I1121&gt;=2,"Average","Poor")))</f>
        <v>Excellent</v>
      </c>
      <c r="M1121" s="3" t="str">
        <v>Dr.Sinha</v>
      </c>
      <c r="N1121" s="3" t="str">
        <f>IF(H1121 &gt; (G1121*50%), "Yes", "No")</f>
        <v>Yes</v>
      </c>
      <c r="O1121" s="16">
        <f>G1121-H1121</f>
        <v>-3999</v>
      </c>
      <c r="P1121" s="16">
        <f>SUMIFS(O1121:O1121,E1121:E1121,"Science",F1121:F1121,"Completed")</f>
        <v>0</v>
      </c>
      <c r="Q1121" s="3" t="str">
        <f>IF(MONTH(E1121)&gt;=7, YEAR(E1121)&amp;"-"&amp;YEAR(E1121)+1, YEAR(E1121)-1&amp;"-"&amp;YEAR(E1121))</f>
        <v>2023-2024</v>
      </c>
      <c r="R1121" s="3"/>
      <c r="S1121" s="3"/>
      <c r="T1121" s="15">
        <f t="shared" ca="1" si="17"/>
        <v>648</v>
      </c>
      <c r="U1121" s="3"/>
    </row>
    <row r="1122" spans="1:21" x14ac:dyDescent="0.35">
      <c r="A1122" s="3" t="s">
        <v>2265</v>
      </c>
      <c r="B1122" s="3" t="s">
        <v>2266</v>
      </c>
      <c r="C1122" s="3" t="s">
        <v>28</v>
      </c>
      <c r="D1122" s="3" t="s">
        <v>62</v>
      </c>
      <c r="E1122" s="6">
        <v>45288</v>
      </c>
      <c r="F1122" s="3" t="s">
        <v>19</v>
      </c>
      <c r="G1122" s="3">
        <v>11837</v>
      </c>
      <c r="H1122" s="3">
        <v>4235</v>
      </c>
      <c r="I1122" s="3">
        <v>3.73</v>
      </c>
      <c r="J1122" s="3">
        <v>67</v>
      </c>
      <c r="K1122" s="15" t="str">
        <f ca="1">IF(F1122="Enrolled",TODAY()-E1122,"0")</f>
        <v>0</v>
      </c>
      <c r="L1122" s="3" t="str">
        <f>IF(I1122&gt;=3.5,"Excellent",IF(I1122&gt;=3,"Good",IF(I1122&gt;=2,"Average","Poor")))</f>
        <v>Excellent</v>
      </c>
      <c r="M1122" s="3" t="str">
        <v>Dr.Sinha</v>
      </c>
      <c r="N1122" s="3" t="str">
        <f>IF(H1122 &gt; (G1122*50%), "Yes", "No")</f>
        <v>No</v>
      </c>
      <c r="O1122" s="16">
        <f>G1122-H1122</f>
        <v>7602</v>
      </c>
      <c r="P1122" s="16">
        <f>SUMIFS(O1122:O1122,E1122:E1122,"Science",F1122:F1122,"Completed")</f>
        <v>0</v>
      </c>
      <c r="Q1122" s="3" t="str">
        <f>IF(MONTH(E1122)&gt;=7, YEAR(E1122)&amp;"-"&amp;YEAR(E1122)+1, YEAR(E1122)-1&amp;"-"&amp;YEAR(E1122))</f>
        <v>2023-2024</v>
      </c>
      <c r="R1122" s="3"/>
      <c r="S1122" s="3"/>
      <c r="T1122" s="15">
        <f t="shared" ca="1" si="17"/>
        <v>766</v>
      </c>
      <c r="U1122" s="3"/>
    </row>
    <row r="1123" spans="1:21" x14ac:dyDescent="0.35">
      <c r="A1123" s="3" t="s">
        <v>2267</v>
      </c>
      <c r="B1123" s="3" t="s">
        <v>2268</v>
      </c>
      <c r="C1123" s="3" t="s">
        <v>57</v>
      </c>
      <c r="D1123" s="3" t="s">
        <v>31</v>
      </c>
      <c r="E1123" s="6">
        <v>45245</v>
      </c>
      <c r="F1123" s="3" t="s">
        <v>19</v>
      </c>
      <c r="G1123" s="3">
        <v>2593</v>
      </c>
      <c r="H1123" s="3">
        <v>3001</v>
      </c>
      <c r="I1123" s="3">
        <v>2.4</v>
      </c>
      <c r="J1123" s="3">
        <v>25</v>
      </c>
      <c r="K1123" s="15" t="str">
        <f ca="1">IF(F1123="Enrolled",TODAY()-E1123,"0")</f>
        <v>0</v>
      </c>
      <c r="L1123" s="3" t="str">
        <f>IF(I1123&gt;=3.5,"Excellent",IF(I1123&gt;=3,"Good",IF(I1123&gt;=2,"Average","Poor")))</f>
        <v>Average</v>
      </c>
      <c r="M1123" s="3" t="str">
        <v>Dr.Sharma</v>
      </c>
      <c r="N1123" s="3" t="str">
        <f>IF(H1123 &gt; (G1123*50%), "Yes", "No")</f>
        <v>Yes</v>
      </c>
      <c r="O1123" s="16">
        <f>G1123-H1123</f>
        <v>-408</v>
      </c>
      <c r="P1123" s="16">
        <f>SUMIFS(O1123:O1123,E1123:E1123,"Science",F1123:F1123,"Completed")</f>
        <v>0</v>
      </c>
      <c r="Q1123" s="3" t="str">
        <f>IF(MONTH(E1123)&gt;=7, YEAR(E1123)&amp;"-"&amp;YEAR(E1123)+1, YEAR(E1123)-1&amp;"-"&amp;YEAR(E1123))</f>
        <v>2023-2024</v>
      </c>
      <c r="R1123" s="3"/>
      <c r="S1123" s="3"/>
      <c r="T1123" s="15">
        <f t="shared" ca="1" si="17"/>
        <v>809</v>
      </c>
      <c r="U1123" s="3"/>
    </row>
    <row r="1124" spans="1:21" x14ac:dyDescent="0.35">
      <c r="A1124" s="3" t="s">
        <v>2269</v>
      </c>
      <c r="B1124" s="3" t="s">
        <v>2270</v>
      </c>
      <c r="C1124" s="3" t="s">
        <v>17</v>
      </c>
      <c r="D1124" s="3" t="s">
        <v>62</v>
      </c>
      <c r="E1124" s="6">
        <v>45222</v>
      </c>
      <c r="F1124" s="3" t="s">
        <v>14</v>
      </c>
      <c r="G1124" s="3">
        <v>4320</v>
      </c>
      <c r="H1124" s="3">
        <v>5243</v>
      </c>
      <c r="I1124" s="3">
        <v>4</v>
      </c>
      <c r="J1124" s="3">
        <v>67</v>
      </c>
      <c r="K1124" s="15">
        <f ca="1">IF(F1124="Enrolled",TODAY()-E1124,"0")</f>
        <v>832</v>
      </c>
      <c r="L1124" s="3" t="str">
        <f>IF(I1124&gt;=3.5,"Excellent",IF(I1124&gt;=3,"Good",IF(I1124&gt;=2,"Average","Poor")))</f>
        <v>Excellent</v>
      </c>
      <c r="M1124" s="3" t="str">
        <v>Dr.Sinha</v>
      </c>
      <c r="N1124" s="3" t="str">
        <f>IF(H1124 &gt; (G1124*50%), "Yes", "No")</f>
        <v>Yes</v>
      </c>
      <c r="O1124" s="16">
        <f>G1124-H1124</f>
        <v>-923</v>
      </c>
      <c r="P1124" s="16">
        <f>SUMIFS(O1124:O1124,E1124:E1124,"Science",F1124:F1124,"Completed")</f>
        <v>0</v>
      </c>
      <c r="Q1124" s="3" t="str">
        <f>IF(MONTH(E1124)&gt;=7, YEAR(E1124)&amp;"-"&amp;YEAR(E1124)+1, YEAR(E1124)-1&amp;"-"&amp;YEAR(E1124))</f>
        <v>2023-2024</v>
      </c>
      <c r="R1124" s="3"/>
      <c r="S1124" s="3"/>
      <c r="T1124" s="15" t="str">
        <f t="shared" ca="1" si="17"/>
        <v>0</v>
      </c>
      <c r="U1124" s="3"/>
    </row>
    <row r="1125" spans="1:21" x14ac:dyDescent="0.35">
      <c r="A1125" s="3" t="s">
        <v>2271</v>
      </c>
      <c r="B1125" s="3" t="s">
        <v>2272</v>
      </c>
      <c r="C1125" s="3" t="s">
        <v>17</v>
      </c>
      <c r="D1125" s="3" t="s">
        <v>13</v>
      </c>
      <c r="E1125" s="6">
        <v>44779</v>
      </c>
      <c r="F1125" s="3" t="s">
        <v>19</v>
      </c>
      <c r="G1125" s="3">
        <v>5074</v>
      </c>
      <c r="H1125" s="3">
        <v>3228</v>
      </c>
      <c r="I1125" s="3">
        <v>3.89</v>
      </c>
      <c r="J1125" s="3">
        <v>10</v>
      </c>
      <c r="K1125" s="15" t="str">
        <f ca="1">IF(F1125="Enrolled",TODAY()-E1125,"0")</f>
        <v>0</v>
      </c>
      <c r="L1125" s="3" t="str">
        <f>IF(I1125&gt;=3.5,"Excellent",IF(I1125&gt;=3,"Good",IF(I1125&gt;=2,"Average","Poor")))</f>
        <v>Excellent</v>
      </c>
      <c r="M1125" s="3" t="str">
        <v>Dr.Mehta</v>
      </c>
      <c r="N1125" s="3" t="str">
        <f>IF(H1125 &gt; (G1125*50%), "Yes", "No")</f>
        <v>Yes</v>
      </c>
      <c r="O1125" s="16">
        <f>G1125-H1125</f>
        <v>1846</v>
      </c>
      <c r="P1125" s="16">
        <f>SUMIFS(O1125:O1125,E1125:E1125,"Science",F1125:F1125,"Completed")</f>
        <v>0</v>
      </c>
      <c r="Q1125" s="3" t="str">
        <f>IF(MONTH(E1125)&gt;=7, YEAR(E1125)&amp;"-"&amp;YEAR(E1125)+1, YEAR(E1125)-1&amp;"-"&amp;YEAR(E1125))</f>
        <v>2022-2023</v>
      </c>
      <c r="R1125" s="3"/>
      <c r="S1125" s="3"/>
      <c r="T1125" s="15">
        <f t="shared" ca="1" si="17"/>
        <v>1275</v>
      </c>
      <c r="U1125" s="3"/>
    </row>
    <row r="1126" spans="1:21" x14ac:dyDescent="0.35">
      <c r="A1126" s="3" t="s">
        <v>2273</v>
      </c>
      <c r="B1126" s="3" t="s">
        <v>2274</v>
      </c>
      <c r="C1126" s="3" t="s">
        <v>17</v>
      </c>
      <c r="D1126" s="3" t="s">
        <v>62</v>
      </c>
      <c r="E1126" s="6">
        <v>45138</v>
      </c>
      <c r="F1126" s="3" t="s">
        <v>14</v>
      </c>
      <c r="G1126" s="3">
        <v>10173</v>
      </c>
      <c r="H1126" s="3">
        <v>2208</v>
      </c>
      <c r="I1126" s="3">
        <v>2.9</v>
      </c>
      <c r="J1126" s="3">
        <v>3</v>
      </c>
      <c r="K1126" s="15">
        <f ca="1">IF(F1126="Enrolled",TODAY()-E1126,"0")</f>
        <v>916</v>
      </c>
      <c r="L1126" s="3" t="str">
        <f>IF(I1126&gt;=3.5,"Excellent",IF(I1126&gt;=3,"Good",IF(I1126&gt;=2,"Average","Poor")))</f>
        <v>Average</v>
      </c>
      <c r="M1126" s="3" t="str">
        <v>Dr.Sinha</v>
      </c>
      <c r="N1126" s="3" t="str">
        <f>IF(H1126 &gt; (G1126*50%), "Yes", "No")</f>
        <v>No</v>
      </c>
      <c r="O1126" s="16">
        <f>G1126-H1126</f>
        <v>7965</v>
      </c>
      <c r="P1126" s="16">
        <f>SUMIFS(O1126:O1126,E1126:E1126,"Science",F1126:F1126,"Completed")</f>
        <v>0</v>
      </c>
      <c r="Q1126" s="3" t="str">
        <f>IF(MONTH(E1126)&gt;=7, YEAR(E1126)&amp;"-"&amp;YEAR(E1126)+1, YEAR(E1126)-1&amp;"-"&amp;YEAR(E1126))</f>
        <v>2023-2024</v>
      </c>
      <c r="R1126" s="3"/>
      <c r="S1126" s="3"/>
      <c r="T1126" s="15" t="str">
        <f t="shared" ca="1" si="17"/>
        <v>0</v>
      </c>
      <c r="U1126" s="3"/>
    </row>
    <row r="1127" spans="1:21" x14ac:dyDescent="0.35">
      <c r="A1127" s="3" t="s">
        <v>2275</v>
      </c>
      <c r="B1127" s="3" t="s">
        <v>2276</v>
      </c>
      <c r="C1127" s="3" t="s">
        <v>28</v>
      </c>
      <c r="D1127" s="3" t="s">
        <v>13</v>
      </c>
      <c r="E1127" s="6">
        <v>44684</v>
      </c>
      <c r="F1127" s="3" t="s">
        <v>19</v>
      </c>
      <c r="G1127" s="3">
        <v>12039</v>
      </c>
      <c r="H1127" s="3">
        <v>2849</v>
      </c>
      <c r="I1127" s="3">
        <v>2.93</v>
      </c>
      <c r="J1127" s="3">
        <v>4</v>
      </c>
      <c r="K1127" s="15" t="str">
        <f ca="1">IF(F1127="Enrolled",TODAY()-E1127,"0")</f>
        <v>0</v>
      </c>
      <c r="L1127" s="3" t="str">
        <f>IF(I1127&gt;=3.5,"Excellent",IF(I1127&gt;=3,"Good",IF(I1127&gt;=2,"Average","Poor")))</f>
        <v>Average</v>
      </c>
      <c r="M1127" s="3" t="str">
        <v>Dr.Mehta</v>
      </c>
      <c r="N1127" s="3" t="str">
        <f>IF(H1127 &gt; (G1127*50%), "Yes", "No")</f>
        <v>No</v>
      </c>
      <c r="O1127" s="16">
        <f>G1127-H1127</f>
        <v>9190</v>
      </c>
      <c r="P1127" s="16">
        <f>SUMIFS(O1127:O1127,E1127:E1127,"Science",F1127:F1127,"Completed")</f>
        <v>0</v>
      </c>
      <c r="Q1127" s="3" t="str">
        <f>IF(MONTH(E1127)&gt;=7, YEAR(E1127)&amp;"-"&amp;YEAR(E1127)+1, YEAR(E1127)-1&amp;"-"&amp;YEAR(E1127))</f>
        <v>2021-2022</v>
      </c>
      <c r="R1127" s="3"/>
      <c r="S1127" s="3"/>
      <c r="T1127" s="15">
        <f t="shared" ca="1" si="17"/>
        <v>1370</v>
      </c>
      <c r="U1127" s="3"/>
    </row>
    <row r="1128" spans="1:21" x14ac:dyDescent="0.35">
      <c r="A1128" s="3" t="s">
        <v>2277</v>
      </c>
      <c r="B1128" s="3" t="s">
        <v>2278</v>
      </c>
      <c r="C1128" s="3" t="s">
        <v>57</v>
      </c>
      <c r="D1128" s="3" t="s">
        <v>31</v>
      </c>
      <c r="E1128" s="6">
        <v>45172</v>
      </c>
      <c r="F1128" s="3" t="s">
        <v>14</v>
      </c>
      <c r="G1128" s="3">
        <v>9593</v>
      </c>
      <c r="H1128" s="3">
        <v>3437</v>
      </c>
      <c r="I1128" s="3">
        <v>3.75</v>
      </c>
      <c r="J1128" s="3">
        <v>117</v>
      </c>
      <c r="K1128" s="15">
        <f ca="1">IF(F1128="Enrolled",TODAY()-E1128,"0")</f>
        <v>882</v>
      </c>
      <c r="L1128" s="3" t="str">
        <f>IF(I1128&gt;=3.5,"Excellent",IF(I1128&gt;=3,"Good",IF(I1128&gt;=2,"Average","Poor")))</f>
        <v>Excellent</v>
      </c>
      <c r="M1128" s="3" t="str">
        <v>Dr.Sharma</v>
      </c>
      <c r="N1128" s="3" t="str">
        <f>IF(H1128 &gt; (G1128*50%), "Yes", "No")</f>
        <v>No</v>
      </c>
      <c r="O1128" s="16">
        <f>G1128-H1128</f>
        <v>6156</v>
      </c>
      <c r="P1128" s="16">
        <f>SUMIFS(O1128:O1128,E1128:E1128,"Science",F1128:F1128,"Completed")</f>
        <v>0</v>
      </c>
      <c r="Q1128" s="3" t="str">
        <f>IF(MONTH(E1128)&gt;=7, YEAR(E1128)&amp;"-"&amp;YEAR(E1128)+1, YEAR(E1128)-1&amp;"-"&amp;YEAR(E1128))</f>
        <v>2023-2024</v>
      </c>
      <c r="R1128" s="3"/>
      <c r="S1128" s="3"/>
      <c r="T1128" s="15" t="str">
        <f t="shared" ca="1" si="17"/>
        <v>0</v>
      </c>
      <c r="U1128" s="3"/>
    </row>
    <row r="1129" spans="1:21" x14ac:dyDescent="0.35">
      <c r="A1129" s="3" t="s">
        <v>2279</v>
      </c>
      <c r="B1129" s="3" t="s">
        <v>2280</v>
      </c>
      <c r="C1129" s="3" t="s">
        <v>57</v>
      </c>
      <c r="D1129" s="3" t="s">
        <v>31</v>
      </c>
      <c r="E1129" s="6">
        <v>44816</v>
      </c>
      <c r="F1129" s="3" t="s">
        <v>14</v>
      </c>
      <c r="G1129" s="3">
        <v>12305</v>
      </c>
      <c r="H1129" s="3">
        <v>4221</v>
      </c>
      <c r="I1129" s="3">
        <v>3.38</v>
      </c>
      <c r="J1129" s="3">
        <v>40</v>
      </c>
      <c r="K1129" s="15">
        <f ca="1">IF(F1129="Enrolled",TODAY()-E1129,"0")</f>
        <v>1238</v>
      </c>
      <c r="L1129" s="3" t="str">
        <f>IF(I1129&gt;=3.5,"Excellent",IF(I1129&gt;=3,"Good",IF(I1129&gt;=2,"Average","Poor")))</f>
        <v>Good</v>
      </c>
      <c r="M1129" s="3" t="str">
        <v>Dr.Sharma</v>
      </c>
      <c r="N1129" s="3" t="str">
        <f>IF(H1129 &gt; (G1129*50%), "Yes", "No")</f>
        <v>No</v>
      </c>
      <c r="O1129" s="16">
        <f>G1129-H1129</f>
        <v>8084</v>
      </c>
      <c r="P1129" s="16">
        <f>SUMIFS(O1129:O1129,E1129:E1129,"Science",F1129:F1129,"Completed")</f>
        <v>0</v>
      </c>
      <c r="Q1129" s="3" t="str">
        <f>IF(MONTH(E1129)&gt;=7, YEAR(E1129)&amp;"-"&amp;YEAR(E1129)+1, YEAR(E1129)-1&amp;"-"&amp;YEAR(E1129))</f>
        <v>2022-2023</v>
      </c>
      <c r="R1129" s="3"/>
      <c r="S1129" s="3"/>
      <c r="T1129" s="15" t="str">
        <f t="shared" ca="1" si="17"/>
        <v>0</v>
      </c>
      <c r="U1129" s="3"/>
    </row>
    <row r="1130" spans="1:21" x14ac:dyDescent="0.35">
      <c r="A1130" s="3" t="s">
        <v>2281</v>
      </c>
      <c r="B1130" s="3" t="s">
        <v>2282</v>
      </c>
      <c r="C1130" s="3" t="s">
        <v>17</v>
      </c>
      <c r="D1130" s="3" t="s">
        <v>62</v>
      </c>
      <c r="E1130" s="6">
        <v>45196</v>
      </c>
      <c r="F1130" s="3" t="s">
        <v>14</v>
      </c>
      <c r="G1130" s="3">
        <v>10591</v>
      </c>
      <c r="H1130" s="3">
        <v>8903</v>
      </c>
      <c r="I1130" s="3">
        <v>3.69</v>
      </c>
      <c r="J1130" s="3">
        <v>106</v>
      </c>
      <c r="K1130" s="15">
        <f ca="1">IF(F1130="Enrolled",TODAY()-E1130,"0")</f>
        <v>858</v>
      </c>
      <c r="L1130" s="3" t="str">
        <f>IF(I1130&gt;=3.5,"Excellent",IF(I1130&gt;=3,"Good",IF(I1130&gt;=2,"Average","Poor")))</f>
        <v>Excellent</v>
      </c>
      <c r="M1130" s="3" t="str">
        <v>Dr.Sinha</v>
      </c>
      <c r="N1130" s="3" t="str">
        <f>IF(H1130 &gt; (G1130*50%), "Yes", "No")</f>
        <v>Yes</v>
      </c>
      <c r="O1130" s="16">
        <f>G1130-H1130</f>
        <v>1688</v>
      </c>
      <c r="P1130" s="16">
        <f>SUMIFS(O1130:O1130,E1130:E1130,"Science",F1130:F1130,"Completed")</f>
        <v>0</v>
      </c>
      <c r="Q1130" s="3" t="str">
        <f>IF(MONTH(E1130)&gt;=7, YEAR(E1130)&amp;"-"&amp;YEAR(E1130)+1, YEAR(E1130)-1&amp;"-"&amp;YEAR(E1130))</f>
        <v>2023-2024</v>
      </c>
      <c r="R1130" s="3"/>
      <c r="S1130" s="3"/>
      <c r="T1130" s="15" t="str">
        <f t="shared" ca="1" si="17"/>
        <v>0</v>
      </c>
      <c r="U1130" s="3"/>
    </row>
    <row r="1131" spans="1:21" x14ac:dyDescent="0.35">
      <c r="A1131" s="3" t="s">
        <v>2283</v>
      </c>
      <c r="B1131" s="3" t="s">
        <v>2284</v>
      </c>
      <c r="C1131" s="3" t="s">
        <v>36</v>
      </c>
      <c r="D1131" s="3" t="s">
        <v>62</v>
      </c>
      <c r="E1131" s="6">
        <v>45199</v>
      </c>
      <c r="F1131" s="3" t="s">
        <v>14</v>
      </c>
      <c r="G1131" s="3">
        <v>7321</v>
      </c>
      <c r="H1131" s="3">
        <v>2534</v>
      </c>
      <c r="I1131" s="3">
        <v>3.52</v>
      </c>
      <c r="J1131" s="3">
        <v>33</v>
      </c>
      <c r="K1131" s="15">
        <f ca="1">IF(F1131="Enrolled",TODAY()-E1131,"0")</f>
        <v>855</v>
      </c>
      <c r="L1131" s="3" t="str">
        <f>IF(I1131&gt;=3.5,"Excellent",IF(I1131&gt;=3,"Good",IF(I1131&gt;=2,"Average","Poor")))</f>
        <v>Excellent</v>
      </c>
      <c r="M1131" s="3" t="str">
        <v>Dr.Sinha</v>
      </c>
      <c r="N1131" s="3" t="str">
        <f>IF(H1131 &gt; (G1131*50%), "Yes", "No")</f>
        <v>No</v>
      </c>
      <c r="O1131" s="16">
        <f>G1131-H1131</f>
        <v>4787</v>
      </c>
      <c r="P1131" s="16">
        <f>SUMIFS(O1131:O1131,E1131:E1131,"Science",F1131:F1131,"Completed")</f>
        <v>0</v>
      </c>
      <c r="Q1131" s="3" t="str">
        <f>IF(MONTH(E1131)&gt;=7, YEAR(E1131)&amp;"-"&amp;YEAR(E1131)+1, YEAR(E1131)-1&amp;"-"&amp;YEAR(E1131))</f>
        <v>2023-2024</v>
      </c>
      <c r="R1131" s="3"/>
      <c r="S1131" s="3"/>
      <c r="T1131" s="15" t="str">
        <f t="shared" ca="1" si="17"/>
        <v>0</v>
      </c>
      <c r="U1131" s="3"/>
    </row>
    <row r="1132" spans="1:21" x14ac:dyDescent="0.35">
      <c r="A1132" s="3" t="s">
        <v>2285</v>
      </c>
      <c r="B1132" s="3" t="s">
        <v>2286</v>
      </c>
      <c r="C1132" s="3" t="s">
        <v>17</v>
      </c>
      <c r="D1132" s="3" t="s">
        <v>31</v>
      </c>
      <c r="E1132" s="6">
        <v>45234</v>
      </c>
      <c r="F1132" s="3" t="s">
        <v>14</v>
      </c>
      <c r="G1132" s="3">
        <v>7742</v>
      </c>
      <c r="H1132" s="3">
        <v>3650</v>
      </c>
      <c r="I1132" s="3">
        <v>3.42</v>
      </c>
      <c r="J1132" s="3">
        <v>60</v>
      </c>
      <c r="K1132" s="15">
        <f ca="1">IF(F1132="Enrolled",TODAY()-E1132,"0")</f>
        <v>820</v>
      </c>
      <c r="L1132" s="3" t="str">
        <f>IF(I1132&gt;=3.5,"Excellent",IF(I1132&gt;=3,"Good",IF(I1132&gt;=2,"Average","Poor")))</f>
        <v>Good</v>
      </c>
      <c r="M1132" s="3" t="str">
        <v>Dr.Sharma</v>
      </c>
      <c r="N1132" s="3" t="str">
        <f>IF(H1132 &gt; (G1132*50%), "Yes", "No")</f>
        <v>No</v>
      </c>
      <c r="O1132" s="16">
        <f>G1132-H1132</f>
        <v>4092</v>
      </c>
      <c r="P1132" s="16">
        <f>SUMIFS(O1132:O1132,E1132:E1132,"Science",F1132:F1132,"Completed")</f>
        <v>0</v>
      </c>
      <c r="Q1132" s="3" t="str">
        <f>IF(MONTH(E1132)&gt;=7, YEAR(E1132)&amp;"-"&amp;YEAR(E1132)+1, YEAR(E1132)-1&amp;"-"&amp;YEAR(E1132))</f>
        <v>2023-2024</v>
      </c>
      <c r="R1132" s="3"/>
      <c r="S1132" s="3"/>
      <c r="T1132" s="15" t="str">
        <f t="shared" ca="1" si="17"/>
        <v>0</v>
      </c>
      <c r="U1132" s="3"/>
    </row>
    <row r="1133" spans="1:21" x14ac:dyDescent="0.35">
      <c r="A1133" s="3" t="s">
        <v>2287</v>
      </c>
      <c r="B1133" s="3" t="s">
        <v>2288</v>
      </c>
      <c r="C1133" s="3" t="s">
        <v>25</v>
      </c>
      <c r="D1133" s="3" t="s">
        <v>31</v>
      </c>
      <c r="E1133" s="6">
        <v>45371</v>
      </c>
      <c r="F1133" s="3" t="s">
        <v>14</v>
      </c>
      <c r="G1133" s="3">
        <v>11854</v>
      </c>
      <c r="H1133" s="3">
        <v>1254</v>
      </c>
      <c r="I1133" s="3">
        <v>3.76</v>
      </c>
      <c r="J1133" s="3">
        <v>1</v>
      </c>
      <c r="K1133" s="15">
        <f ca="1">IF(F1133="Enrolled",TODAY()-E1133,"0")</f>
        <v>683</v>
      </c>
      <c r="L1133" s="3" t="str">
        <f>IF(I1133&gt;=3.5,"Excellent",IF(I1133&gt;=3,"Good",IF(I1133&gt;=2,"Average","Poor")))</f>
        <v>Excellent</v>
      </c>
      <c r="M1133" s="3" t="str">
        <v>Dr.Sharma</v>
      </c>
      <c r="N1133" s="3" t="str">
        <f>IF(H1133 &gt; (G1133*50%), "Yes", "No")</f>
        <v>No</v>
      </c>
      <c r="O1133" s="16">
        <f>G1133-H1133</f>
        <v>10600</v>
      </c>
      <c r="P1133" s="16">
        <f>SUMIFS(O1133:O1133,E1133:E1133,"Science",F1133:F1133,"Completed")</f>
        <v>0</v>
      </c>
      <c r="Q1133" s="3" t="str">
        <f>IF(MONTH(E1133)&gt;=7, YEAR(E1133)&amp;"-"&amp;YEAR(E1133)+1, YEAR(E1133)-1&amp;"-"&amp;YEAR(E1133))</f>
        <v>2023-2024</v>
      </c>
      <c r="R1133" s="3"/>
      <c r="S1133" s="3"/>
      <c r="T1133" s="15" t="str">
        <f t="shared" ca="1" si="17"/>
        <v>0</v>
      </c>
      <c r="U1133" s="3"/>
    </row>
    <row r="1134" spans="1:21" x14ac:dyDescent="0.35">
      <c r="A1134" s="3" t="s">
        <v>2289</v>
      </c>
      <c r="B1134" s="3" t="s">
        <v>2290</v>
      </c>
      <c r="C1134" s="3" t="s">
        <v>25</v>
      </c>
      <c r="D1134" s="3" t="s">
        <v>62</v>
      </c>
      <c r="E1134" s="6">
        <v>44982</v>
      </c>
      <c r="F1134" s="3" t="s">
        <v>39</v>
      </c>
      <c r="G1134" s="3">
        <v>3324</v>
      </c>
      <c r="H1134" s="3">
        <v>6168</v>
      </c>
      <c r="I1134" s="3">
        <v>3.97</v>
      </c>
      <c r="J1134" s="3">
        <v>54</v>
      </c>
      <c r="K1134" s="15" t="str">
        <f ca="1">IF(F1134="Enrolled",TODAY()-E1134,"0")</f>
        <v>0</v>
      </c>
      <c r="L1134" s="3" t="str">
        <f>IF(I1134&gt;=3.5,"Excellent",IF(I1134&gt;=3,"Good",IF(I1134&gt;=2,"Average","Poor")))</f>
        <v>Excellent</v>
      </c>
      <c r="M1134" s="3" t="str">
        <v>Dr.Sinha</v>
      </c>
      <c r="N1134" s="3" t="str">
        <f>IF(H1134 &gt; (G1134*50%), "Yes", "No")</f>
        <v>Yes</v>
      </c>
      <c r="O1134" s="16">
        <f>G1134-H1134</f>
        <v>-2844</v>
      </c>
      <c r="P1134" s="16">
        <f>SUMIFS(O1134:O1134,E1134:E1134,"Science",F1134:F1134,"Completed")</f>
        <v>0</v>
      </c>
      <c r="Q1134" s="3" t="str">
        <f>IF(MONTH(E1134)&gt;=7, YEAR(E1134)&amp;"-"&amp;YEAR(E1134)+1, YEAR(E1134)-1&amp;"-"&amp;YEAR(E1134))</f>
        <v>2022-2023</v>
      </c>
      <c r="R1134" s="3"/>
      <c r="S1134" s="3"/>
      <c r="T1134" s="15" t="str">
        <f t="shared" ca="1" si="17"/>
        <v>0</v>
      </c>
      <c r="U1134" s="3"/>
    </row>
    <row r="1135" spans="1:21" x14ac:dyDescent="0.35">
      <c r="A1135" s="3" t="s">
        <v>2291</v>
      </c>
      <c r="B1135" s="3" t="s">
        <v>2292</v>
      </c>
      <c r="C1135" s="3" t="s">
        <v>17</v>
      </c>
      <c r="D1135" s="3" t="s">
        <v>62</v>
      </c>
      <c r="E1135" s="6">
        <v>45381</v>
      </c>
      <c r="F1135" s="3" t="s">
        <v>14</v>
      </c>
      <c r="G1135" s="3">
        <v>6655</v>
      </c>
      <c r="H1135" s="3">
        <v>8989</v>
      </c>
      <c r="I1135" s="3">
        <v>3.86</v>
      </c>
      <c r="J1135" s="3">
        <v>82</v>
      </c>
      <c r="K1135" s="15">
        <f ca="1">IF(F1135="Enrolled",TODAY()-E1135,"0")</f>
        <v>673</v>
      </c>
      <c r="L1135" s="3" t="str">
        <f>IF(I1135&gt;=3.5,"Excellent",IF(I1135&gt;=3,"Good",IF(I1135&gt;=2,"Average","Poor")))</f>
        <v>Excellent</v>
      </c>
      <c r="M1135" s="3" t="str">
        <v>Dr.Sinha</v>
      </c>
      <c r="N1135" s="3" t="str">
        <f>IF(H1135 &gt; (G1135*50%), "Yes", "No")</f>
        <v>Yes</v>
      </c>
      <c r="O1135" s="16">
        <f>G1135-H1135</f>
        <v>-2334</v>
      </c>
      <c r="P1135" s="16">
        <f>SUMIFS(O1135:O1135,E1135:E1135,"Science",F1135:F1135,"Completed")</f>
        <v>0</v>
      </c>
      <c r="Q1135" s="3" t="str">
        <f>IF(MONTH(E1135)&gt;=7, YEAR(E1135)&amp;"-"&amp;YEAR(E1135)+1, YEAR(E1135)-1&amp;"-"&amp;YEAR(E1135))</f>
        <v>2023-2024</v>
      </c>
      <c r="R1135" s="3"/>
      <c r="S1135" s="3"/>
      <c r="T1135" s="15" t="str">
        <f t="shared" ca="1" si="17"/>
        <v>0</v>
      </c>
      <c r="U1135" s="3"/>
    </row>
    <row r="1136" spans="1:21" x14ac:dyDescent="0.35">
      <c r="A1136" s="3" t="s">
        <v>2293</v>
      </c>
      <c r="B1136" s="3" t="s">
        <v>2294</v>
      </c>
      <c r="C1136" s="3" t="s">
        <v>36</v>
      </c>
      <c r="D1136" s="3" t="s">
        <v>13</v>
      </c>
      <c r="E1136" s="6">
        <v>44571</v>
      </c>
      <c r="F1136" s="3" t="s">
        <v>14</v>
      </c>
      <c r="G1136" s="3">
        <v>6724</v>
      </c>
      <c r="H1136" s="3">
        <v>1796</v>
      </c>
      <c r="I1136" s="3">
        <v>3.56</v>
      </c>
      <c r="J1136" s="3">
        <v>9</v>
      </c>
      <c r="K1136" s="15">
        <f ca="1">IF(F1136="Enrolled",TODAY()-E1136,"0")</f>
        <v>1483</v>
      </c>
      <c r="L1136" s="3" t="str">
        <f>IF(I1136&gt;=3.5,"Excellent",IF(I1136&gt;=3,"Good",IF(I1136&gt;=2,"Average","Poor")))</f>
        <v>Excellent</v>
      </c>
      <c r="M1136" s="3" t="str">
        <v>Dr.Mehta</v>
      </c>
      <c r="N1136" s="3" t="str">
        <f>IF(H1136 &gt; (G1136*50%), "Yes", "No")</f>
        <v>No</v>
      </c>
      <c r="O1136" s="16">
        <f>G1136-H1136</f>
        <v>4928</v>
      </c>
      <c r="P1136" s="16">
        <f>SUMIFS(O1136:O1136,E1136:E1136,"Science",F1136:F1136,"Completed")</f>
        <v>0</v>
      </c>
      <c r="Q1136" s="3" t="str">
        <f>IF(MONTH(E1136)&gt;=7, YEAR(E1136)&amp;"-"&amp;YEAR(E1136)+1, YEAR(E1136)-1&amp;"-"&amp;YEAR(E1136))</f>
        <v>2021-2022</v>
      </c>
      <c r="R1136" s="3"/>
      <c r="S1136" s="3"/>
      <c r="T1136" s="15" t="str">
        <f t="shared" ca="1" si="17"/>
        <v>0</v>
      </c>
      <c r="U1136" s="3"/>
    </row>
    <row r="1137" spans="1:21" x14ac:dyDescent="0.35">
      <c r="A1137" s="3" t="s">
        <v>2295</v>
      </c>
      <c r="B1137" s="3" t="s">
        <v>2296</v>
      </c>
      <c r="C1137" s="3" t="s">
        <v>57</v>
      </c>
      <c r="D1137" s="3" t="s">
        <v>62</v>
      </c>
      <c r="E1137" s="6">
        <v>45323</v>
      </c>
      <c r="F1137" s="3" t="s">
        <v>19</v>
      </c>
      <c r="G1137" s="3">
        <v>7277</v>
      </c>
      <c r="H1137" s="3">
        <v>7758</v>
      </c>
      <c r="I1137" s="3">
        <v>3.04</v>
      </c>
      <c r="J1137" s="3">
        <v>0</v>
      </c>
      <c r="K1137" s="15" t="str">
        <f ca="1">IF(F1137="Enrolled",TODAY()-E1137,"0")</f>
        <v>0</v>
      </c>
      <c r="L1137" s="3" t="str">
        <f>IF(I1137&gt;=3.5,"Excellent",IF(I1137&gt;=3,"Good",IF(I1137&gt;=2,"Average","Poor")))</f>
        <v>Good</v>
      </c>
      <c r="M1137" s="3" t="str">
        <v>Dr.Sinha</v>
      </c>
      <c r="N1137" s="3" t="str">
        <f>IF(H1137 &gt; (G1137*50%), "Yes", "No")</f>
        <v>Yes</v>
      </c>
      <c r="O1137" s="16">
        <f>G1137-H1137</f>
        <v>-481</v>
      </c>
      <c r="P1137" s="16">
        <f>SUMIFS(O1137:O1137,E1137:E1137,"Science",F1137:F1137,"Completed")</f>
        <v>0</v>
      </c>
      <c r="Q1137" s="3" t="str">
        <f>IF(MONTH(E1137)&gt;=7, YEAR(E1137)&amp;"-"&amp;YEAR(E1137)+1, YEAR(E1137)-1&amp;"-"&amp;YEAR(E1137))</f>
        <v>2023-2024</v>
      </c>
      <c r="R1137" s="3"/>
      <c r="S1137" s="3"/>
      <c r="T1137" s="15">
        <f t="shared" ca="1" si="17"/>
        <v>731</v>
      </c>
      <c r="U1137" s="3"/>
    </row>
    <row r="1138" spans="1:21" x14ac:dyDescent="0.35">
      <c r="A1138" s="3" t="s">
        <v>2297</v>
      </c>
      <c r="B1138" s="3" t="s">
        <v>2298</v>
      </c>
      <c r="C1138" s="3" t="s">
        <v>25</v>
      </c>
      <c r="D1138" s="3" t="s">
        <v>31</v>
      </c>
      <c r="E1138" s="6">
        <v>44637</v>
      </c>
      <c r="F1138" s="3" t="s">
        <v>14</v>
      </c>
      <c r="G1138" s="3">
        <v>10295</v>
      </c>
      <c r="H1138" s="3">
        <v>4718</v>
      </c>
      <c r="I1138" s="3">
        <v>2.93</v>
      </c>
      <c r="J1138" s="3">
        <v>80</v>
      </c>
      <c r="K1138" s="15">
        <f ca="1">IF(F1138="Enrolled",TODAY()-E1138,"0")</f>
        <v>1417</v>
      </c>
      <c r="L1138" s="3" t="str">
        <f>IF(I1138&gt;=3.5,"Excellent",IF(I1138&gt;=3,"Good",IF(I1138&gt;=2,"Average","Poor")))</f>
        <v>Average</v>
      </c>
      <c r="M1138" s="3" t="str">
        <v>Dr.Sharma</v>
      </c>
      <c r="N1138" s="3" t="str">
        <f>IF(H1138 &gt; (G1138*50%), "Yes", "No")</f>
        <v>No</v>
      </c>
      <c r="O1138" s="16">
        <f>G1138-H1138</f>
        <v>5577</v>
      </c>
      <c r="P1138" s="16">
        <f>SUMIFS(O1138:O1138,E1138:E1138,"Science",F1138:F1138,"Completed")</f>
        <v>0</v>
      </c>
      <c r="Q1138" s="3" t="str">
        <f>IF(MONTH(E1138)&gt;=7, YEAR(E1138)&amp;"-"&amp;YEAR(E1138)+1, YEAR(E1138)-1&amp;"-"&amp;YEAR(E1138))</f>
        <v>2021-2022</v>
      </c>
      <c r="R1138" s="3"/>
      <c r="S1138" s="3"/>
      <c r="T1138" s="15" t="str">
        <f t="shared" ca="1" si="17"/>
        <v>0</v>
      </c>
      <c r="U1138" s="3"/>
    </row>
    <row r="1139" spans="1:21" x14ac:dyDescent="0.35">
      <c r="A1139" s="3" t="s">
        <v>2299</v>
      </c>
      <c r="B1139" s="3" t="s">
        <v>2300</v>
      </c>
      <c r="C1139" s="3" t="s">
        <v>22</v>
      </c>
      <c r="D1139" s="3" t="s">
        <v>31</v>
      </c>
      <c r="E1139" s="6">
        <v>44600</v>
      </c>
      <c r="F1139" s="3" t="s">
        <v>14</v>
      </c>
      <c r="G1139" s="3">
        <v>14993</v>
      </c>
      <c r="H1139" s="3">
        <v>3599</v>
      </c>
      <c r="I1139" s="3">
        <v>2.61</v>
      </c>
      <c r="J1139" s="3">
        <v>47</v>
      </c>
      <c r="K1139" s="15">
        <f ca="1">IF(F1139="Enrolled",TODAY()-E1139,"0")</f>
        <v>1454</v>
      </c>
      <c r="L1139" s="3" t="str">
        <f>IF(I1139&gt;=3.5,"Excellent",IF(I1139&gt;=3,"Good",IF(I1139&gt;=2,"Average","Poor")))</f>
        <v>Average</v>
      </c>
      <c r="M1139" s="3" t="str">
        <v>Dr.Sharma</v>
      </c>
      <c r="N1139" s="3" t="str">
        <f>IF(H1139 &gt; (G1139*50%), "Yes", "No")</f>
        <v>No</v>
      </c>
      <c r="O1139" s="16">
        <f>G1139-H1139</f>
        <v>11394</v>
      </c>
      <c r="P1139" s="16">
        <f>SUMIFS(O1139:O1139,E1139:E1139,"Science",F1139:F1139,"Completed")</f>
        <v>0</v>
      </c>
      <c r="Q1139" s="3" t="str">
        <f>IF(MONTH(E1139)&gt;=7, YEAR(E1139)&amp;"-"&amp;YEAR(E1139)+1, YEAR(E1139)-1&amp;"-"&amp;YEAR(E1139))</f>
        <v>2021-2022</v>
      </c>
      <c r="R1139" s="3"/>
      <c r="S1139" s="3"/>
      <c r="T1139" s="15" t="str">
        <f t="shared" ca="1" si="17"/>
        <v>0</v>
      </c>
      <c r="U1139" s="3"/>
    </row>
    <row r="1140" spans="1:21" x14ac:dyDescent="0.35">
      <c r="A1140" s="3" t="s">
        <v>2301</v>
      </c>
      <c r="B1140" s="3" t="s">
        <v>2302</v>
      </c>
      <c r="C1140" s="3" t="s">
        <v>17</v>
      </c>
      <c r="D1140" s="3" t="s">
        <v>62</v>
      </c>
      <c r="E1140" s="6">
        <v>45284</v>
      </c>
      <c r="F1140" s="3" t="s">
        <v>14</v>
      </c>
      <c r="G1140" s="3">
        <v>4493</v>
      </c>
      <c r="H1140" s="3">
        <v>7576</v>
      </c>
      <c r="I1140" s="3">
        <v>2.69</v>
      </c>
      <c r="J1140" s="3">
        <v>99</v>
      </c>
      <c r="K1140" s="15">
        <f ca="1">IF(F1140="Enrolled",TODAY()-E1140,"0")</f>
        <v>770</v>
      </c>
      <c r="L1140" s="3" t="str">
        <f>IF(I1140&gt;=3.5,"Excellent",IF(I1140&gt;=3,"Good",IF(I1140&gt;=2,"Average","Poor")))</f>
        <v>Average</v>
      </c>
      <c r="M1140" s="3" t="str">
        <v>Dr.Sinha</v>
      </c>
      <c r="N1140" s="3" t="str">
        <f>IF(H1140 &gt; (G1140*50%), "Yes", "No")</f>
        <v>Yes</v>
      </c>
      <c r="O1140" s="16">
        <f>G1140-H1140</f>
        <v>-3083</v>
      </c>
      <c r="P1140" s="16">
        <f>SUMIFS(O1140:O1140,E1140:E1140,"Science",F1140:F1140,"Completed")</f>
        <v>0</v>
      </c>
      <c r="Q1140" s="3" t="str">
        <f>IF(MONTH(E1140)&gt;=7, YEAR(E1140)&amp;"-"&amp;YEAR(E1140)+1, YEAR(E1140)-1&amp;"-"&amp;YEAR(E1140))</f>
        <v>2023-2024</v>
      </c>
      <c r="R1140" s="3"/>
      <c r="S1140" s="3"/>
      <c r="T1140" s="15" t="str">
        <f t="shared" ca="1" si="17"/>
        <v>0</v>
      </c>
      <c r="U1140" s="3"/>
    </row>
    <row r="1141" spans="1:21" x14ac:dyDescent="0.35">
      <c r="A1141" s="3" t="s">
        <v>2303</v>
      </c>
      <c r="B1141" s="3" t="s">
        <v>2304</v>
      </c>
      <c r="C1141" s="3" t="s">
        <v>12</v>
      </c>
      <c r="D1141" s="3" t="s">
        <v>31</v>
      </c>
      <c r="E1141" s="6">
        <v>45010</v>
      </c>
      <c r="F1141" s="3" t="s">
        <v>14</v>
      </c>
      <c r="G1141" s="3">
        <v>6908</v>
      </c>
      <c r="H1141" s="3">
        <v>4097</v>
      </c>
      <c r="I1141" s="3">
        <v>3.41</v>
      </c>
      <c r="J1141" s="3">
        <v>65</v>
      </c>
      <c r="K1141" s="15">
        <f ca="1">IF(F1141="Enrolled",TODAY()-E1141,"0")</f>
        <v>1044</v>
      </c>
      <c r="L1141" s="3" t="str">
        <f>IF(I1141&gt;=3.5,"Excellent",IF(I1141&gt;=3,"Good",IF(I1141&gt;=2,"Average","Poor")))</f>
        <v>Good</v>
      </c>
      <c r="M1141" s="3" t="str">
        <v>Dr.Sharma</v>
      </c>
      <c r="N1141" s="3" t="str">
        <f>IF(H1141 &gt; (G1141*50%), "Yes", "No")</f>
        <v>Yes</v>
      </c>
      <c r="O1141" s="16">
        <f>G1141-H1141</f>
        <v>2811</v>
      </c>
      <c r="P1141" s="16">
        <f>SUMIFS(O1141:O1141,E1141:E1141,"Science",F1141:F1141,"Completed")</f>
        <v>0</v>
      </c>
      <c r="Q1141" s="3" t="str">
        <f>IF(MONTH(E1141)&gt;=7, YEAR(E1141)&amp;"-"&amp;YEAR(E1141)+1, YEAR(E1141)-1&amp;"-"&amp;YEAR(E1141))</f>
        <v>2022-2023</v>
      </c>
      <c r="R1141" s="3"/>
      <c r="S1141" s="3"/>
      <c r="T1141" s="15" t="str">
        <f t="shared" ca="1" si="17"/>
        <v>0</v>
      </c>
      <c r="U1141" s="3"/>
    </row>
    <row r="1142" spans="1:21" x14ac:dyDescent="0.35">
      <c r="A1142" s="3" t="s">
        <v>2305</v>
      </c>
      <c r="B1142" s="3" t="s">
        <v>2306</v>
      </c>
      <c r="C1142" s="3" t="s">
        <v>57</v>
      </c>
      <c r="D1142" s="3" t="s">
        <v>31</v>
      </c>
      <c r="E1142" s="6">
        <v>44727</v>
      </c>
      <c r="F1142" s="3" t="s">
        <v>14</v>
      </c>
      <c r="G1142" s="3">
        <v>13292</v>
      </c>
      <c r="H1142" s="3">
        <v>1593</v>
      </c>
      <c r="I1142" s="3">
        <v>3.54</v>
      </c>
      <c r="J1142" s="3">
        <v>72</v>
      </c>
      <c r="K1142" s="15">
        <f ca="1">IF(F1142="Enrolled",TODAY()-E1142,"0")</f>
        <v>1327</v>
      </c>
      <c r="L1142" s="3" t="str">
        <f>IF(I1142&gt;=3.5,"Excellent",IF(I1142&gt;=3,"Good",IF(I1142&gt;=2,"Average","Poor")))</f>
        <v>Excellent</v>
      </c>
      <c r="M1142" s="3" t="str">
        <v>Dr.Sharma</v>
      </c>
      <c r="N1142" s="3" t="str">
        <f>IF(H1142 &gt; (G1142*50%), "Yes", "No")</f>
        <v>No</v>
      </c>
      <c r="O1142" s="16">
        <f>G1142-H1142</f>
        <v>11699</v>
      </c>
      <c r="P1142" s="16">
        <f>SUMIFS(O1142:O1142,E1142:E1142,"Science",F1142:F1142,"Completed")</f>
        <v>0</v>
      </c>
      <c r="Q1142" s="3" t="str">
        <f>IF(MONTH(E1142)&gt;=7, YEAR(E1142)&amp;"-"&amp;YEAR(E1142)+1, YEAR(E1142)-1&amp;"-"&amp;YEAR(E1142))</f>
        <v>2021-2022</v>
      </c>
      <c r="R1142" s="3"/>
      <c r="S1142" s="3"/>
      <c r="T1142" s="15" t="str">
        <f t="shared" ca="1" si="17"/>
        <v>0</v>
      </c>
      <c r="U1142" s="3"/>
    </row>
    <row r="1143" spans="1:21" x14ac:dyDescent="0.35">
      <c r="A1143" s="3" t="s">
        <v>2307</v>
      </c>
      <c r="B1143" s="3" t="s">
        <v>2308</v>
      </c>
      <c r="C1143" s="3" t="s">
        <v>54</v>
      </c>
      <c r="D1143" s="3" t="s">
        <v>31</v>
      </c>
      <c r="E1143" s="6">
        <v>45363</v>
      </c>
      <c r="F1143" s="3" t="s">
        <v>14</v>
      </c>
      <c r="G1143" s="3">
        <v>14486</v>
      </c>
      <c r="H1143" s="3">
        <v>3971</v>
      </c>
      <c r="I1143" s="3">
        <v>3.31</v>
      </c>
      <c r="J1143" s="3">
        <v>97</v>
      </c>
      <c r="K1143" s="15">
        <f ca="1">IF(F1143="Enrolled",TODAY()-E1143,"0")</f>
        <v>691</v>
      </c>
      <c r="L1143" s="3" t="str">
        <f>IF(I1143&gt;=3.5,"Excellent",IF(I1143&gt;=3,"Good",IF(I1143&gt;=2,"Average","Poor")))</f>
        <v>Good</v>
      </c>
      <c r="M1143" s="3" t="str">
        <v>Dr.Sharma</v>
      </c>
      <c r="N1143" s="3" t="str">
        <f>IF(H1143 &gt; (G1143*50%), "Yes", "No")</f>
        <v>No</v>
      </c>
      <c r="O1143" s="16">
        <f>G1143-H1143</f>
        <v>10515</v>
      </c>
      <c r="P1143" s="16">
        <f>SUMIFS(O1143:O1143,E1143:E1143,"Science",F1143:F1143,"Completed")</f>
        <v>0</v>
      </c>
      <c r="Q1143" s="3" t="str">
        <f>IF(MONTH(E1143)&gt;=7, YEAR(E1143)&amp;"-"&amp;YEAR(E1143)+1, YEAR(E1143)-1&amp;"-"&amp;YEAR(E1143))</f>
        <v>2023-2024</v>
      </c>
      <c r="R1143" s="3"/>
      <c r="S1143" s="3"/>
      <c r="T1143" s="15" t="str">
        <f t="shared" ca="1" si="17"/>
        <v>0</v>
      </c>
      <c r="U1143" s="3"/>
    </row>
    <row r="1144" spans="1:21" x14ac:dyDescent="0.35">
      <c r="A1144" s="3" t="s">
        <v>2309</v>
      </c>
      <c r="B1144" s="3" t="s">
        <v>2310</v>
      </c>
      <c r="C1144" s="3" t="s">
        <v>25</v>
      </c>
      <c r="D1144" s="3" t="s">
        <v>18</v>
      </c>
      <c r="E1144" s="6">
        <v>45441</v>
      </c>
      <c r="F1144" s="3" t="s">
        <v>19</v>
      </c>
      <c r="G1144" s="3">
        <v>9401</v>
      </c>
      <c r="H1144" s="3">
        <v>6397</v>
      </c>
      <c r="I1144" s="3">
        <v>3.79</v>
      </c>
      <c r="J1144" s="3">
        <v>99</v>
      </c>
      <c r="K1144" s="15" t="str">
        <f ca="1">IF(F1144="Enrolled",TODAY()-E1144,"0")</f>
        <v>0</v>
      </c>
      <c r="L1144" s="3" t="str">
        <f>IF(I1144&gt;=3.5,"Excellent",IF(I1144&gt;=3,"Good",IF(I1144&gt;=2,"Average","Poor")))</f>
        <v>Excellent</v>
      </c>
      <c r="M1144" s="3" t="str">
        <v>Dr.Roy</v>
      </c>
      <c r="N1144" s="3" t="str">
        <f>IF(H1144 &gt; (G1144*50%), "Yes", "No")</f>
        <v>Yes</v>
      </c>
      <c r="O1144" s="16">
        <f>G1144-H1144</f>
        <v>3004</v>
      </c>
      <c r="P1144" s="16">
        <f>SUMIFS(O1144:O1144,E1144:E1144,"Science",F1144:F1144,"Completed")</f>
        <v>0</v>
      </c>
      <c r="Q1144" s="3" t="str">
        <f>IF(MONTH(E1144)&gt;=7, YEAR(E1144)&amp;"-"&amp;YEAR(E1144)+1, YEAR(E1144)-1&amp;"-"&amp;YEAR(E1144))</f>
        <v>2023-2024</v>
      </c>
      <c r="R1144" s="3"/>
      <c r="S1144" s="3"/>
      <c r="T1144" s="15">
        <f t="shared" ca="1" si="17"/>
        <v>613</v>
      </c>
      <c r="U1144" s="3"/>
    </row>
    <row r="1145" spans="1:21" x14ac:dyDescent="0.35">
      <c r="A1145" s="3" t="s">
        <v>2311</v>
      </c>
      <c r="B1145" s="3" t="s">
        <v>2312</v>
      </c>
      <c r="C1145" s="3" t="s">
        <v>25</v>
      </c>
      <c r="D1145" s="3" t="s">
        <v>13</v>
      </c>
      <c r="E1145" s="6">
        <v>45335</v>
      </c>
      <c r="F1145" s="3" t="s">
        <v>14</v>
      </c>
      <c r="G1145" s="3">
        <v>9412</v>
      </c>
      <c r="H1145" s="3">
        <v>8356</v>
      </c>
      <c r="I1145" s="3">
        <v>2.4900000000000002</v>
      </c>
      <c r="J1145" s="3">
        <v>57</v>
      </c>
      <c r="K1145" s="15">
        <f ca="1">IF(F1145="Enrolled",TODAY()-E1145,"0")</f>
        <v>719</v>
      </c>
      <c r="L1145" s="3" t="str">
        <f>IF(I1145&gt;=3.5,"Excellent",IF(I1145&gt;=3,"Good",IF(I1145&gt;=2,"Average","Poor")))</f>
        <v>Average</v>
      </c>
      <c r="M1145" s="3" t="str">
        <v>Dr.Mehta</v>
      </c>
      <c r="N1145" s="3" t="str">
        <f>IF(H1145 &gt; (G1145*50%), "Yes", "No")</f>
        <v>Yes</v>
      </c>
      <c r="O1145" s="16">
        <f>G1145-H1145</f>
        <v>1056</v>
      </c>
      <c r="P1145" s="16">
        <f>SUMIFS(O1145:O1145,E1145:E1145,"Science",F1145:F1145,"Completed")</f>
        <v>0</v>
      </c>
      <c r="Q1145" s="3" t="str">
        <f>IF(MONTH(E1145)&gt;=7, YEAR(E1145)&amp;"-"&amp;YEAR(E1145)+1, YEAR(E1145)-1&amp;"-"&amp;YEAR(E1145))</f>
        <v>2023-2024</v>
      </c>
      <c r="R1145" s="3"/>
      <c r="S1145" s="3"/>
      <c r="T1145" s="15" t="str">
        <f t="shared" ca="1" si="17"/>
        <v>0</v>
      </c>
      <c r="U1145" s="3"/>
    </row>
    <row r="1146" spans="1:21" x14ac:dyDescent="0.35">
      <c r="A1146" s="3" t="s">
        <v>2313</v>
      </c>
      <c r="B1146" s="3" t="s">
        <v>2314</v>
      </c>
      <c r="C1146" s="3" t="s">
        <v>54</v>
      </c>
      <c r="D1146" s="3" t="s">
        <v>13</v>
      </c>
      <c r="E1146" s="6">
        <v>45271</v>
      </c>
      <c r="F1146" s="3" t="s">
        <v>14</v>
      </c>
      <c r="G1146" s="3">
        <v>4940</v>
      </c>
      <c r="H1146" s="3">
        <v>3090</v>
      </c>
      <c r="I1146" s="3">
        <v>3.66</v>
      </c>
      <c r="J1146" s="3">
        <v>59</v>
      </c>
      <c r="K1146" s="15">
        <f ca="1">IF(F1146="Enrolled",TODAY()-E1146,"0")</f>
        <v>783</v>
      </c>
      <c r="L1146" s="3" t="str">
        <f>IF(I1146&gt;=3.5,"Excellent",IF(I1146&gt;=3,"Good",IF(I1146&gt;=2,"Average","Poor")))</f>
        <v>Excellent</v>
      </c>
      <c r="M1146" s="3" t="str">
        <v>Dr.Mehta</v>
      </c>
      <c r="N1146" s="3" t="str">
        <f>IF(H1146 &gt; (G1146*50%), "Yes", "No")</f>
        <v>Yes</v>
      </c>
      <c r="O1146" s="16">
        <f>G1146-H1146</f>
        <v>1850</v>
      </c>
      <c r="P1146" s="16">
        <f>SUMIFS(O1146:O1146,E1146:E1146,"Science",F1146:F1146,"Completed")</f>
        <v>0</v>
      </c>
      <c r="Q1146" s="3" t="str">
        <f>IF(MONTH(E1146)&gt;=7, YEAR(E1146)&amp;"-"&amp;YEAR(E1146)+1, YEAR(E1146)-1&amp;"-"&amp;YEAR(E1146))</f>
        <v>2023-2024</v>
      </c>
      <c r="R1146" s="3"/>
      <c r="S1146" s="3"/>
      <c r="T1146" s="15" t="str">
        <f t="shared" ca="1" si="17"/>
        <v>0</v>
      </c>
      <c r="U1146" s="3"/>
    </row>
    <row r="1147" spans="1:21" x14ac:dyDescent="0.35">
      <c r="A1147" s="3" t="s">
        <v>2315</v>
      </c>
      <c r="B1147" s="3" t="s">
        <v>2316</v>
      </c>
      <c r="C1147" s="3" t="s">
        <v>17</v>
      </c>
      <c r="D1147" s="3" t="s">
        <v>62</v>
      </c>
      <c r="E1147" s="6">
        <v>45416</v>
      </c>
      <c r="F1147" s="3" t="s">
        <v>19</v>
      </c>
      <c r="G1147" s="3">
        <v>2258</v>
      </c>
      <c r="H1147" s="3">
        <v>2167</v>
      </c>
      <c r="I1147" s="3">
        <v>3.71</v>
      </c>
      <c r="J1147" s="3">
        <v>37</v>
      </c>
      <c r="K1147" s="15" t="str">
        <f ca="1">IF(F1147="Enrolled",TODAY()-E1147,"0")</f>
        <v>0</v>
      </c>
      <c r="L1147" s="3" t="str">
        <f>IF(I1147&gt;=3.5,"Excellent",IF(I1147&gt;=3,"Good",IF(I1147&gt;=2,"Average","Poor")))</f>
        <v>Excellent</v>
      </c>
      <c r="M1147" s="3" t="str">
        <v>Dr.Sinha</v>
      </c>
      <c r="N1147" s="3" t="str">
        <f>IF(H1147 &gt; (G1147*50%), "Yes", "No")</f>
        <v>Yes</v>
      </c>
      <c r="O1147" s="16">
        <f>G1147-H1147</f>
        <v>91</v>
      </c>
      <c r="P1147" s="16">
        <f>SUMIFS(O1147:O1147,E1147:E1147,"Science",F1147:F1147,"Completed")</f>
        <v>0</v>
      </c>
      <c r="Q1147" s="3" t="str">
        <f>IF(MONTH(E1147)&gt;=7, YEAR(E1147)&amp;"-"&amp;YEAR(E1147)+1, YEAR(E1147)-1&amp;"-"&amp;YEAR(E1147))</f>
        <v>2023-2024</v>
      </c>
      <c r="R1147" s="3"/>
      <c r="S1147" s="3"/>
      <c r="T1147" s="15">
        <f t="shared" ca="1" si="17"/>
        <v>638</v>
      </c>
      <c r="U1147" s="3"/>
    </row>
    <row r="1148" spans="1:21" x14ac:dyDescent="0.35">
      <c r="A1148" s="3" t="s">
        <v>2317</v>
      </c>
      <c r="B1148" s="3" t="s">
        <v>2318</v>
      </c>
      <c r="C1148" s="3" t="s">
        <v>54</v>
      </c>
      <c r="D1148" s="3" t="s">
        <v>62</v>
      </c>
      <c r="E1148" s="6">
        <v>45105</v>
      </c>
      <c r="F1148" s="3" t="s">
        <v>14</v>
      </c>
      <c r="G1148" s="3">
        <v>12187</v>
      </c>
      <c r="H1148" s="3">
        <v>6773</v>
      </c>
      <c r="I1148" s="3">
        <v>3.49</v>
      </c>
      <c r="J1148" s="3">
        <v>74</v>
      </c>
      <c r="K1148" s="15">
        <f ca="1">IF(F1148="Enrolled",TODAY()-E1148,"0")</f>
        <v>949</v>
      </c>
      <c r="L1148" s="3" t="str">
        <f>IF(I1148&gt;=3.5,"Excellent",IF(I1148&gt;=3,"Good",IF(I1148&gt;=2,"Average","Poor")))</f>
        <v>Good</v>
      </c>
      <c r="M1148" s="3" t="str">
        <v>Dr.Sinha</v>
      </c>
      <c r="N1148" s="3" t="str">
        <f>IF(H1148 &gt; (G1148*50%), "Yes", "No")</f>
        <v>Yes</v>
      </c>
      <c r="O1148" s="16">
        <f>G1148-H1148</f>
        <v>5414</v>
      </c>
      <c r="P1148" s="16">
        <f>SUMIFS(O1148:O1148,E1148:E1148,"Science",F1148:F1148,"Completed")</f>
        <v>0</v>
      </c>
      <c r="Q1148" s="3" t="str">
        <f>IF(MONTH(E1148)&gt;=7, YEAR(E1148)&amp;"-"&amp;YEAR(E1148)+1, YEAR(E1148)-1&amp;"-"&amp;YEAR(E1148))</f>
        <v>2022-2023</v>
      </c>
      <c r="R1148" s="3"/>
      <c r="S1148" s="3"/>
      <c r="T1148" s="15" t="str">
        <f t="shared" ca="1" si="17"/>
        <v>0</v>
      </c>
      <c r="U1148" s="3"/>
    </row>
    <row r="1149" spans="1:21" x14ac:dyDescent="0.35">
      <c r="A1149" s="3" t="s">
        <v>2319</v>
      </c>
      <c r="B1149" s="3" t="s">
        <v>2320</v>
      </c>
      <c r="C1149" s="3" t="s">
        <v>57</v>
      </c>
      <c r="D1149" s="3" t="s">
        <v>31</v>
      </c>
      <c r="E1149" s="6">
        <v>44855</v>
      </c>
      <c r="F1149" s="3" t="s">
        <v>14</v>
      </c>
      <c r="G1149" s="3">
        <v>11200</v>
      </c>
      <c r="H1149" s="3">
        <v>302</v>
      </c>
      <c r="I1149" s="3">
        <v>2.75</v>
      </c>
      <c r="J1149" s="3">
        <v>13</v>
      </c>
      <c r="K1149" s="15">
        <f ca="1">IF(F1149="Enrolled",TODAY()-E1149,"0")</f>
        <v>1199</v>
      </c>
      <c r="L1149" s="3" t="str">
        <f>IF(I1149&gt;=3.5,"Excellent",IF(I1149&gt;=3,"Good",IF(I1149&gt;=2,"Average","Poor")))</f>
        <v>Average</v>
      </c>
      <c r="M1149" s="3" t="str">
        <v>Dr.Sharma</v>
      </c>
      <c r="N1149" s="3" t="str">
        <f>IF(H1149 &gt; (G1149*50%), "Yes", "No")</f>
        <v>No</v>
      </c>
      <c r="O1149" s="16">
        <f>G1149-H1149</f>
        <v>10898</v>
      </c>
      <c r="P1149" s="16">
        <f>SUMIFS(O1149:O1149,E1149:E1149,"Science",F1149:F1149,"Completed")</f>
        <v>0</v>
      </c>
      <c r="Q1149" s="3" t="str">
        <f>IF(MONTH(E1149)&gt;=7, YEAR(E1149)&amp;"-"&amp;YEAR(E1149)+1, YEAR(E1149)-1&amp;"-"&amp;YEAR(E1149))</f>
        <v>2022-2023</v>
      </c>
      <c r="R1149" s="3"/>
      <c r="S1149" s="3"/>
      <c r="T1149" s="15" t="str">
        <f t="shared" ca="1" si="17"/>
        <v>0</v>
      </c>
      <c r="U1149" s="3"/>
    </row>
    <row r="1150" spans="1:21" x14ac:dyDescent="0.35">
      <c r="A1150" s="3" t="s">
        <v>2321</v>
      </c>
      <c r="B1150" s="3" t="s">
        <v>2322</v>
      </c>
      <c r="C1150" s="3" t="s">
        <v>25</v>
      </c>
      <c r="D1150" s="3" t="s">
        <v>18</v>
      </c>
      <c r="E1150" s="6">
        <v>44909</v>
      </c>
      <c r="F1150" s="3" t="s">
        <v>14</v>
      </c>
      <c r="G1150" s="3">
        <v>3576</v>
      </c>
      <c r="H1150" s="3">
        <v>1605</v>
      </c>
      <c r="I1150" s="3">
        <v>2.0699999999999998</v>
      </c>
      <c r="J1150" s="3">
        <v>18</v>
      </c>
      <c r="K1150" s="15">
        <f ca="1">IF(F1150="Enrolled",TODAY()-E1150,"0")</f>
        <v>1145</v>
      </c>
      <c r="L1150" s="3" t="str">
        <f>IF(I1150&gt;=3.5,"Excellent",IF(I1150&gt;=3,"Good",IF(I1150&gt;=2,"Average","Poor")))</f>
        <v>Average</v>
      </c>
      <c r="M1150" s="3" t="str">
        <v>Dr.Roy</v>
      </c>
      <c r="N1150" s="3" t="str">
        <f>IF(H1150 &gt; (G1150*50%), "Yes", "No")</f>
        <v>No</v>
      </c>
      <c r="O1150" s="16">
        <f>G1150-H1150</f>
        <v>1971</v>
      </c>
      <c r="P1150" s="16">
        <f>SUMIFS(O1150:O1150,E1150:E1150,"Science",F1150:F1150,"Completed")</f>
        <v>0</v>
      </c>
      <c r="Q1150" s="3" t="str">
        <f>IF(MONTH(E1150)&gt;=7, YEAR(E1150)&amp;"-"&amp;YEAR(E1150)+1, YEAR(E1150)-1&amp;"-"&amp;YEAR(E1150))</f>
        <v>2022-2023</v>
      </c>
      <c r="R1150" s="3"/>
      <c r="S1150" s="3"/>
      <c r="T1150" s="15" t="str">
        <f t="shared" ca="1" si="17"/>
        <v>0</v>
      </c>
      <c r="U1150" s="3"/>
    </row>
    <row r="1151" spans="1:21" x14ac:dyDescent="0.35">
      <c r="A1151" s="3" t="s">
        <v>2323</v>
      </c>
      <c r="B1151" s="3" t="s">
        <v>2324</v>
      </c>
      <c r="C1151" s="3" t="s">
        <v>22</v>
      </c>
      <c r="D1151" s="3" t="s">
        <v>31</v>
      </c>
      <c r="E1151" s="6">
        <v>45250</v>
      </c>
      <c r="F1151" s="3" t="s">
        <v>14</v>
      </c>
      <c r="G1151" s="3">
        <v>6142</v>
      </c>
      <c r="H1151" s="3">
        <v>1679</v>
      </c>
      <c r="I1151" s="3">
        <v>2.72</v>
      </c>
      <c r="J1151" s="3">
        <v>82</v>
      </c>
      <c r="K1151" s="15">
        <f ca="1">IF(F1151="Enrolled",TODAY()-E1151,"0")</f>
        <v>804</v>
      </c>
      <c r="L1151" s="3" t="str">
        <f>IF(I1151&gt;=3.5,"Excellent",IF(I1151&gt;=3,"Good",IF(I1151&gt;=2,"Average","Poor")))</f>
        <v>Average</v>
      </c>
      <c r="M1151" s="3" t="str">
        <v>Dr.Sharma</v>
      </c>
      <c r="N1151" s="3" t="str">
        <f>IF(H1151 &gt; (G1151*50%), "Yes", "No")</f>
        <v>No</v>
      </c>
      <c r="O1151" s="16">
        <f>G1151-H1151</f>
        <v>4463</v>
      </c>
      <c r="P1151" s="16">
        <f>SUMIFS(O1151:O1151,E1151:E1151,"Science",F1151:F1151,"Completed")</f>
        <v>0</v>
      </c>
      <c r="Q1151" s="3" t="str">
        <f>IF(MONTH(E1151)&gt;=7, YEAR(E1151)&amp;"-"&amp;YEAR(E1151)+1, YEAR(E1151)-1&amp;"-"&amp;YEAR(E1151))</f>
        <v>2023-2024</v>
      </c>
      <c r="R1151" s="3"/>
      <c r="S1151" s="3"/>
      <c r="T1151" s="15" t="str">
        <f t="shared" ca="1" si="17"/>
        <v>0</v>
      </c>
      <c r="U1151" s="3"/>
    </row>
    <row r="1152" spans="1:21" x14ac:dyDescent="0.35">
      <c r="A1152" s="3" t="s">
        <v>2325</v>
      </c>
      <c r="B1152" s="3" t="s">
        <v>2326</v>
      </c>
      <c r="C1152" s="3" t="s">
        <v>28</v>
      </c>
      <c r="D1152" s="3" t="s">
        <v>18</v>
      </c>
      <c r="E1152" s="6">
        <v>45054</v>
      </c>
      <c r="F1152" s="3" t="s">
        <v>14</v>
      </c>
      <c r="G1152" s="3">
        <v>11980</v>
      </c>
      <c r="H1152" s="3">
        <v>6646</v>
      </c>
      <c r="I1152" s="3">
        <v>2.04</v>
      </c>
      <c r="J1152" s="3">
        <v>84</v>
      </c>
      <c r="K1152" s="15">
        <f ca="1">IF(F1152="Enrolled",TODAY()-E1152,"0")</f>
        <v>1000</v>
      </c>
      <c r="L1152" s="3" t="str">
        <f>IF(I1152&gt;=3.5,"Excellent",IF(I1152&gt;=3,"Good",IF(I1152&gt;=2,"Average","Poor")))</f>
        <v>Average</v>
      </c>
      <c r="M1152" s="3" t="str">
        <v>Dr.Roy</v>
      </c>
      <c r="N1152" s="3" t="str">
        <f>IF(H1152 &gt; (G1152*50%), "Yes", "No")</f>
        <v>Yes</v>
      </c>
      <c r="O1152" s="16">
        <f>G1152-H1152</f>
        <v>5334</v>
      </c>
      <c r="P1152" s="16">
        <f>SUMIFS(O1152:O1152,E1152:E1152,"Science",F1152:F1152,"Completed")</f>
        <v>0</v>
      </c>
      <c r="Q1152" s="3" t="str">
        <f>IF(MONTH(E1152)&gt;=7, YEAR(E1152)&amp;"-"&amp;YEAR(E1152)+1, YEAR(E1152)-1&amp;"-"&amp;YEAR(E1152))</f>
        <v>2022-2023</v>
      </c>
      <c r="R1152" s="3"/>
      <c r="S1152" s="3"/>
      <c r="T1152" s="15" t="str">
        <f t="shared" ca="1" si="17"/>
        <v>0</v>
      </c>
      <c r="U1152" s="3"/>
    </row>
    <row r="1153" spans="1:21" x14ac:dyDescent="0.35">
      <c r="A1153" s="3" t="s">
        <v>2327</v>
      </c>
      <c r="B1153" s="3" t="s">
        <v>2328</v>
      </c>
      <c r="C1153" s="3" t="s">
        <v>25</v>
      </c>
      <c r="D1153" s="3" t="s">
        <v>18</v>
      </c>
      <c r="E1153" s="6">
        <v>45461</v>
      </c>
      <c r="F1153" s="3" t="s">
        <v>14</v>
      </c>
      <c r="G1153" s="3">
        <v>7486</v>
      </c>
      <c r="H1153" s="3">
        <v>7006</v>
      </c>
      <c r="I1153" s="3">
        <v>2.86</v>
      </c>
      <c r="J1153" s="3">
        <v>104</v>
      </c>
      <c r="K1153" s="15">
        <f ca="1">IF(F1153="Enrolled",TODAY()-E1153,"0")</f>
        <v>593</v>
      </c>
      <c r="L1153" s="3" t="str">
        <f>IF(I1153&gt;=3.5,"Excellent",IF(I1153&gt;=3,"Good",IF(I1153&gt;=2,"Average","Poor")))</f>
        <v>Average</v>
      </c>
      <c r="M1153" s="3" t="str">
        <v>Dr.Roy</v>
      </c>
      <c r="N1153" s="3" t="str">
        <f>IF(H1153 &gt; (G1153*50%), "Yes", "No")</f>
        <v>Yes</v>
      </c>
      <c r="O1153" s="16">
        <f>G1153-H1153</f>
        <v>480</v>
      </c>
      <c r="P1153" s="16">
        <f>SUMIFS(O1153:O1153,E1153:E1153,"Science",F1153:F1153,"Completed")</f>
        <v>0</v>
      </c>
      <c r="Q1153" s="3" t="str">
        <f>IF(MONTH(E1153)&gt;=7, YEAR(E1153)&amp;"-"&amp;YEAR(E1153)+1, YEAR(E1153)-1&amp;"-"&amp;YEAR(E1153))</f>
        <v>2023-2024</v>
      </c>
      <c r="R1153" s="3"/>
      <c r="S1153" s="3"/>
      <c r="T1153" s="15" t="str">
        <f t="shared" ca="1" si="17"/>
        <v>0</v>
      </c>
      <c r="U1153" s="3"/>
    </row>
    <row r="1154" spans="1:21" x14ac:dyDescent="0.35">
      <c r="A1154" s="3" t="s">
        <v>2329</v>
      </c>
      <c r="B1154" s="3" t="s">
        <v>2330</v>
      </c>
      <c r="C1154" s="3" t="s">
        <v>54</v>
      </c>
      <c r="D1154" s="3" t="s">
        <v>13</v>
      </c>
      <c r="E1154" s="6">
        <v>45233</v>
      </c>
      <c r="F1154" s="3" t="s">
        <v>14</v>
      </c>
      <c r="G1154" s="3">
        <v>5997</v>
      </c>
      <c r="H1154" s="3">
        <v>6311</v>
      </c>
      <c r="I1154" s="3">
        <v>2.66</v>
      </c>
      <c r="J1154" s="3">
        <v>49</v>
      </c>
      <c r="K1154" s="15">
        <f ca="1">IF(F1154="Enrolled",TODAY()-E1154,"0")</f>
        <v>821</v>
      </c>
      <c r="L1154" s="3" t="str">
        <f>IF(I1154&gt;=3.5,"Excellent",IF(I1154&gt;=3,"Good",IF(I1154&gt;=2,"Average","Poor")))</f>
        <v>Average</v>
      </c>
      <c r="M1154" s="3" t="str">
        <v>Dr.Mehta</v>
      </c>
      <c r="N1154" s="3" t="str">
        <f>IF(H1154 &gt; (G1154*50%), "Yes", "No")</f>
        <v>Yes</v>
      </c>
      <c r="O1154" s="16">
        <f>G1154-H1154</f>
        <v>-314</v>
      </c>
      <c r="P1154" s="16">
        <f>SUMIFS(O1154:O1154,E1154:E1154,"Science",F1154:F1154,"Completed")</f>
        <v>0</v>
      </c>
      <c r="Q1154" s="3" t="str">
        <f>IF(MONTH(E1154)&gt;=7, YEAR(E1154)&amp;"-"&amp;YEAR(E1154)+1, YEAR(E1154)-1&amp;"-"&amp;YEAR(E1154))</f>
        <v>2023-2024</v>
      </c>
      <c r="R1154" s="3"/>
      <c r="S1154" s="3"/>
      <c r="T1154" s="15" t="str">
        <f t="shared" ca="1" si="17"/>
        <v>0</v>
      </c>
      <c r="U1154" s="3"/>
    </row>
    <row r="1155" spans="1:21" x14ac:dyDescent="0.35">
      <c r="A1155" s="3" t="s">
        <v>2331</v>
      </c>
      <c r="B1155" s="3" t="s">
        <v>2332</v>
      </c>
      <c r="C1155" s="3" t="s">
        <v>54</v>
      </c>
      <c r="D1155" s="3" t="s">
        <v>31</v>
      </c>
      <c r="E1155" s="6">
        <v>44609</v>
      </c>
      <c r="F1155" s="3" t="s">
        <v>19</v>
      </c>
      <c r="G1155" s="3">
        <v>10841</v>
      </c>
      <c r="H1155" s="3">
        <v>3690</v>
      </c>
      <c r="I1155" s="3">
        <v>2.39</v>
      </c>
      <c r="J1155" s="3">
        <v>68</v>
      </c>
      <c r="K1155" s="15" t="str">
        <f ca="1">IF(F1155="Enrolled",TODAY()-E1155,"0")</f>
        <v>0</v>
      </c>
      <c r="L1155" s="3" t="str">
        <f>IF(I1155&gt;=3.5,"Excellent",IF(I1155&gt;=3,"Good",IF(I1155&gt;=2,"Average","Poor")))</f>
        <v>Average</v>
      </c>
      <c r="M1155" s="3" t="str">
        <v>Dr.Sharma</v>
      </c>
      <c r="N1155" s="3" t="str">
        <f>IF(H1155 &gt; (G1155*50%), "Yes", "No")</f>
        <v>No</v>
      </c>
      <c r="O1155" s="16">
        <f>G1155-H1155</f>
        <v>7151</v>
      </c>
      <c r="P1155" s="16">
        <f>SUMIFS(O1155:O1155,E1155:E1155,"Science",F1155:F1155,"Completed")</f>
        <v>0</v>
      </c>
      <c r="Q1155" s="3" t="str">
        <f>IF(MONTH(E1155)&gt;=7, YEAR(E1155)&amp;"-"&amp;YEAR(E1155)+1, YEAR(E1155)-1&amp;"-"&amp;YEAR(E1155))</f>
        <v>2021-2022</v>
      </c>
      <c r="R1155" s="3"/>
      <c r="S1155" s="3"/>
      <c r="T1155" s="15">
        <f t="shared" ref="T1155:T1201" ca="1" si="18">IF(F1155="Completed",TODAY()-E1155,"0")</f>
        <v>1445</v>
      </c>
      <c r="U1155" s="3"/>
    </row>
    <row r="1156" spans="1:21" x14ac:dyDescent="0.35">
      <c r="A1156" s="3" t="s">
        <v>2333</v>
      </c>
      <c r="B1156" s="3" t="s">
        <v>2334</v>
      </c>
      <c r="C1156" s="3" t="s">
        <v>25</v>
      </c>
      <c r="D1156" s="3" t="s">
        <v>62</v>
      </c>
      <c r="E1156" s="6">
        <v>45176</v>
      </c>
      <c r="F1156" s="3" t="s">
        <v>14</v>
      </c>
      <c r="G1156" s="3">
        <v>3841</v>
      </c>
      <c r="H1156" s="3">
        <v>4198</v>
      </c>
      <c r="I1156" s="3">
        <v>2.38</v>
      </c>
      <c r="J1156" s="3">
        <v>53</v>
      </c>
      <c r="K1156" s="15">
        <f ca="1">IF(F1156="Enrolled",TODAY()-E1156,"0")</f>
        <v>878</v>
      </c>
      <c r="L1156" s="3" t="str">
        <f>IF(I1156&gt;=3.5,"Excellent",IF(I1156&gt;=3,"Good",IF(I1156&gt;=2,"Average","Poor")))</f>
        <v>Average</v>
      </c>
      <c r="M1156" s="3" t="str">
        <v>Dr.Sinha</v>
      </c>
      <c r="N1156" s="3" t="str">
        <f>IF(H1156 &gt; (G1156*50%), "Yes", "No")</f>
        <v>Yes</v>
      </c>
      <c r="O1156" s="16">
        <f>G1156-H1156</f>
        <v>-357</v>
      </c>
      <c r="P1156" s="16">
        <f>SUMIFS(O1156:O1156,E1156:E1156,"Science",F1156:F1156,"Completed")</f>
        <v>0</v>
      </c>
      <c r="Q1156" s="3" t="str">
        <f>IF(MONTH(E1156)&gt;=7, YEAR(E1156)&amp;"-"&amp;YEAR(E1156)+1, YEAR(E1156)-1&amp;"-"&amp;YEAR(E1156))</f>
        <v>2023-2024</v>
      </c>
      <c r="R1156" s="3"/>
      <c r="S1156" s="3"/>
      <c r="T1156" s="15" t="str">
        <f t="shared" ca="1" si="18"/>
        <v>0</v>
      </c>
      <c r="U1156" s="3"/>
    </row>
    <row r="1157" spans="1:21" x14ac:dyDescent="0.35">
      <c r="A1157" s="3" t="s">
        <v>2335</v>
      </c>
      <c r="B1157" s="3" t="s">
        <v>2336</v>
      </c>
      <c r="C1157" s="3" t="s">
        <v>12</v>
      </c>
      <c r="D1157" s="3" t="s">
        <v>62</v>
      </c>
      <c r="E1157" s="6">
        <v>45455</v>
      </c>
      <c r="F1157" s="3" t="s">
        <v>14</v>
      </c>
      <c r="G1157" s="3">
        <v>13164</v>
      </c>
      <c r="H1157" s="3">
        <v>4550</v>
      </c>
      <c r="I1157" s="3">
        <v>3.08</v>
      </c>
      <c r="J1157" s="3">
        <v>62</v>
      </c>
      <c r="K1157" s="15">
        <f ca="1">IF(F1157="Enrolled",TODAY()-E1157,"0")</f>
        <v>599</v>
      </c>
      <c r="L1157" s="3" t="str">
        <f>IF(I1157&gt;=3.5,"Excellent",IF(I1157&gt;=3,"Good",IF(I1157&gt;=2,"Average","Poor")))</f>
        <v>Good</v>
      </c>
      <c r="M1157" s="3" t="str">
        <v>Dr.Sinha</v>
      </c>
      <c r="N1157" s="3" t="str">
        <f>IF(H1157 &gt; (G1157*50%), "Yes", "No")</f>
        <v>No</v>
      </c>
      <c r="O1157" s="16">
        <f>G1157-H1157</f>
        <v>8614</v>
      </c>
      <c r="P1157" s="16">
        <f>SUMIFS(O1157:O1157,E1157:E1157,"Science",F1157:F1157,"Completed")</f>
        <v>0</v>
      </c>
      <c r="Q1157" s="3" t="str">
        <f>IF(MONTH(E1157)&gt;=7, YEAR(E1157)&amp;"-"&amp;YEAR(E1157)+1, YEAR(E1157)-1&amp;"-"&amp;YEAR(E1157))</f>
        <v>2023-2024</v>
      </c>
      <c r="R1157" s="3"/>
      <c r="S1157" s="3"/>
      <c r="T1157" s="15" t="str">
        <f t="shared" ca="1" si="18"/>
        <v>0</v>
      </c>
      <c r="U1157" s="3"/>
    </row>
    <row r="1158" spans="1:21" x14ac:dyDescent="0.35">
      <c r="A1158" s="3" t="s">
        <v>2337</v>
      </c>
      <c r="B1158" s="3" t="s">
        <v>2338</v>
      </c>
      <c r="C1158" s="3" t="s">
        <v>22</v>
      </c>
      <c r="D1158" s="3" t="s">
        <v>13</v>
      </c>
      <c r="E1158" s="6">
        <v>44983</v>
      </c>
      <c r="F1158" s="3" t="s">
        <v>39</v>
      </c>
      <c r="G1158" s="3">
        <v>5796</v>
      </c>
      <c r="H1158" s="3">
        <v>9267</v>
      </c>
      <c r="I1158" s="3">
        <v>3.81</v>
      </c>
      <c r="J1158" s="3">
        <v>68</v>
      </c>
      <c r="K1158" s="15" t="str">
        <f ca="1">IF(F1158="Enrolled",TODAY()-E1158,"0")</f>
        <v>0</v>
      </c>
      <c r="L1158" s="3" t="str">
        <f>IF(I1158&gt;=3.5,"Excellent",IF(I1158&gt;=3,"Good",IF(I1158&gt;=2,"Average","Poor")))</f>
        <v>Excellent</v>
      </c>
      <c r="M1158" s="3" t="str">
        <v>Dr.Mehta</v>
      </c>
      <c r="N1158" s="3" t="str">
        <f>IF(H1158 &gt; (G1158*50%), "Yes", "No")</f>
        <v>Yes</v>
      </c>
      <c r="O1158" s="16">
        <f>G1158-H1158</f>
        <v>-3471</v>
      </c>
      <c r="P1158" s="16">
        <f>SUMIFS(O1158:O1158,E1158:E1158,"Science",F1158:F1158,"Completed")</f>
        <v>0</v>
      </c>
      <c r="Q1158" s="3" t="str">
        <f>IF(MONTH(E1158)&gt;=7, YEAR(E1158)&amp;"-"&amp;YEAR(E1158)+1, YEAR(E1158)-1&amp;"-"&amp;YEAR(E1158))</f>
        <v>2022-2023</v>
      </c>
      <c r="R1158" s="3"/>
      <c r="S1158" s="3"/>
      <c r="T1158" s="15" t="str">
        <f t="shared" ca="1" si="18"/>
        <v>0</v>
      </c>
      <c r="U1158" s="3"/>
    </row>
    <row r="1159" spans="1:21" x14ac:dyDescent="0.35">
      <c r="A1159" s="3" t="s">
        <v>2339</v>
      </c>
      <c r="B1159" s="3" t="s">
        <v>2340</v>
      </c>
      <c r="C1159" s="3" t="s">
        <v>22</v>
      </c>
      <c r="D1159" s="3" t="s">
        <v>31</v>
      </c>
      <c r="E1159" s="6">
        <v>44734</v>
      </c>
      <c r="F1159" s="3" t="s">
        <v>14</v>
      </c>
      <c r="G1159" s="3">
        <v>9635</v>
      </c>
      <c r="H1159" s="3">
        <v>3090</v>
      </c>
      <c r="I1159" s="3">
        <v>2.99</v>
      </c>
      <c r="J1159" s="3">
        <v>33</v>
      </c>
      <c r="K1159" s="15">
        <f ca="1">IF(F1159="Enrolled",TODAY()-E1159,"0")</f>
        <v>1320</v>
      </c>
      <c r="L1159" s="3" t="str">
        <f>IF(I1159&gt;=3.5,"Excellent",IF(I1159&gt;=3,"Good",IF(I1159&gt;=2,"Average","Poor")))</f>
        <v>Average</v>
      </c>
      <c r="M1159" s="3" t="str">
        <v>Dr.Sharma</v>
      </c>
      <c r="N1159" s="3" t="str">
        <f>IF(H1159 &gt; (G1159*50%), "Yes", "No")</f>
        <v>No</v>
      </c>
      <c r="O1159" s="16">
        <f>G1159-H1159</f>
        <v>6545</v>
      </c>
      <c r="P1159" s="16">
        <f>SUMIFS(O1159:O1159,E1159:E1159,"Science",F1159:F1159,"Completed")</f>
        <v>0</v>
      </c>
      <c r="Q1159" s="3" t="str">
        <f>IF(MONTH(E1159)&gt;=7, YEAR(E1159)&amp;"-"&amp;YEAR(E1159)+1, YEAR(E1159)-1&amp;"-"&amp;YEAR(E1159))</f>
        <v>2021-2022</v>
      </c>
      <c r="R1159" s="3"/>
      <c r="S1159" s="3"/>
      <c r="T1159" s="15" t="str">
        <f t="shared" ca="1" si="18"/>
        <v>0</v>
      </c>
      <c r="U1159" s="3"/>
    </row>
    <row r="1160" spans="1:21" x14ac:dyDescent="0.35">
      <c r="A1160" s="3" t="s">
        <v>2341</v>
      </c>
      <c r="B1160" s="3" t="s">
        <v>2342</v>
      </c>
      <c r="C1160" s="3" t="s">
        <v>17</v>
      </c>
      <c r="D1160" s="3" t="s">
        <v>13</v>
      </c>
      <c r="E1160" s="6">
        <v>45343</v>
      </c>
      <c r="F1160" s="3" t="s">
        <v>14</v>
      </c>
      <c r="G1160" s="3">
        <v>2086</v>
      </c>
      <c r="H1160" s="3">
        <v>9790</v>
      </c>
      <c r="I1160" s="3">
        <v>2.17</v>
      </c>
      <c r="J1160" s="3">
        <v>27</v>
      </c>
      <c r="K1160" s="15">
        <f ca="1">IF(F1160="Enrolled",TODAY()-E1160,"0")</f>
        <v>711</v>
      </c>
      <c r="L1160" s="3" t="str">
        <f>IF(I1160&gt;=3.5,"Excellent",IF(I1160&gt;=3,"Good",IF(I1160&gt;=2,"Average","Poor")))</f>
        <v>Average</v>
      </c>
      <c r="M1160" s="3" t="str">
        <v>Dr.Mehta</v>
      </c>
      <c r="N1160" s="3" t="str">
        <f>IF(H1160 &gt; (G1160*50%), "Yes", "No")</f>
        <v>Yes</v>
      </c>
      <c r="O1160" s="16">
        <f>G1160-H1160</f>
        <v>-7704</v>
      </c>
      <c r="P1160" s="16">
        <f>SUMIFS(O1160:O1160,E1160:E1160,"Science",F1160:F1160,"Completed")</f>
        <v>0</v>
      </c>
      <c r="Q1160" s="3" t="str">
        <f>IF(MONTH(E1160)&gt;=7, YEAR(E1160)&amp;"-"&amp;YEAR(E1160)+1, YEAR(E1160)-1&amp;"-"&amp;YEAR(E1160))</f>
        <v>2023-2024</v>
      </c>
      <c r="R1160" s="3"/>
      <c r="S1160" s="3"/>
      <c r="T1160" s="15" t="str">
        <f t="shared" ca="1" si="18"/>
        <v>0</v>
      </c>
      <c r="U1160" s="3"/>
    </row>
    <row r="1161" spans="1:21" x14ac:dyDescent="0.35">
      <c r="A1161" s="3" t="s">
        <v>2343</v>
      </c>
      <c r="B1161" s="3" t="s">
        <v>2344</v>
      </c>
      <c r="C1161" s="3" t="s">
        <v>22</v>
      </c>
      <c r="D1161" s="3" t="s">
        <v>31</v>
      </c>
      <c r="E1161" s="6">
        <v>44866</v>
      </c>
      <c r="F1161" s="3" t="s">
        <v>14</v>
      </c>
      <c r="G1161" s="3">
        <v>8164</v>
      </c>
      <c r="H1161" s="3">
        <v>1674</v>
      </c>
      <c r="I1161" s="3">
        <v>3.24</v>
      </c>
      <c r="J1161" s="3">
        <v>114</v>
      </c>
      <c r="K1161" s="15">
        <f ca="1">IF(F1161="Enrolled",TODAY()-E1161,"0")</f>
        <v>1188</v>
      </c>
      <c r="L1161" s="3" t="str">
        <f>IF(I1161&gt;=3.5,"Excellent",IF(I1161&gt;=3,"Good",IF(I1161&gt;=2,"Average","Poor")))</f>
        <v>Good</v>
      </c>
      <c r="M1161" s="3" t="str">
        <v>Dr.Sharma</v>
      </c>
      <c r="N1161" s="3" t="str">
        <f>IF(H1161 &gt; (G1161*50%), "Yes", "No")</f>
        <v>No</v>
      </c>
      <c r="O1161" s="16">
        <f>G1161-H1161</f>
        <v>6490</v>
      </c>
      <c r="P1161" s="16">
        <f>SUMIFS(O1161:O1161,E1161:E1161,"Science",F1161:F1161,"Completed")</f>
        <v>0</v>
      </c>
      <c r="Q1161" s="3" t="str">
        <f>IF(MONTH(E1161)&gt;=7, YEAR(E1161)&amp;"-"&amp;YEAR(E1161)+1, YEAR(E1161)-1&amp;"-"&amp;YEAR(E1161))</f>
        <v>2022-2023</v>
      </c>
      <c r="R1161" s="3"/>
      <c r="S1161" s="3"/>
      <c r="T1161" s="15" t="str">
        <f t="shared" ca="1" si="18"/>
        <v>0</v>
      </c>
      <c r="U1161" s="3"/>
    </row>
    <row r="1162" spans="1:21" x14ac:dyDescent="0.35">
      <c r="A1162" s="3" t="s">
        <v>2345</v>
      </c>
      <c r="B1162" s="3" t="s">
        <v>2346</v>
      </c>
      <c r="C1162" s="3" t="s">
        <v>28</v>
      </c>
      <c r="D1162" s="3" t="s">
        <v>18</v>
      </c>
      <c r="E1162" s="6">
        <v>45446</v>
      </c>
      <c r="F1162" s="3" t="s">
        <v>19</v>
      </c>
      <c r="G1162" s="3">
        <v>8694</v>
      </c>
      <c r="H1162" s="3">
        <v>4198</v>
      </c>
      <c r="I1162" s="3">
        <v>3.36</v>
      </c>
      <c r="J1162" s="3">
        <v>28</v>
      </c>
      <c r="K1162" s="15" t="str">
        <f ca="1">IF(F1162="Enrolled",TODAY()-E1162,"0")</f>
        <v>0</v>
      </c>
      <c r="L1162" s="3" t="str">
        <f>IF(I1162&gt;=3.5,"Excellent",IF(I1162&gt;=3,"Good",IF(I1162&gt;=2,"Average","Poor")))</f>
        <v>Good</v>
      </c>
      <c r="M1162" s="3" t="str">
        <v>Dr.Roy</v>
      </c>
      <c r="N1162" s="3" t="str">
        <f>IF(H1162 &gt; (G1162*50%), "Yes", "No")</f>
        <v>No</v>
      </c>
      <c r="O1162" s="16">
        <f>G1162-H1162</f>
        <v>4496</v>
      </c>
      <c r="P1162" s="16">
        <f>SUMIFS(O1162:O1162,E1162:E1162,"Science",F1162:F1162,"Completed")</f>
        <v>0</v>
      </c>
      <c r="Q1162" s="3" t="str">
        <f>IF(MONTH(E1162)&gt;=7, YEAR(E1162)&amp;"-"&amp;YEAR(E1162)+1, YEAR(E1162)-1&amp;"-"&amp;YEAR(E1162))</f>
        <v>2023-2024</v>
      </c>
      <c r="R1162" s="3"/>
      <c r="S1162" s="3"/>
      <c r="T1162" s="15">
        <f t="shared" ca="1" si="18"/>
        <v>608</v>
      </c>
      <c r="U1162" s="3"/>
    </row>
    <row r="1163" spans="1:21" x14ac:dyDescent="0.35">
      <c r="A1163" s="3" t="s">
        <v>2347</v>
      </c>
      <c r="B1163" s="3" t="s">
        <v>2348</v>
      </c>
      <c r="C1163" s="3" t="s">
        <v>17</v>
      </c>
      <c r="D1163" s="3" t="s">
        <v>13</v>
      </c>
      <c r="E1163" s="6">
        <v>45108</v>
      </c>
      <c r="F1163" s="3" t="s">
        <v>39</v>
      </c>
      <c r="G1163" s="3">
        <v>2766</v>
      </c>
      <c r="H1163" s="3">
        <v>3689</v>
      </c>
      <c r="I1163" s="3">
        <v>2.29</v>
      </c>
      <c r="J1163" s="3">
        <v>38</v>
      </c>
      <c r="K1163" s="15" t="str">
        <f ca="1">IF(F1163="Enrolled",TODAY()-E1163,"0")</f>
        <v>0</v>
      </c>
      <c r="L1163" s="3" t="str">
        <f>IF(I1163&gt;=3.5,"Excellent",IF(I1163&gt;=3,"Good",IF(I1163&gt;=2,"Average","Poor")))</f>
        <v>Average</v>
      </c>
      <c r="M1163" s="3" t="str">
        <v>Dr.Mehta</v>
      </c>
      <c r="N1163" s="3" t="str">
        <f>IF(H1163 &gt; (G1163*50%), "Yes", "No")</f>
        <v>Yes</v>
      </c>
      <c r="O1163" s="16">
        <f>G1163-H1163</f>
        <v>-923</v>
      </c>
      <c r="P1163" s="16">
        <f>SUMIFS(O1163:O1163,E1163:E1163,"Science",F1163:F1163,"Completed")</f>
        <v>0</v>
      </c>
      <c r="Q1163" s="3" t="str">
        <f>IF(MONTH(E1163)&gt;=7, YEAR(E1163)&amp;"-"&amp;YEAR(E1163)+1, YEAR(E1163)-1&amp;"-"&amp;YEAR(E1163))</f>
        <v>2023-2024</v>
      </c>
      <c r="R1163" s="3"/>
      <c r="S1163" s="3"/>
      <c r="T1163" s="15" t="str">
        <f t="shared" ca="1" si="18"/>
        <v>0</v>
      </c>
      <c r="U1163" s="3"/>
    </row>
    <row r="1164" spans="1:21" x14ac:dyDescent="0.35">
      <c r="A1164" s="3" t="s">
        <v>2349</v>
      </c>
      <c r="B1164" s="3" t="s">
        <v>2350</v>
      </c>
      <c r="C1164" s="3" t="s">
        <v>57</v>
      </c>
      <c r="D1164" s="3" t="s">
        <v>18</v>
      </c>
      <c r="E1164" s="6">
        <v>44817</v>
      </c>
      <c r="F1164" s="3" t="s">
        <v>14</v>
      </c>
      <c r="G1164" s="3">
        <v>8228</v>
      </c>
      <c r="H1164" s="3">
        <v>2328</v>
      </c>
      <c r="I1164" s="3">
        <v>2.2000000000000002</v>
      </c>
      <c r="J1164" s="3">
        <v>113</v>
      </c>
      <c r="K1164" s="15">
        <f ca="1">IF(F1164="Enrolled",TODAY()-E1164,"0")</f>
        <v>1237</v>
      </c>
      <c r="L1164" s="3" t="str">
        <f>IF(I1164&gt;=3.5,"Excellent",IF(I1164&gt;=3,"Good",IF(I1164&gt;=2,"Average","Poor")))</f>
        <v>Average</v>
      </c>
      <c r="M1164" s="3" t="str">
        <v>Dr.Roy</v>
      </c>
      <c r="N1164" s="3" t="str">
        <f>IF(H1164 &gt; (G1164*50%), "Yes", "No")</f>
        <v>No</v>
      </c>
      <c r="O1164" s="16">
        <f>G1164-H1164</f>
        <v>5900</v>
      </c>
      <c r="P1164" s="16">
        <f>SUMIFS(O1164:O1164,E1164:E1164,"Science",F1164:F1164,"Completed")</f>
        <v>0</v>
      </c>
      <c r="Q1164" s="3" t="str">
        <f>IF(MONTH(E1164)&gt;=7, YEAR(E1164)&amp;"-"&amp;YEAR(E1164)+1, YEAR(E1164)-1&amp;"-"&amp;YEAR(E1164))</f>
        <v>2022-2023</v>
      </c>
      <c r="R1164" s="3"/>
      <c r="S1164" s="3"/>
      <c r="T1164" s="15" t="str">
        <f t="shared" ca="1" si="18"/>
        <v>0</v>
      </c>
      <c r="U1164" s="3"/>
    </row>
    <row r="1165" spans="1:21" x14ac:dyDescent="0.35">
      <c r="A1165" s="3" t="s">
        <v>2351</v>
      </c>
      <c r="B1165" s="3" t="s">
        <v>2352</v>
      </c>
      <c r="C1165" s="3" t="s">
        <v>17</v>
      </c>
      <c r="D1165" s="3" t="s">
        <v>31</v>
      </c>
      <c r="E1165" s="6">
        <v>44946</v>
      </c>
      <c r="F1165" s="3" t="s">
        <v>14</v>
      </c>
      <c r="G1165" s="3">
        <v>6310</v>
      </c>
      <c r="H1165" s="3">
        <v>6133</v>
      </c>
      <c r="I1165" s="3">
        <v>3.37</v>
      </c>
      <c r="J1165" s="3">
        <v>82</v>
      </c>
      <c r="K1165" s="15">
        <f ca="1">IF(F1165="Enrolled",TODAY()-E1165,"0")</f>
        <v>1108</v>
      </c>
      <c r="L1165" s="3" t="str">
        <f>IF(I1165&gt;=3.5,"Excellent",IF(I1165&gt;=3,"Good",IF(I1165&gt;=2,"Average","Poor")))</f>
        <v>Good</v>
      </c>
      <c r="M1165" s="3" t="str">
        <v>Dr.Sharma</v>
      </c>
      <c r="N1165" s="3" t="str">
        <f>IF(H1165 &gt; (G1165*50%), "Yes", "No")</f>
        <v>Yes</v>
      </c>
      <c r="O1165" s="16">
        <f>G1165-H1165</f>
        <v>177</v>
      </c>
      <c r="P1165" s="16">
        <f>SUMIFS(O1165:O1165,E1165:E1165,"Science",F1165:F1165,"Completed")</f>
        <v>0</v>
      </c>
      <c r="Q1165" s="3" t="str">
        <f>IF(MONTH(E1165)&gt;=7, YEAR(E1165)&amp;"-"&amp;YEAR(E1165)+1, YEAR(E1165)-1&amp;"-"&amp;YEAR(E1165))</f>
        <v>2022-2023</v>
      </c>
      <c r="R1165" s="3"/>
      <c r="S1165" s="3"/>
      <c r="T1165" s="15" t="str">
        <f t="shared" ca="1" si="18"/>
        <v>0</v>
      </c>
      <c r="U1165" s="3"/>
    </row>
    <row r="1166" spans="1:21" x14ac:dyDescent="0.35">
      <c r="A1166" s="3" t="s">
        <v>2353</v>
      </c>
      <c r="B1166" s="3" t="s">
        <v>2354</v>
      </c>
      <c r="C1166" s="3" t="s">
        <v>22</v>
      </c>
      <c r="D1166" s="3" t="s">
        <v>13</v>
      </c>
      <c r="E1166" s="6">
        <v>44730</v>
      </c>
      <c r="F1166" s="3" t="s">
        <v>19</v>
      </c>
      <c r="G1166" s="3">
        <v>7845</v>
      </c>
      <c r="H1166" s="3">
        <v>8796</v>
      </c>
      <c r="I1166" s="3">
        <v>3.54</v>
      </c>
      <c r="J1166" s="3">
        <v>22</v>
      </c>
      <c r="K1166" s="15" t="str">
        <f ca="1">IF(F1166="Enrolled",TODAY()-E1166,"0")</f>
        <v>0</v>
      </c>
      <c r="L1166" s="3" t="str">
        <f>IF(I1166&gt;=3.5,"Excellent",IF(I1166&gt;=3,"Good",IF(I1166&gt;=2,"Average","Poor")))</f>
        <v>Excellent</v>
      </c>
      <c r="M1166" s="3" t="str">
        <v>Dr.Mehta</v>
      </c>
      <c r="N1166" s="3" t="str">
        <f>IF(H1166 &gt; (G1166*50%), "Yes", "No")</f>
        <v>Yes</v>
      </c>
      <c r="O1166" s="16">
        <f>G1166-H1166</f>
        <v>-951</v>
      </c>
      <c r="P1166" s="16">
        <f>SUMIFS(O1166:O1166,E1166:E1166,"Science",F1166:F1166,"Completed")</f>
        <v>0</v>
      </c>
      <c r="Q1166" s="3" t="str">
        <f>IF(MONTH(E1166)&gt;=7, YEAR(E1166)&amp;"-"&amp;YEAR(E1166)+1, YEAR(E1166)-1&amp;"-"&amp;YEAR(E1166))</f>
        <v>2021-2022</v>
      </c>
      <c r="R1166" s="3"/>
      <c r="S1166" s="3"/>
      <c r="T1166" s="15">
        <f t="shared" ca="1" si="18"/>
        <v>1324</v>
      </c>
      <c r="U1166" s="3"/>
    </row>
    <row r="1167" spans="1:21" x14ac:dyDescent="0.35">
      <c r="A1167" s="3" t="s">
        <v>2355</v>
      </c>
      <c r="B1167" s="3" t="s">
        <v>2356</v>
      </c>
      <c r="C1167" s="3" t="s">
        <v>12</v>
      </c>
      <c r="D1167" s="3" t="s">
        <v>13</v>
      </c>
      <c r="E1167" s="6">
        <v>44800</v>
      </c>
      <c r="F1167" s="3" t="s">
        <v>14</v>
      </c>
      <c r="G1167" s="3">
        <v>9700</v>
      </c>
      <c r="H1167" s="3">
        <v>5277</v>
      </c>
      <c r="I1167" s="3">
        <v>3.74</v>
      </c>
      <c r="J1167" s="3">
        <v>61</v>
      </c>
      <c r="K1167" s="15">
        <f ca="1">IF(F1167="Enrolled",TODAY()-E1167,"0")</f>
        <v>1254</v>
      </c>
      <c r="L1167" s="3" t="str">
        <f>IF(I1167&gt;=3.5,"Excellent",IF(I1167&gt;=3,"Good",IF(I1167&gt;=2,"Average","Poor")))</f>
        <v>Excellent</v>
      </c>
      <c r="M1167" s="3" t="str">
        <v>Dr.Mehta</v>
      </c>
      <c r="N1167" s="3" t="str">
        <f>IF(H1167 &gt; (G1167*50%), "Yes", "No")</f>
        <v>Yes</v>
      </c>
      <c r="O1167" s="16">
        <f>G1167-H1167</f>
        <v>4423</v>
      </c>
      <c r="P1167" s="16">
        <f>SUMIFS(O1167:O1167,E1167:E1167,"Science",F1167:F1167,"Completed")</f>
        <v>0</v>
      </c>
      <c r="Q1167" s="3" t="str">
        <f>IF(MONTH(E1167)&gt;=7, YEAR(E1167)&amp;"-"&amp;YEAR(E1167)+1, YEAR(E1167)-1&amp;"-"&amp;YEAR(E1167))</f>
        <v>2022-2023</v>
      </c>
      <c r="R1167" s="3"/>
      <c r="S1167" s="3"/>
      <c r="T1167" s="15" t="str">
        <f t="shared" ca="1" si="18"/>
        <v>0</v>
      </c>
      <c r="U1167" s="3"/>
    </row>
    <row r="1168" spans="1:21" x14ac:dyDescent="0.35">
      <c r="A1168" s="3" t="s">
        <v>2357</v>
      </c>
      <c r="B1168" s="3" t="s">
        <v>2358</v>
      </c>
      <c r="C1168" s="3" t="s">
        <v>36</v>
      </c>
      <c r="D1168" s="3" t="s">
        <v>31</v>
      </c>
      <c r="E1168" s="6">
        <v>45438</v>
      </c>
      <c r="F1168" s="3" t="s">
        <v>14</v>
      </c>
      <c r="G1168" s="3">
        <v>6402</v>
      </c>
      <c r="H1168" s="3">
        <v>8298</v>
      </c>
      <c r="I1168" s="3">
        <v>2.7</v>
      </c>
      <c r="J1168" s="3">
        <v>24</v>
      </c>
      <c r="K1168" s="15">
        <f ca="1">IF(F1168="Enrolled",TODAY()-E1168,"0")</f>
        <v>616</v>
      </c>
      <c r="L1168" s="3" t="str">
        <f>IF(I1168&gt;=3.5,"Excellent",IF(I1168&gt;=3,"Good",IF(I1168&gt;=2,"Average","Poor")))</f>
        <v>Average</v>
      </c>
      <c r="M1168" s="3" t="str">
        <v>Dr.Sharma</v>
      </c>
      <c r="N1168" s="3" t="str">
        <f>IF(H1168 &gt; (G1168*50%), "Yes", "No")</f>
        <v>Yes</v>
      </c>
      <c r="O1168" s="16">
        <f>G1168-H1168</f>
        <v>-1896</v>
      </c>
      <c r="P1168" s="16">
        <f>SUMIFS(O1168:O1168,E1168:E1168,"Science",F1168:F1168,"Completed")</f>
        <v>0</v>
      </c>
      <c r="Q1168" s="3" t="str">
        <f>IF(MONTH(E1168)&gt;=7, YEAR(E1168)&amp;"-"&amp;YEAR(E1168)+1, YEAR(E1168)-1&amp;"-"&amp;YEAR(E1168))</f>
        <v>2023-2024</v>
      </c>
      <c r="R1168" s="3"/>
      <c r="S1168" s="3"/>
      <c r="T1168" s="15" t="str">
        <f t="shared" ca="1" si="18"/>
        <v>0</v>
      </c>
      <c r="U1168" s="3"/>
    </row>
    <row r="1169" spans="1:21" x14ac:dyDescent="0.35">
      <c r="A1169" s="3" t="s">
        <v>2359</v>
      </c>
      <c r="B1169" s="3" t="s">
        <v>2360</v>
      </c>
      <c r="C1169" s="3" t="s">
        <v>57</v>
      </c>
      <c r="D1169" s="3" t="s">
        <v>31</v>
      </c>
      <c r="E1169" s="6">
        <v>45143</v>
      </c>
      <c r="F1169" s="3" t="s">
        <v>14</v>
      </c>
      <c r="G1169" s="3">
        <v>9573</v>
      </c>
      <c r="H1169" s="3">
        <v>6314</v>
      </c>
      <c r="I1169" s="3">
        <v>3.03</v>
      </c>
      <c r="J1169" s="3">
        <v>20</v>
      </c>
      <c r="K1169" s="15">
        <f ca="1">IF(F1169="Enrolled",TODAY()-E1169,"0")</f>
        <v>911</v>
      </c>
      <c r="L1169" s="3" t="str">
        <f>IF(I1169&gt;=3.5,"Excellent",IF(I1169&gt;=3,"Good",IF(I1169&gt;=2,"Average","Poor")))</f>
        <v>Good</v>
      </c>
      <c r="M1169" s="3" t="str">
        <v>Dr.Sharma</v>
      </c>
      <c r="N1169" s="3" t="str">
        <f>IF(H1169 &gt; (G1169*50%), "Yes", "No")</f>
        <v>Yes</v>
      </c>
      <c r="O1169" s="16">
        <f>G1169-H1169</f>
        <v>3259</v>
      </c>
      <c r="P1169" s="16">
        <f>SUMIFS(O1169:O1169,E1169:E1169,"Science",F1169:F1169,"Completed")</f>
        <v>0</v>
      </c>
      <c r="Q1169" s="3" t="str">
        <f>IF(MONTH(E1169)&gt;=7, YEAR(E1169)&amp;"-"&amp;YEAR(E1169)+1, YEAR(E1169)-1&amp;"-"&amp;YEAR(E1169))</f>
        <v>2023-2024</v>
      </c>
      <c r="R1169" s="3"/>
      <c r="S1169" s="3"/>
      <c r="T1169" s="15" t="str">
        <f t="shared" ca="1" si="18"/>
        <v>0</v>
      </c>
      <c r="U1169" s="3"/>
    </row>
    <row r="1170" spans="1:21" x14ac:dyDescent="0.35">
      <c r="A1170" s="3" t="s">
        <v>2361</v>
      </c>
      <c r="B1170" s="3" t="s">
        <v>2362</v>
      </c>
      <c r="C1170" s="3" t="s">
        <v>28</v>
      </c>
      <c r="D1170" s="3" t="s">
        <v>13</v>
      </c>
      <c r="E1170" s="6">
        <v>44945</v>
      </c>
      <c r="F1170" s="3" t="s">
        <v>19</v>
      </c>
      <c r="G1170" s="3">
        <v>7706</v>
      </c>
      <c r="H1170" s="3">
        <v>6640</v>
      </c>
      <c r="I1170" s="3">
        <v>3.18</v>
      </c>
      <c r="J1170" s="3">
        <v>59</v>
      </c>
      <c r="K1170" s="15" t="str">
        <f ca="1">IF(F1170="Enrolled",TODAY()-E1170,"0")</f>
        <v>0</v>
      </c>
      <c r="L1170" s="3" t="str">
        <f>IF(I1170&gt;=3.5,"Excellent",IF(I1170&gt;=3,"Good",IF(I1170&gt;=2,"Average","Poor")))</f>
        <v>Good</v>
      </c>
      <c r="M1170" s="3" t="str">
        <v>Dr.Mehta</v>
      </c>
      <c r="N1170" s="3" t="str">
        <f>IF(H1170 &gt; (G1170*50%), "Yes", "No")</f>
        <v>Yes</v>
      </c>
      <c r="O1170" s="16">
        <f>G1170-H1170</f>
        <v>1066</v>
      </c>
      <c r="P1170" s="16">
        <f>SUMIFS(O1170:O1170,E1170:E1170,"Science",F1170:F1170,"Completed")</f>
        <v>0</v>
      </c>
      <c r="Q1170" s="3" t="str">
        <f>IF(MONTH(E1170)&gt;=7, YEAR(E1170)&amp;"-"&amp;YEAR(E1170)+1, YEAR(E1170)-1&amp;"-"&amp;YEAR(E1170))</f>
        <v>2022-2023</v>
      </c>
      <c r="R1170" s="3"/>
      <c r="S1170" s="3"/>
      <c r="T1170" s="15">
        <f t="shared" ca="1" si="18"/>
        <v>1109</v>
      </c>
      <c r="U1170" s="3"/>
    </row>
    <row r="1171" spans="1:21" x14ac:dyDescent="0.35">
      <c r="A1171" s="3" t="s">
        <v>2363</v>
      </c>
      <c r="B1171" s="3" t="s">
        <v>2364</v>
      </c>
      <c r="C1171" s="3" t="s">
        <v>12</v>
      </c>
      <c r="D1171" s="3" t="s">
        <v>31</v>
      </c>
      <c r="E1171" s="6">
        <v>44744</v>
      </c>
      <c r="F1171" s="3" t="s">
        <v>14</v>
      </c>
      <c r="G1171" s="3">
        <v>12608</v>
      </c>
      <c r="H1171" s="3">
        <v>1280</v>
      </c>
      <c r="I1171" s="3">
        <v>2.16</v>
      </c>
      <c r="J1171" s="3">
        <v>69</v>
      </c>
      <c r="K1171" s="15">
        <f ca="1">IF(F1171="Enrolled",TODAY()-E1171,"0")</f>
        <v>1310</v>
      </c>
      <c r="L1171" s="3" t="str">
        <f>IF(I1171&gt;=3.5,"Excellent",IF(I1171&gt;=3,"Good",IF(I1171&gt;=2,"Average","Poor")))</f>
        <v>Average</v>
      </c>
      <c r="M1171" s="3" t="str">
        <v>Dr.Sharma</v>
      </c>
      <c r="N1171" s="3" t="str">
        <f>IF(H1171 &gt; (G1171*50%), "Yes", "No")</f>
        <v>No</v>
      </c>
      <c r="O1171" s="16">
        <f>G1171-H1171</f>
        <v>11328</v>
      </c>
      <c r="P1171" s="16">
        <f>SUMIFS(O1171:O1171,E1171:E1171,"Science",F1171:F1171,"Completed")</f>
        <v>0</v>
      </c>
      <c r="Q1171" s="3" t="str">
        <f>IF(MONTH(E1171)&gt;=7, YEAR(E1171)&amp;"-"&amp;YEAR(E1171)+1, YEAR(E1171)-1&amp;"-"&amp;YEAR(E1171))</f>
        <v>2022-2023</v>
      </c>
      <c r="R1171" s="3"/>
      <c r="S1171" s="3"/>
      <c r="T1171" s="15" t="str">
        <f t="shared" ca="1" si="18"/>
        <v>0</v>
      </c>
      <c r="U1171" s="3"/>
    </row>
    <row r="1172" spans="1:21" x14ac:dyDescent="0.35">
      <c r="A1172" s="3" t="s">
        <v>2365</v>
      </c>
      <c r="B1172" s="3" t="s">
        <v>2366</v>
      </c>
      <c r="C1172" s="3" t="s">
        <v>25</v>
      </c>
      <c r="D1172" s="3" t="s">
        <v>62</v>
      </c>
      <c r="E1172" s="6">
        <v>45435</v>
      </c>
      <c r="F1172" s="3" t="s">
        <v>19</v>
      </c>
      <c r="G1172" s="3">
        <v>8446</v>
      </c>
      <c r="H1172" s="3">
        <v>2499</v>
      </c>
      <c r="I1172" s="3">
        <v>2.5099999999999998</v>
      </c>
      <c r="J1172" s="3">
        <v>20</v>
      </c>
      <c r="K1172" s="15" t="str">
        <f ca="1">IF(F1172="Enrolled",TODAY()-E1172,"0")</f>
        <v>0</v>
      </c>
      <c r="L1172" s="3" t="str">
        <f>IF(I1172&gt;=3.5,"Excellent",IF(I1172&gt;=3,"Good",IF(I1172&gt;=2,"Average","Poor")))</f>
        <v>Average</v>
      </c>
      <c r="M1172" s="3" t="str">
        <v>Dr.Sinha</v>
      </c>
      <c r="N1172" s="3" t="str">
        <f>IF(H1172 &gt; (G1172*50%), "Yes", "No")</f>
        <v>No</v>
      </c>
      <c r="O1172" s="16">
        <f>G1172-H1172</f>
        <v>5947</v>
      </c>
      <c r="P1172" s="16">
        <f>SUMIFS(O1172:O1172,E1172:E1172,"Science",F1172:F1172,"Completed")</f>
        <v>0</v>
      </c>
      <c r="Q1172" s="3" t="str">
        <f>IF(MONTH(E1172)&gt;=7, YEAR(E1172)&amp;"-"&amp;YEAR(E1172)+1, YEAR(E1172)-1&amp;"-"&amp;YEAR(E1172))</f>
        <v>2023-2024</v>
      </c>
      <c r="R1172" s="3"/>
      <c r="S1172" s="3"/>
      <c r="T1172" s="15">
        <f t="shared" ca="1" si="18"/>
        <v>619</v>
      </c>
      <c r="U1172" s="3"/>
    </row>
    <row r="1173" spans="1:21" x14ac:dyDescent="0.35">
      <c r="A1173" s="3" t="s">
        <v>2367</v>
      </c>
      <c r="B1173" s="3" t="s">
        <v>2368</v>
      </c>
      <c r="C1173" s="3" t="s">
        <v>28</v>
      </c>
      <c r="D1173" s="3" t="s">
        <v>18</v>
      </c>
      <c r="E1173" s="6">
        <v>45363</v>
      </c>
      <c r="F1173" s="3" t="s">
        <v>14</v>
      </c>
      <c r="G1173" s="3">
        <v>2545</v>
      </c>
      <c r="H1173" s="3">
        <v>7321</v>
      </c>
      <c r="I1173" s="3">
        <v>3.37</v>
      </c>
      <c r="J1173" s="3">
        <v>92</v>
      </c>
      <c r="K1173" s="15">
        <f ca="1">IF(F1173="Enrolled",TODAY()-E1173,"0")</f>
        <v>691</v>
      </c>
      <c r="L1173" s="3" t="str">
        <f>IF(I1173&gt;=3.5,"Excellent",IF(I1173&gt;=3,"Good",IF(I1173&gt;=2,"Average","Poor")))</f>
        <v>Good</v>
      </c>
      <c r="M1173" s="3" t="str">
        <v>Dr.Roy</v>
      </c>
      <c r="N1173" s="3" t="str">
        <f>IF(H1173 &gt; (G1173*50%), "Yes", "No")</f>
        <v>Yes</v>
      </c>
      <c r="O1173" s="16">
        <f>G1173-H1173</f>
        <v>-4776</v>
      </c>
      <c r="P1173" s="16">
        <f>SUMIFS(O1173:O1173,E1173:E1173,"Science",F1173:F1173,"Completed")</f>
        <v>0</v>
      </c>
      <c r="Q1173" s="3" t="str">
        <f>IF(MONTH(E1173)&gt;=7, YEAR(E1173)&amp;"-"&amp;YEAR(E1173)+1, YEAR(E1173)-1&amp;"-"&amp;YEAR(E1173))</f>
        <v>2023-2024</v>
      </c>
      <c r="R1173" s="3"/>
      <c r="S1173" s="3"/>
      <c r="T1173" s="15" t="str">
        <f t="shared" ca="1" si="18"/>
        <v>0</v>
      </c>
      <c r="U1173" s="3"/>
    </row>
    <row r="1174" spans="1:21" x14ac:dyDescent="0.35">
      <c r="A1174" s="3" t="s">
        <v>2369</v>
      </c>
      <c r="B1174" s="3" t="s">
        <v>2370</v>
      </c>
      <c r="C1174" s="3" t="s">
        <v>28</v>
      </c>
      <c r="D1174" s="3" t="s">
        <v>62</v>
      </c>
      <c r="E1174" s="6">
        <v>44723</v>
      </c>
      <c r="F1174" s="3" t="s">
        <v>14</v>
      </c>
      <c r="G1174" s="3">
        <v>8550</v>
      </c>
      <c r="H1174" s="3">
        <v>4769</v>
      </c>
      <c r="I1174" s="3">
        <v>3.71</v>
      </c>
      <c r="J1174" s="3">
        <v>96</v>
      </c>
      <c r="K1174" s="15">
        <f ca="1">IF(F1174="Enrolled",TODAY()-E1174,"0")</f>
        <v>1331</v>
      </c>
      <c r="L1174" s="3" t="str">
        <f>IF(I1174&gt;=3.5,"Excellent",IF(I1174&gt;=3,"Good",IF(I1174&gt;=2,"Average","Poor")))</f>
        <v>Excellent</v>
      </c>
      <c r="M1174" s="3" t="str">
        <v>Dr.Sinha</v>
      </c>
      <c r="N1174" s="3" t="str">
        <f>IF(H1174 &gt; (G1174*50%), "Yes", "No")</f>
        <v>Yes</v>
      </c>
      <c r="O1174" s="16">
        <f>G1174-H1174</f>
        <v>3781</v>
      </c>
      <c r="P1174" s="16">
        <f>SUMIFS(O1174:O1174,E1174:E1174,"Science",F1174:F1174,"Completed")</f>
        <v>0</v>
      </c>
      <c r="Q1174" s="3" t="str">
        <f>IF(MONTH(E1174)&gt;=7, YEAR(E1174)&amp;"-"&amp;YEAR(E1174)+1, YEAR(E1174)-1&amp;"-"&amp;YEAR(E1174))</f>
        <v>2021-2022</v>
      </c>
      <c r="R1174" s="3"/>
      <c r="S1174" s="3"/>
      <c r="T1174" s="15" t="str">
        <f t="shared" ca="1" si="18"/>
        <v>0</v>
      </c>
      <c r="U1174" s="3"/>
    </row>
    <row r="1175" spans="1:21" x14ac:dyDescent="0.35">
      <c r="A1175" s="3" t="s">
        <v>2371</v>
      </c>
      <c r="B1175" s="3" t="s">
        <v>2372</v>
      </c>
      <c r="C1175" s="3" t="s">
        <v>12</v>
      </c>
      <c r="D1175" s="3" t="s">
        <v>18</v>
      </c>
      <c r="E1175" s="6">
        <v>45163</v>
      </c>
      <c r="F1175" s="3" t="s">
        <v>14</v>
      </c>
      <c r="G1175" s="3">
        <v>12524</v>
      </c>
      <c r="H1175" s="3">
        <v>7194</v>
      </c>
      <c r="I1175" s="3">
        <v>2.37</v>
      </c>
      <c r="J1175" s="3">
        <v>83</v>
      </c>
      <c r="K1175" s="15">
        <f ca="1">IF(F1175="Enrolled",TODAY()-E1175,"0")</f>
        <v>891</v>
      </c>
      <c r="L1175" s="3" t="str">
        <f>IF(I1175&gt;=3.5,"Excellent",IF(I1175&gt;=3,"Good",IF(I1175&gt;=2,"Average","Poor")))</f>
        <v>Average</v>
      </c>
      <c r="M1175" s="3" t="str">
        <v>Dr.Roy</v>
      </c>
      <c r="N1175" s="3" t="str">
        <f>IF(H1175 &gt; (G1175*50%), "Yes", "No")</f>
        <v>Yes</v>
      </c>
      <c r="O1175" s="16">
        <f>G1175-H1175</f>
        <v>5330</v>
      </c>
      <c r="P1175" s="16">
        <f>SUMIFS(O1175:O1175,E1175:E1175,"Science",F1175:F1175,"Completed")</f>
        <v>0</v>
      </c>
      <c r="Q1175" s="3" t="str">
        <f>IF(MONTH(E1175)&gt;=7, YEAR(E1175)&amp;"-"&amp;YEAR(E1175)+1, YEAR(E1175)-1&amp;"-"&amp;YEAR(E1175))</f>
        <v>2023-2024</v>
      </c>
      <c r="R1175" s="3"/>
      <c r="S1175" s="3"/>
      <c r="T1175" s="15" t="str">
        <f t="shared" ca="1" si="18"/>
        <v>0</v>
      </c>
      <c r="U1175" s="3"/>
    </row>
    <row r="1176" spans="1:21" x14ac:dyDescent="0.35">
      <c r="A1176" s="3" t="s">
        <v>2373</v>
      </c>
      <c r="B1176" s="3" t="s">
        <v>2374</v>
      </c>
      <c r="C1176" s="3" t="s">
        <v>36</v>
      </c>
      <c r="D1176" s="3" t="s">
        <v>31</v>
      </c>
      <c r="E1176" s="6">
        <v>44772</v>
      </c>
      <c r="F1176" s="3" t="s">
        <v>19</v>
      </c>
      <c r="G1176" s="3">
        <v>10890</v>
      </c>
      <c r="H1176" s="3">
        <v>155</v>
      </c>
      <c r="I1176" s="3">
        <v>3.4</v>
      </c>
      <c r="J1176" s="3">
        <v>5</v>
      </c>
      <c r="K1176" s="15" t="str">
        <f ca="1">IF(F1176="Enrolled",TODAY()-E1176,"0")</f>
        <v>0</v>
      </c>
      <c r="L1176" s="3" t="str">
        <f>IF(I1176&gt;=3.5,"Excellent",IF(I1176&gt;=3,"Good",IF(I1176&gt;=2,"Average","Poor")))</f>
        <v>Good</v>
      </c>
      <c r="M1176" s="3" t="str">
        <v>Dr.Sharma</v>
      </c>
      <c r="N1176" s="3" t="str">
        <f>IF(H1176 &gt; (G1176*50%), "Yes", "No")</f>
        <v>No</v>
      </c>
      <c r="O1176" s="16">
        <f>G1176-H1176</f>
        <v>10735</v>
      </c>
      <c r="P1176" s="16">
        <f>SUMIFS(O1176:O1176,E1176:E1176,"Science",F1176:F1176,"Completed")</f>
        <v>0</v>
      </c>
      <c r="Q1176" s="3" t="str">
        <f>IF(MONTH(E1176)&gt;=7, YEAR(E1176)&amp;"-"&amp;YEAR(E1176)+1, YEAR(E1176)-1&amp;"-"&amp;YEAR(E1176))</f>
        <v>2022-2023</v>
      </c>
      <c r="R1176" s="3"/>
      <c r="S1176" s="3"/>
      <c r="T1176" s="15">
        <f t="shared" ca="1" si="18"/>
        <v>1282</v>
      </c>
      <c r="U1176" s="3"/>
    </row>
    <row r="1177" spans="1:21" x14ac:dyDescent="0.35">
      <c r="A1177" s="3" t="s">
        <v>2375</v>
      </c>
      <c r="B1177" s="3" t="s">
        <v>2376</v>
      </c>
      <c r="C1177" s="3" t="s">
        <v>54</v>
      </c>
      <c r="D1177" s="3" t="s">
        <v>62</v>
      </c>
      <c r="E1177" s="6">
        <v>44697</v>
      </c>
      <c r="F1177" s="3" t="s">
        <v>14</v>
      </c>
      <c r="G1177" s="3">
        <v>2192</v>
      </c>
      <c r="H1177" s="3">
        <v>6436</v>
      </c>
      <c r="I1177" s="3">
        <v>2.78</v>
      </c>
      <c r="J1177" s="3">
        <v>40</v>
      </c>
      <c r="K1177" s="15">
        <f ca="1">IF(F1177="Enrolled",TODAY()-E1177,"0")</f>
        <v>1357</v>
      </c>
      <c r="L1177" s="3" t="str">
        <f>IF(I1177&gt;=3.5,"Excellent",IF(I1177&gt;=3,"Good",IF(I1177&gt;=2,"Average","Poor")))</f>
        <v>Average</v>
      </c>
      <c r="M1177" s="3" t="str">
        <v>Dr.Sinha</v>
      </c>
      <c r="N1177" s="3" t="str">
        <f>IF(H1177 &gt; (G1177*50%), "Yes", "No")</f>
        <v>Yes</v>
      </c>
      <c r="O1177" s="16">
        <f>G1177-H1177</f>
        <v>-4244</v>
      </c>
      <c r="P1177" s="16">
        <f>SUMIFS(O1177:O1177,E1177:E1177,"Science",F1177:F1177,"Completed")</f>
        <v>0</v>
      </c>
      <c r="Q1177" s="3" t="str">
        <f>IF(MONTH(E1177)&gt;=7, YEAR(E1177)&amp;"-"&amp;YEAR(E1177)+1, YEAR(E1177)-1&amp;"-"&amp;YEAR(E1177))</f>
        <v>2021-2022</v>
      </c>
      <c r="R1177" s="3"/>
      <c r="S1177" s="3"/>
      <c r="T1177" s="15" t="str">
        <f t="shared" ca="1" si="18"/>
        <v>0</v>
      </c>
      <c r="U1177" s="3"/>
    </row>
    <row r="1178" spans="1:21" x14ac:dyDescent="0.35">
      <c r="A1178" s="3" t="s">
        <v>2377</v>
      </c>
      <c r="B1178" s="3" t="s">
        <v>2378</v>
      </c>
      <c r="C1178" s="3" t="s">
        <v>57</v>
      </c>
      <c r="D1178" s="3" t="s">
        <v>13</v>
      </c>
      <c r="E1178" s="6">
        <v>45429</v>
      </c>
      <c r="F1178" s="3" t="s">
        <v>14</v>
      </c>
      <c r="G1178" s="3">
        <v>5414</v>
      </c>
      <c r="H1178" s="3">
        <v>7691</v>
      </c>
      <c r="I1178" s="3">
        <v>2.96</v>
      </c>
      <c r="J1178" s="3">
        <v>85</v>
      </c>
      <c r="K1178" s="15">
        <f ca="1">IF(F1178="Enrolled",TODAY()-E1178,"0")</f>
        <v>625</v>
      </c>
      <c r="L1178" s="3" t="str">
        <f>IF(I1178&gt;=3.5,"Excellent",IF(I1178&gt;=3,"Good",IF(I1178&gt;=2,"Average","Poor")))</f>
        <v>Average</v>
      </c>
      <c r="M1178" s="3" t="str">
        <v>Dr.Mehta</v>
      </c>
      <c r="N1178" s="3" t="str">
        <f>IF(H1178 &gt; (G1178*50%), "Yes", "No")</f>
        <v>Yes</v>
      </c>
      <c r="O1178" s="16">
        <f>G1178-H1178</f>
        <v>-2277</v>
      </c>
      <c r="P1178" s="16">
        <f>SUMIFS(O1178:O1178,E1178:E1178,"Science",F1178:F1178,"Completed")</f>
        <v>0</v>
      </c>
      <c r="Q1178" s="3" t="str">
        <f>IF(MONTH(E1178)&gt;=7, YEAR(E1178)&amp;"-"&amp;YEAR(E1178)+1, YEAR(E1178)-1&amp;"-"&amp;YEAR(E1178))</f>
        <v>2023-2024</v>
      </c>
      <c r="R1178" s="3"/>
      <c r="S1178" s="3"/>
      <c r="T1178" s="15" t="str">
        <f t="shared" ca="1" si="18"/>
        <v>0</v>
      </c>
      <c r="U1178" s="3"/>
    </row>
    <row r="1179" spans="1:21" x14ac:dyDescent="0.35">
      <c r="A1179" s="3" t="s">
        <v>2379</v>
      </c>
      <c r="B1179" s="3" t="s">
        <v>2380</v>
      </c>
      <c r="C1179" s="3" t="s">
        <v>28</v>
      </c>
      <c r="D1179" s="3" t="s">
        <v>13</v>
      </c>
      <c r="E1179" s="6">
        <v>44954</v>
      </c>
      <c r="F1179" s="3" t="s">
        <v>14</v>
      </c>
      <c r="G1179" s="3">
        <v>14445</v>
      </c>
      <c r="H1179" s="3">
        <v>8067</v>
      </c>
      <c r="I1179" s="3">
        <v>2.42</v>
      </c>
      <c r="J1179" s="3">
        <v>115</v>
      </c>
      <c r="K1179" s="15">
        <f ca="1">IF(F1179="Enrolled",TODAY()-E1179,"0")</f>
        <v>1100</v>
      </c>
      <c r="L1179" s="3" t="str">
        <f>IF(I1179&gt;=3.5,"Excellent",IF(I1179&gt;=3,"Good",IF(I1179&gt;=2,"Average","Poor")))</f>
        <v>Average</v>
      </c>
      <c r="M1179" s="3" t="str">
        <v>Dr.Mehta</v>
      </c>
      <c r="N1179" s="3" t="str">
        <f>IF(H1179 &gt; (G1179*50%), "Yes", "No")</f>
        <v>Yes</v>
      </c>
      <c r="O1179" s="16">
        <f>G1179-H1179</f>
        <v>6378</v>
      </c>
      <c r="P1179" s="16">
        <f>SUMIFS(O1179:O1179,E1179:E1179,"Science",F1179:F1179,"Completed")</f>
        <v>0</v>
      </c>
      <c r="Q1179" s="3" t="str">
        <f>IF(MONTH(E1179)&gt;=7, YEAR(E1179)&amp;"-"&amp;YEAR(E1179)+1, YEAR(E1179)-1&amp;"-"&amp;YEAR(E1179))</f>
        <v>2022-2023</v>
      </c>
      <c r="R1179" s="3"/>
      <c r="S1179" s="3"/>
      <c r="T1179" s="15" t="str">
        <f t="shared" ca="1" si="18"/>
        <v>0</v>
      </c>
      <c r="U1179" s="3"/>
    </row>
    <row r="1180" spans="1:21" x14ac:dyDescent="0.35">
      <c r="A1180" s="3" t="s">
        <v>2381</v>
      </c>
      <c r="B1180" s="3" t="s">
        <v>2382</v>
      </c>
      <c r="C1180" s="3" t="s">
        <v>28</v>
      </c>
      <c r="D1180" s="3" t="s">
        <v>18</v>
      </c>
      <c r="E1180" s="6">
        <v>44807</v>
      </c>
      <c r="F1180" s="3" t="s">
        <v>19</v>
      </c>
      <c r="G1180" s="3">
        <v>6203</v>
      </c>
      <c r="H1180" s="3">
        <v>4414</v>
      </c>
      <c r="I1180" s="3">
        <v>3.19</v>
      </c>
      <c r="J1180" s="3">
        <v>8</v>
      </c>
      <c r="K1180" s="15" t="str">
        <f ca="1">IF(F1180="Enrolled",TODAY()-E1180,"0")</f>
        <v>0</v>
      </c>
      <c r="L1180" s="3" t="str">
        <f>IF(I1180&gt;=3.5,"Excellent",IF(I1180&gt;=3,"Good",IF(I1180&gt;=2,"Average","Poor")))</f>
        <v>Good</v>
      </c>
      <c r="M1180" s="3" t="str">
        <v>Dr.Roy</v>
      </c>
      <c r="N1180" s="3" t="str">
        <f>IF(H1180 &gt; (G1180*50%), "Yes", "No")</f>
        <v>Yes</v>
      </c>
      <c r="O1180" s="16">
        <f>G1180-H1180</f>
        <v>1789</v>
      </c>
      <c r="P1180" s="16">
        <f>SUMIFS(O1180:O1180,E1180:E1180,"Science",F1180:F1180,"Completed")</f>
        <v>0</v>
      </c>
      <c r="Q1180" s="3" t="str">
        <f>IF(MONTH(E1180)&gt;=7, YEAR(E1180)&amp;"-"&amp;YEAR(E1180)+1, YEAR(E1180)-1&amp;"-"&amp;YEAR(E1180))</f>
        <v>2022-2023</v>
      </c>
      <c r="R1180" s="3"/>
      <c r="S1180" s="3"/>
      <c r="T1180" s="15">
        <f t="shared" ca="1" si="18"/>
        <v>1247</v>
      </c>
      <c r="U1180" s="3"/>
    </row>
    <row r="1181" spans="1:21" x14ac:dyDescent="0.35">
      <c r="A1181" s="3" t="s">
        <v>2383</v>
      </c>
      <c r="B1181" s="3" t="s">
        <v>2384</v>
      </c>
      <c r="C1181" s="3" t="s">
        <v>57</v>
      </c>
      <c r="D1181" s="3" t="s">
        <v>31</v>
      </c>
      <c r="E1181" s="6">
        <v>44927</v>
      </c>
      <c r="F1181" s="3" t="s">
        <v>19</v>
      </c>
      <c r="G1181" s="3">
        <v>2102</v>
      </c>
      <c r="H1181" s="3">
        <v>541</v>
      </c>
      <c r="I1181" s="3">
        <v>2.87</v>
      </c>
      <c r="J1181" s="3">
        <v>65</v>
      </c>
      <c r="K1181" s="15" t="str">
        <f ca="1">IF(F1181="Enrolled",TODAY()-E1181,"0")</f>
        <v>0</v>
      </c>
      <c r="L1181" s="3" t="str">
        <f>IF(I1181&gt;=3.5,"Excellent",IF(I1181&gt;=3,"Good",IF(I1181&gt;=2,"Average","Poor")))</f>
        <v>Average</v>
      </c>
      <c r="M1181" s="3" t="str">
        <v>Dr.Sharma</v>
      </c>
      <c r="N1181" s="3" t="str">
        <f>IF(H1181 &gt; (G1181*50%), "Yes", "No")</f>
        <v>No</v>
      </c>
      <c r="O1181" s="16">
        <f>G1181-H1181</f>
        <v>1561</v>
      </c>
      <c r="P1181" s="16">
        <f>SUMIFS(O1181:O1181,E1181:E1181,"Science",F1181:F1181,"Completed")</f>
        <v>0</v>
      </c>
      <c r="Q1181" s="3" t="str">
        <f>IF(MONTH(E1181)&gt;=7, YEAR(E1181)&amp;"-"&amp;YEAR(E1181)+1, YEAR(E1181)-1&amp;"-"&amp;YEAR(E1181))</f>
        <v>2022-2023</v>
      </c>
      <c r="R1181" s="3"/>
      <c r="S1181" s="3"/>
      <c r="T1181" s="15">
        <f t="shared" ca="1" si="18"/>
        <v>1127</v>
      </c>
      <c r="U1181" s="3"/>
    </row>
    <row r="1182" spans="1:21" x14ac:dyDescent="0.35">
      <c r="A1182" s="3" t="s">
        <v>2385</v>
      </c>
      <c r="B1182" s="3" t="s">
        <v>2386</v>
      </c>
      <c r="C1182" s="3" t="s">
        <v>57</v>
      </c>
      <c r="D1182" s="3" t="s">
        <v>31</v>
      </c>
      <c r="E1182" s="6">
        <v>44742</v>
      </c>
      <c r="F1182" s="3" t="s">
        <v>14</v>
      </c>
      <c r="G1182" s="3">
        <v>11324</v>
      </c>
      <c r="H1182" s="3">
        <v>3891</v>
      </c>
      <c r="I1182" s="3">
        <v>2.94</v>
      </c>
      <c r="J1182" s="3">
        <v>86</v>
      </c>
      <c r="K1182" s="15">
        <f ca="1">IF(F1182="Enrolled",TODAY()-E1182,"0")</f>
        <v>1312</v>
      </c>
      <c r="L1182" s="3" t="str">
        <f>IF(I1182&gt;=3.5,"Excellent",IF(I1182&gt;=3,"Good",IF(I1182&gt;=2,"Average","Poor")))</f>
        <v>Average</v>
      </c>
      <c r="M1182" s="3" t="str">
        <v>Dr.Sharma</v>
      </c>
      <c r="N1182" s="3" t="str">
        <f>IF(H1182 &gt; (G1182*50%), "Yes", "No")</f>
        <v>No</v>
      </c>
      <c r="O1182" s="16">
        <f>G1182-H1182</f>
        <v>7433</v>
      </c>
      <c r="P1182" s="16">
        <f>SUMIFS(O1182:O1182,E1182:E1182,"Science",F1182:F1182,"Completed")</f>
        <v>0</v>
      </c>
      <c r="Q1182" s="3" t="str">
        <f>IF(MONTH(E1182)&gt;=7, YEAR(E1182)&amp;"-"&amp;YEAR(E1182)+1, YEAR(E1182)-1&amp;"-"&amp;YEAR(E1182))</f>
        <v>2021-2022</v>
      </c>
      <c r="R1182" s="3"/>
      <c r="S1182" s="3"/>
      <c r="T1182" s="15" t="str">
        <f t="shared" ca="1" si="18"/>
        <v>0</v>
      </c>
      <c r="U1182" s="3"/>
    </row>
    <row r="1183" spans="1:21" x14ac:dyDescent="0.35">
      <c r="A1183" s="3" t="s">
        <v>2387</v>
      </c>
      <c r="B1183" s="3" t="s">
        <v>2388</v>
      </c>
      <c r="C1183" s="3" t="s">
        <v>17</v>
      </c>
      <c r="D1183" s="3" t="s">
        <v>13</v>
      </c>
      <c r="E1183" s="6">
        <v>44723</v>
      </c>
      <c r="F1183" s="3" t="s">
        <v>14</v>
      </c>
      <c r="G1183" s="3">
        <v>5209</v>
      </c>
      <c r="H1183" s="3">
        <v>438</v>
      </c>
      <c r="I1183" s="3">
        <v>3.47</v>
      </c>
      <c r="J1183" s="3">
        <v>60</v>
      </c>
      <c r="K1183" s="15">
        <f ca="1">IF(F1183="Enrolled",TODAY()-E1183,"0")</f>
        <v>1331</v>
      </c>
      <c r="L1183" s="3" t="str">
        <f>IF(I1183&gt;=3.5,"Excellent",IF(I1183&gt;=3,"Good",IF(I1183&gt;=2,"Average","Poor")))</f>
        <v>Good</v>
      </c>
      <c r="M1183" s="3" t="str">
        <v>Dr.Mehta</v>
      </c>
      <c r="N1183" s="3" t="str">
        <f>IF(H1183 &gt; (G1183*50%), "Yes", "No")</f>
        <v>No</v>
      </c>
      <c r="O1183" s="16">
        <f>G1183-H1183</f>
        <v>4771</v>
      </c>
      <c r="P1183" s="16">
        <f>SUMIFS(O1183:O1183,E1183:E1183,"Science",F1183:F1183,"Completed")</f>
        <v>0</v>
      </c>
      <c r="Q1183" s="3" t="str">
        <f>IF(MONTH(E1183)&gt;=7, YEAR(E1183)&amp;"-"&amp;YEAR(E1183)+1, YEAR(E1183)-1&amp;"-"&amp;YEAR(E1183))</f>
        <v>2021-2022</v>
      </c>
      <c r="R1183" s="3"/>
      <c r="S1183" s="3"/>
      <c r="T1183" s="15" t="str">
        <f t="shared" ca="1" si="18"/>
        <v>0</v>
      </c>
      <c r="U1183" s="3"/>
    </row>
    <row r="1184" spans="1:21" x14ac:dyDescent="0.35">
      <c r="A1184" s="3" t="s">
        <v>2389</v>
      </c>
      <c r="B1184" s="3" t="s">
        <v>2390</v>
      </c>
      <c r="C1184" s="3" t="s">
        <v>17</v>
      </c>
      <c r="D1184" s="3" t="s">
        <v>62</v>
      </c>
      <c r="E1184" s="6">
        <v>44991</v>
      </c>
      <c r="F1184" s="3" t="s">
        <v>14</v>
      </c>
      <c r="G1184" s="3">
        <v>6599</v>
      </c>
      <c r="H1184" s="3">
        <v>5901</v>
      </c>
      <c r="I1184" s="3">
        <v>2.14</v>
      </c>
      <c r="J1184" s="3">
        <v>108</v>
      </c>
      <c r="K1184" s="15">
        <f ca="1">IF(F1184="Enrolled",TODAY()-E1184,"0")</f>
        <v>1063</v>
      </c>
      <c r="L1184" s="3" t="str">
        <f>IF(I1184&gt;=3.5,"Excellent",IF(I1184&gt;=3,"Good",IF(I1184&gt;=2,"Average","Poor")))</f>
        <v>Average</v>
      </c>
      <c r="M1184" s="3" t="str">
        <v>Dr.Sinha</v>
      </c>
      <c r="N1184" s="3" t="str">
        <f>IF(H1184 &gt; (G1184*50%), "Yes", "No")</f>
        <v>Yes</v>
      </c>
      <c r="O1184" s="16">
        <f>G1184-H1184</f>
        <v>698</v>
      </c>
      <c r="P1184" s="16">
        <f>SUMIFS(O1184:O1184,E1184:E1184,"Science",F1184:F1184,"Completed")</f>
        <v>0</v>
      </c>
      <c r="Q1184" s="3" t="str">
        <f>IF(MONTH(E1184)&gt;=7, YEAR(E1184)&amp;"-"&amp;YEAR(E1184)+1, YEAR(E1184)-1&amp;"-"&amp;YEAR(E1184))</f>
        <v>2022-2023</v>
      </c>
      <c r="R1184" s="3"/>
      <c r="S1184" s="3"/>
      <c r="T1184" s="15" t="str">
        <f t="shared" ca="1" si="18"/>
        <v>0</v>
      </c>
      <c r="U1184" s="3"/>
    </row>
    <row r="1185" spans="1:21" x14ac:dyDescent="0.35">
      <c r="A1185" s="3" t="s">
        <v>2391</v>
      </c>
      <c r="B1185" s="3" t="s">
        <v>2392</v>
      </c>
      <c r="C1185" s="3" t="s">
        <v>54</v>
      </c>
      <c r="D1185" s="3" t="s">
        <v>13</v>
      </c>
      <c r="E1185" s="6">
        <v>45151</v>
      </c>
      <c r="F1185" s="3" t="s">
        <v>19</v>
      </c>
      <c r="G1185" s="3">
        <v>4959</v>
      </c>
      <c r="H1185" s="3">
        <v>7747</v>
      </c>
      <c r="I1185" s="3">
        <v>3.05</v>
      </c>
      <c r="J1185" s="3">
        <v>96</v>
      </c>
      <c r="K1185" s="15" t="str">
        <f ca="1">IF(F1185="Enrolled",TODAY()-E1185,"0")</f>
        <v>0</v>
      </c>
      <c r="L1185" s="3" t="str">
        <f>IF(I1185&gt;=3.5,"Excellent",IF(I1185&gt;=3,"Good",IF(I1185&gt;=2,"Average","Poor")))</f>
        <v>Good</v>
      </c>
      <c r="M1185" s="3" t="str">
        <v>Dr.Mehta</v>
      </c>
      <c r="N1185" s="3" t="str">
        <f>IF(H1185 &gt; (G1185*50%), "Yes", "No")</f>
        <v>Yes</v>
      </c>
      <c r="O1185" s="16">
        <f>G1185-H1185</f>
        <v>-2788</v>
      </c>
      <c r="P1185" s="16">
        <f>SUMIFS(O1185:O1185,E1185:E1185,"Science",F1185:F1185,"Completed")</f>
        <v>0</v>
      </c>
      <c r="Q1185" s="3" t="str">
        <f>IF(MONTH(E1185)&gt;=7, YEAR(E1185)&amp;"-"&amp;YEAR(E1185)+1, YEAR(E1185)-1&amp;"-"&amp;YEAR(E1185))</f>
        <v>2023-2024</v>
      </c>
      <c r="R1185" s="3"/>
      <c r="S1185" s="3"/>
      <c r="T1185" s="15">
        <f t="shared" ca="1" si="18"/>
        <v>903</v>
      </c>
      <c r="U1185" s="3"/>
    </row>
    <row r="1186" spans="1:21" x14ac:dyDescent="0.35">
      <c r="A1186" s="3" t="s">
        <v>2393</v>
      </c>
      <c r="B1186" s="3" t="s">
        <v>2394</v>
      </c>
      <c r="C1186" s="3" t="s">
        <v>17</v>
      </c>
      <c r="D1186" s="3" t="s">
        <v>62</v>
      </c>
      <c r="E1186" s="6">
        <v>45416</v>
      </c>
      <c r="F1186" s="3" t="s">
        <v>14</v>
      </c>
      <c r="G1186" s="3">
        <v>8084</v>
      </c>
      <c r="H1186" s="3">
        <v>6788</v>
      </c>
      <c r="I1186" s="3">
        <v>3.26</v>
      </c>
      <c r="J1186" s="3">
        <v>115</v>
      </c>
      <c r="K1186" s="15">
        <f ca="1">IF(F1186="Enrolled",TODAY()-E1186,"0")</f>
        <v>638</v>
      </c>
      <c r="L1186" s="3" t="str">
        <f>IF(I1186&gt;=3.5,"Excellent",IF(I1186&gt;=3,"Good",IF(I1186&gt;=2,"Average","Poor")))</f>
        <v>Good</v>
      </c>
      <c r="M1186" s="3" t="str">
        <v>Dr.Sinha</v>
      </c>
      <c r="N1186" s="3" t="str">
        <f>IF(H1186 &gt; (G1186*50%), "Yes", "No")</f>
        <v>Yes</v>
      </c>
      <c r="O1186" s="16">
        <f>G1186-H1186</f>
        <v>1296</v>
      </c>
      <c r="P1186" s="16">
        <f>SUMIFS(O1186:O1186,E1186:E1186,"Science",F1186:F1186,"Completed")</f>
        <v>0</v>
      </c>
      <c r="Q1186" s="3" t="str">
        <f>IF(MONTH(E1186)&gt;=7, YEAR(E1186)&amp;"-"&amp;YEAR(E1186)+1, YEAR(E1186)-1&amp;"-"&amp;YEAR(E1186))</f>
        <v>2023-2024</v>
      </c>
      <c r="R1186" s="3"/>
      <c r="S1186" s="3"/>
      <c r="T1186" s="15" t="str">
        <f t="shared" ca="1" si="18"/>
        <v>0</v>
      </c>
      <c r="U1186" s="3"/>
    </row>
    <row r="1187" spans="1:21" x14ac:dyDescent="0.35">
      <c r="A1187" s="3" t="s">
        <v>2395</v>
      </c>
      <c r="B1187" s="3" t="s">
        <v>2396</v>
      </c>
      <c r="C1187" s="3" t="s">
        <v>12</v>
      </c>
      <c r="D1187" s="3" t="s">
        <v>13</v>
      </c>
      <c r="E1187" s="6">
        <v>44626</v>
      </c>
      <c r="F1187" s="3" t="s">
        <v>19</v>
      </c>
      <c r="G1187" s="3">
        <v>4306</v>
      </c>
      <c r="H1187" s="3">
        <v>3004</v>
      </c>
      <c r="I1187" s="3">
        <v>2</v>
      </c>
      <c r="J1187" s="3">
        <v>60</v>
      </c>
      <c r="K1187" s="15" t="str">
        <f ca="1">IF(F1187="Enrolled",TODAY()-E1187,"0")</f>
        <v>0</v>
      </c>
      <c r="L1187" s="3" t="str">
        <f>IF(I1187&gt;=3.5,"Excellent",IF(I1187&gt;=3,"Good",IF(I1187&gt;=2,"Average","Poor")))</f>
        <v>Average</v>
      </c>
      <c r="M1187" s="3" t="str">
        <v>Dr.Mehta</v>
      </c>
      <c r="N1187" s="3" t="str">
        <f>IF(H1187 &gt; (G1187*50%), "Yes", "No")</f>
        <v>Yes</v>
      </c>
      <c r="O1187" s="16">
        <f>G1187-H1187</f>
        <v>1302</v>
      </c>
      <c r="P1187" s="16">
        <f>SUMIFS(O1187:O1187,E1187:E1187,"Science",F1187:F1187,"Completed")</f>
        <v>0</v>
      </c>
      <c r="Q1187" s="3" t="str">
        <f>IF(MONTH(E1187)&gt;=7, YEAR(E1187)&amp;"-"&amp;YEAR(E1187)+1, YEAR(E1187)-1&amp;"-"&amp;YEAR(E1187))</f>
        <v>2021-2022</v>
      </c>
      <c r="R1187" s="3"/>
      <c r="S1187" s="3"/>
      <c r="T1187" s="15">
        <f t="shared" ca="1" si="18"/>
        <v>1428</v>
      </c>
      <c r="U1187" s="3"/>
    </row>
    <row r="1188" spans="1:21" x14ac:dyDescent="0.35">
      <c r="A1188" s="3" t="s">
        <v>2397</v>
      </c>
      <c r="B1188" s="3" t="s">
        <v>2398</v>
      </c>
      <c r="C1188" s="3" t="s">
        <v>22</v>
      </c>
      <c r="D1188" s="3" t="s">
        <v>31</v>
      </c>
      <c r="E1188" s="6">
        <v>44678</v>
      </c>
      <c r="F1188" s="3" t="s">
        <v>39</v>
      </c>
      <c r="G1188" s="3">
        <v>6691</v>
      </c>
      <c r="H1188" s="3">
        <v>7758</v>
      </c>
      <c r="I1188" s="3">
        <v>3.21</v>
      </c>
      <c r="J1188" s="3">
        <v>87</v>
      </c>
      <c r="K1188" s="15" t="str">
        <f ca="1">IF(F1188="Enrolled",TODAY()-E1188,"0")</f>
        <v>0</v>
      </c>
      <c r="L1188" s="3" t="str">
        <f>IF(I1188&gt;=3.5,"Excellent",IF(I1188&gt;=3,"Good",IF(I1188&gt;=2,"Average","Poor")))</f>
        <v>Good</v>
      </c>
      <c r="M1188" s="3" t="str">
        <v>Dr.Sharma</v>
      </c>
      <c r="N1188" s="3" t="str">
        <f>IF(H1188 &gt; (G1188*50%), "Yes", "No")</f>
        <v>Yes</v>
      </c>
      <c r="O1188" s="16">
        <f>G1188-H1188</f>
        <v>-1067</v>
      </c>
      <c r="P1188" s="16">
        <f>SUMIFS(O1188:O1188,E1188:E1188,"Science",F1188:F1188,"Completed")</f>
        <v>0</v>
      </c>
      <c r="Q1188" s="3" t="str">
        <f>IF(MONTH(E1188)&gt;=7, YEAR(E1188)&amp;"-"&amp;YEAR(E1188)+1, YEAR(E1188)-1&amp;"-"&amp;YEAR(E1188))</f>
        <v>2021-2022</v>
      </c>
      <c r="R1188" s="3"/>
      <c r="S1188" s="3"/>
      <c r="T1188" s="15" t="str">
        <f t="shared" ca="1" si="18"/>
        <v>0</v>
      </c>
      <c r="U1188" s="3"/>
    </row>
    <row r="1189" spans="1:21" x14ac:dyDescent="0.35">
      <c r="A1189" s="3" t="s">
        <v>2399</v>
      </c>
      <c r="B1189" s="3" t="s">
        <v>2400</v>
      </c>
      <c r="C1189" s="3" t="s">
        <v>22</v>
      </c>
      <c r="D1189" s="3" t="s">
        <v>18</v>
      </c>
      <c r="E1189" s="6">
        <v>44928</v>
      </c>
      <c r="F1189" s="3" t="s">
        <v>19</v>
      </c>
      <c r="G1189" s="3">
        <v>7712</v>
      </c>
      <c r="H1189" s="3">
        <v>5785</v>
      </c>
      <c r="I1189" s="3">
        <v>3.48</v>
      </c>
      <c r="J1189" s="3">
        <v>115</v>
      </c>
      <c r="K1189" s="15" t="str">
        <f ca="1">IF(F1189="Enrolled",TODAY()-E1189,"0")</f>
        <v>0</v>
      </c>
      <c r="L1189" s="3" t="str">
        <f>IF(I1189&gt;=3.5,"Excellent",IF(I1189&gt;=3,"Good",IF(I1189&gt;=2,"Average","Poor")))</f>
        <v>Good</v>
      </c>
      <c r="M1189" s="3" t="str">
        <v>Dr.Roy</v>
      </c>
      <c r="N1189" s="3" t="str">
        <f>IF(H1189 &gt; (G1189*50%), "Yes", "No")</f>
        <v>Yes</v>
      </c>
      <c r="O1189" s="16">
        <f>G1189-H1189</f>
        <v>1927</v>
      </c>
      <c r="P1189" s="16">
        <f>SUMIFS(O1189:O1189,E1189:E1189,"Science",F1189:F1189,"Completed")</f>
        <v>0</v>
      </c>
      <c r="Q1189" s="3" t="str">
        <f>IF(MONTH(E1189)&gt;=7, YEAR(E1189)&amp;"-"&amp;YEAR(E1189)+1, YEAR(E1189)-1&amp;"-"&amp;YEAR(E1189))</f>
        <v>2022-2023</v>
      </c>
      <c r="R1189" s="3"/>
      <c r="S1189" s="3"/>
      <c r="T1189" s="15">
        <f t="shared" ca="1" si="18"/>
        <v>1126</v>
      </c>
      <c r="U1189" s="3"/>
    </row>
    <row r="1190" spans="1:21" x14ac:dyDescent="0.35">
      <c r="A1190" s="3" t="s">
        <v>2401</v>
      </c>
      <c r="B1190" s="3" t="s">
        <v>2402</v>
      </c>
      <c r="C1190" s="3" t="s">
        <v>28</v>
      </c>
      <c r="D1190" s="3" t="s">
        <v>18</v>
      </c>
      <c r="E1190" s="6">
        <v>44757</v>
      </c>
      <c r="F1190" s="3" t="s">
        <v>39</v>
      </c>
      <c r="G1190" s="3">
        <v>7597</v>
      </c>
      <c r="H1190" s="3">
        <v>9463</v>
      </c>
      <c r="I1190" s="3">
        <v>3.9</v>
      </c>
      <c r="J1190" s="3">
        <v>65</v>
      </c>
      <c r="K1190" s="15" t="str">
        <f ca="1">IF(F1190="Enrolled",TODAY()-E1190,"0")</f>
        <v>0</v>
      </c>
      <c r="L1190" s="3" t="str">
        <f>IF(I1190&gt;=3.5,"Excellent",IF(I1190&gt;=3,"Good",IF(I1190&gt;=2,"Average","Poor")))</f>
        <v>Excellent</v>
      </c>
      <c r="M1190" s="3" t="str">
        <v>Dr.Roy</v>
      </c>
      <c r="N1190" s="3" t="str">
        <f>IF(H1190 &gt; (G1190*50%), "Yes", "No")</f>
        <v>Yes</v>
      </c>
      <c r="O1190" s="16">
        <f>G1190-H1190</f>
        <v>-1866</v>
      </c>
      <c r="P1190" s="16">
        <f>SUMIFS(O1190:O1190,E1190:E1190,"Science",F1190:F1190,"Completed")</f>
        <v>0</v>
      </c>
      <c r="Q1190" s="3" t="str">
        <f>IF(MONTH(E1190)&gt;=7, YEAR(E1190)&amp;"-"&amp;YEAR(E1190)+1, YEAR(E1190)-1&amp;"-"&amp;YEAR(E1190))</f>
        <v>2022-2023</v>
      </c>
      <c r="R1190" s="3"/>
      <c r="S1190" s="3"/>
      <c r="T1190" s="15" t="str">
        <f t="shared" ca="1" si="18"/>
        <v>0</v>
      </c>
      <c r="U1190" s="3"/>
    </row>
    <row r="1191" spans="1:21" x14ac:dyDescent="0.35">
      <c r="A1191" s="3" t="s">
        <v>2403</v>
      </c>
      <c r="B1191" s="3" t="s">
        <v>2404</v>
      </c>
      <c r="C1191" s="3" t="s">
        <v>12</v>
      </c>
      <c r="D1191" s="3" t="s">
        <v>13</v>
      </c>
      <c r="E1191" s="6">
        <v>45133</v>
      </c>
      <c r="F1191" s="3" t="s">
        <v>19</v>
      </c>
      <c r="G1191" s="3">
        <v>9288</v>
      </c>
      <c r="H1191" s="3">
        <v>8158</v>
      </c>
      <c r="I1191" s="3">
        <v>3.65</v>
      </c>
      <c r="J1191" s="3">
        <v>55</v>
      </c>
      <c r="K1191" s="15" t="str">
        <f ca="1">IF(F1191="Enrolled",TODAY()-E1191,"0")</f>
        <v>0</v>
      </c>
      <c r="L1191" s="3" t="str">
        <f>IF(I1191&gt;=3.5,"Excellent",IF(I1191&gt;=3,"Good",IF(I1191&gt;=2,"Average","Poor")))</f>
        <v>Excellent</v>
      </c>
      <c r="M1191" s="3" t="str">
        <v>Dr.Mehta</v>
      </c>
      <c r="N1191" s="3" t="str">
        <f>IF(H1191 &gt; (G1191*50%), "Yes", "No")</f>
        <v>Yes</v>
      </c>
      <c r="O1191" s="16">
        <f>G1191-H1191</f>
        <v>1130</v>
      </c>
      <c r="P1191" s="16">
        <f>SUMIFS(O1191:O1191,E1191:E1191,"Science",F1191:F1191,"Completed")</f>
        <v>0</v>
      </c>
      <c r="Q1191" s="3" t="str">
        <f>IF(MONTH(E1191)&gt;=7, YEAR(E1191)&amp;"-"&amp;YEAR(E1191)+1, YEAR(E1191)-1&amp;"-"&amp;YEAR(E1191))</f>
        <v>2023-2024</v>
      </c>
      <c r="R1191" s="3"/>
      <c r="S1191" s="3"/>
      <c r="T1191" s="15">
        <f t="shared" ca="1" si="18"/>
        <v>921</v>
      </c>
      <c r="U1191" s="3"/>
    </row>
    <row r="1192" spans="1:21" x14ac:dyDescent="0.35">
      <c r="A1192" s="3" t="s">
        <v>2405</v>
      </c>
      <c r="B1192" s="3" t="s">
        <v>2406</v>
      </c>
      <c r="C1192" s="3" t="s">
        <v>54</v>
      </c>
      <c r="D1192" s="3" t="s">
        <v>62</v>
      </c>
      <c r="E1192" s="6">
        <v>45397</v>
      </c>
      <c r="F1192" s="3" t="s">
        <v>14</v>
      </c>
      <c r="G1192" s="3">
        <v>3940</v>
      </c>
      <c r="H1192" s="3">
        <v>4690</v>
      </c>
      <c r="I1192" s="3">
        <v>3.42</v>
      </c>
      <c r="J1192" s="3">
        <v>12</v>
      </c>
      <c r="K1192" s="15">
        <f ca="1">IF(F1192="Enrolled",TODAY()-E1192,"0")</f>
        <v>657</v>
      </c>
      <c r="L1192" s="3" t="str">
        <f>IF(I1192&gt;=3.5,"Excellent",IF(I1192&gt;=3,"Good",IF(I1192&gt;=2,"Average","Poor")))</f>
        <v>Good</v>
      </c>
      <c r="M1192" s="3" t="str">
        <v>Dr.Sinha</v>
      </c>
      <c r="N1192" s="3" t="str">
        <f>IF(H1192 &gt; (G1192*50%), "Yes", "No")</f>
        <v>Yes</v>
      </c>
      <c r="O1192" s="16">
        <f>G1192-H1192</f>
        <v>-750</v>
      </c>
      <c r="P1192" s="16">
        <f>SUMIFS(O1192:O1192,E1192:E1192,"Science",F1192:F1192,"Completed")</f>
        <v>0</v>
      </c>
      <c r="Q1192" s="3" t="str">
        <f>IF(MONTH(E1192)&gt;=7, YEAR(E1192)&amp;"-"&amp;YEAR(E1192)+1, YEAR(E1192)-1&amp;"-"&amp;YEAR(E1192))</f>
        <v>2023-2024</v>
      </c>
      <c r="R1192" s="3"/>
      <c r="S1192" s="3"/>
      <c r="T1192" s="15" t="str">
        <f t="shared" ca="1" si="18"/>
        <v>0</v>
      </c>
      <c r="U1192" s="3"/>
    </row>
    <row r="1193" spans="1:21" x14ac:dyDescent="0.35">
      <c r="A1193" s="3" t="s">
        <v>2407</v>
      </c>
      <c r="B1193" s="3" t="s">
        <v>2408</v>
      </c>
      <c r="C1193" s="3" t="s">
        <v>12</v>
      </c>
      <c r="D1193" s="3" t="s">
        <v>31</v>
      </c>
      <c r="E1193" s="6">
        <v>44949</v>
      </c>
      <c r="F1193" s="3" t="s">
        <v>14</v>
      </c>
      <c r="G1193" s="3">
        <v>10498</v>
      </c>
      <c r="H1193" s="3">
        <v>3841</v>
      </c>
      <c r="I1193" s="3">
        <v>3.76</v>
      </c>
      <c r="J1193" s="3">
        <v>94</v>
      </c>
      <c r="K1193" s="15">
        <f ca="1">IF(F1193="Enrolled",TODAY()-E1193,"0")</f>
        <v>1105</v>
      </c>
      <c r="L1193" s="3" t="str">
        <f>IF(I1193&gt;=3.5,"Excellent",IF(I1193&gt;=3,"Good",IF(I1193&gt;=2,"Average","Poor")))</f>
        <v>Excellent</v>
      </c>
      <c r="M1193" s="3" t="str">
        <v>Dr.Sharma</v>
      </c>
      <c r="N1193" s="3" t="str">
        <f>IF(H1193 &gt; (G1193*50%), "Yes", "No")</f>
        <v>No</v>
      </c>
      <c r="O1193" s="16">
        <f>G1193-H1193</f>
        <v>6657</v>
      </c>
      <c r="P1193" s="16">
        <f>SUMIFS(O1193:O1193,E1193:E1193,"Science",F1193:F1193,"Completed")</f>
        <v>0</v>
      </c>
      <c r="Q1193" s="3" t="str">
        <f>IF(MONTH(E1193)&gt;=7, YEAR(E1193)&amp;"-"&amp;YEAR(E1193)+1, YEAR(E1193)-1&amp;"-"&amp;YEAR(E1193))</f>
        <v>2022-2023</v>
      </c>
      <c r="R1193" s="3"/>
      <c r="S1193" s="3"/>
      <c r="T1193" s="15" t="str">
        <f t="shared" ca="1" si="18"/>
        <v>0</v>
      </c>
      <c r="U1193" s="3"/>
    </row>
    <row r="1194" spans="1:21" x14ac:dyDescent="0.35">
      <c r="A1194" s="3" t="s">
        <v>2409</v>
      </c>
      <c r="B1194" s="3" t="s">
        <v>2410</v>
      </c>
      <c r="C1194" s="3" t="s">
        <v>22</v>
      </c>
      <c r="D1194" s="3" t="s">
        <v>18</v>
      </c>
      <c r="E1194" s="6">
        <v>45309</v>
      </c>
      <c r="F1194" s="3" t="s">
        <v>19</v>
      </c>
      <c r="G1194" s="3">
        <v>9664</v>
      </c>
      <c r="H1194" s="3">
        <v>5928</v>
      </c>
      <c r="I1194" s="3">
        <v>2.8</v>
      </c>
      <c r="J1194" s="3">
        <v>52</v>
      </c>
      <c r="K1194" s="15" t="str">
        <f ca="1">IF(F1194="Enrolled",TODAY()-E1194,"0")</f>
        <v>0</v>
      </c>
      <c r="L1194" s="3" t="str">
        <f>IF(I1194&gt;=3.5,"Excellent",IF(I1194&gt;=3,"Good",IF(I1194&gt;=2,"Average","Poor")))</f>
        <v>Average</v>
      </c>
      <c r="M1194" s="3" t="str">
        <v>Dr.Roy</v>
      </c>
      <c r="N1194" s="3" t="str">
        <f>IF(H1194 &gt; (G1194*50%), "Yes", "No")</f>
        <v>Yes</v>
      </c>
      <c r="O1194" s="16">
        <f>G1194-H1194</f>
        <v>3736</v>
      </c>
      <c r="P1194" s="16">
        <f>SUMIFS(O1194:O1194,E1194:E1194,"Science",F1194:F1194,"Completed")</f>
        <v>0</v>
      </c>
      <c r="Q1194" s="3" t="str">
        <f>IF(MONTH(E1194)&gt;=7, YEAR(E1194)&amp;"-"&amp;YEAR(E1194)+1, YEAR(E1194)-1&amp;"-"&amp;YEAR(E1194))</f>
        <v>2023-2024</v>
      </c>
      <c r="R1194" s="3"/>
      <c r="S1194" s="3"/>
      <c r="T1194" s="15">
        <f t="shared" ca="1" si="18"/>
        <v>745</v>
      </c>
      <c r="U1194" s="3"/>
    </row>
    <row r="1195" spans="1:21" x14ac:dyDescent="0.35">
      <c r="A1195" s="3" t="s">
        <v>2411</v>
      </c>
      <c r="B1195" s="3" t="s">
        <v>2412</v>
      </c>
      <c r="C1195" s="3" t="s">
        <v>57</v>
      </c>
      <c r="D1195" s="3" t="s">
        <v>31</v>
      </c>
      <c r="E1195" s="6">
        <v>45089</v>
      </c>
      <c r="F1195" s="3" t="s">
        <v>19</v>
      </c>
      <c r="G1195" s="3">
        <v>13106</v>
      </c>
      <c r="H1195" s="3">
        <v>6487</v>
      </c>
      <c r="I1195" s="3">
        <v>2.5299999999999998</v>
      </c>
      <c r="J1195" s="3">
        <v>61</v>
      </c>
      <c r="K1195" s="15" t="str">
        <f ca="1">IF(F1195="Enrolled",TODAY()-E1195,"0")</f>
        <v>0</v>
      </c>
      <c r="L1195" s="3" t="str">
        <f>IF(I1195&gt;=3.5,"Excellent",IF(I1195&gt;=3,"Good",IF(I1195&gt;=2,"Average","Poor")))</f>
        <v>Average</v>
      </c>
      <c r="M1195" s="3" t="str">
        <v>Dr.Sharma</v>
      </c>
      <c r="N1195" s="3" t="str">
        <f>IF(H1195 &gt; (G1195*50%), "Yes", "No")</f>
        <v>No</v>
      </c>
      <c r="O1195" s="16">
        <f>G1195-H1195</f>
        <v>6619</v>
      </c>
      <c r="P1195" s="16">
        <f>SUMIFS(O1195:O1195,E1195:E1195,"Science",F1195:F1195,"Completed")</f>
        <v>0</v>
      </c>
      <c r="Q1195" s="3" t="str">
        <f>IF(MONTH(E1195)&gt;=7, YEAR(E1195)&amp;"-"&amp;YEAR(E1195)+1, YEAR(E1195)-1&amp;"-"&amp;YEAR(E1195))</f>
        <v>2022-2023</v>
      </c>
      <c r="R1195" s="3"/>
      <c r="S1195" s="3"/>
      <c r="T1195" s="15">
        <f t="shared" ca="1" si="18"/>
        <v>965</v>
      </c>
      <c r="U1195" s="3"/>
    </row>
    <row r="1196" spans="1:21" x14ac:dyDescent="0.35">
      <c r="A1196" s="3" t="s">
        <v>2413</v>
      </c>
      <c r="B1196" s="3" t="s">
        <v>2414</v>
      </c>
      <c r="C1196" s="3" t="s">
        <v>54</v>
      </c>
      <c r="D1196" s="3" t="s">
        <v>18</v>
      </c>
      <c r="E1196" s="6">
        <v>44968</v>
      </c>
      <c r="F1196" s="3" t="s">
        <v>19</v>
      </c>
      <c r="G1196" s="3">
        <v>9730</v>
      </c>
      <c r="H1196" s="3">
        <v>4810</v>
      </c>
      <c r="I1196" s="3">
        <v>3.13</v>
      </c>
      <c r="J1196" s="3">
        <v>73</v>
      </c>
      <c r="K1196" s="15" t="str">
        <f ca="1">IF(F1196="Enrolled",TODAY()-E1196,"0")</f>
        <v>0</v>
      </c>
      <c r="L1196" s="3" t="str">
        <f>IF(I1196&gt;=3.5,"Excellent",IF(I1196&gt;=3,"Good",IF(I1196&gt;=2,"Average","Poor")))</f>
        <v>Good</v>
      </c>
      <c r="M1196" s="3" t="str">
        <v>Dr.Roy</v>
      </c>
      <c r="N1196" s="3" t="str">
        <f>IF(H1196 &gt; (G1196*50%), "Yes", "No")</f>
        <v>No</v>
      </c>
      <c r="O1196" s="16">
        <f>G1196-H1196</f>
        <v>4920</v>
      </c>
      <c r="P1196" s="16">
        <f>SUMIFS(O1196:O1196,E1196:E1196,"Science",F1196:F1196,"Completed")</f>
        <v>0</v>
      </c>
      <c r="Q1196" s="3" t="str">
        <f>IF(MONTH(E1196)&gt;=7, YEAR(E1196)&amp;"-"&amp;YEAR(E1196)+1, YEAR(E1196)-1&amp;"-"&amp;YEAR(E1196))</f>
        <v>2022-2023</v>
      </c>
      <c r="R1196" s="3"/>
      <c r="S1196" s="3"/>
      <c r="T1196" s="15">
        <f t="shared" ca="1" si="18"/>
        <v>1086</v>
      </c>
      <c r="U1196" s="3"/>
    </row>
    <row r="1197" spans="1:21" x14ac:dyDescent="0.35">
      <c r="A1197" s="3" t="s">
        <v>2415</v>
      </c>
      <c r="B1197" s="3" t="s">
        <v>2416</v>
      </c>
      <c r="C1197" s="3" t="s">
        <v>36</v>
      </c>
      <c r="D1197" s="3" t="s">
        <v>18</v>
      </c>
      <c r="E1197" s="6">
        <v>45211</v>
      </c>
      <c r="F1197" s="3" t="s">
        <v>14</v>
      </c>
      <c r="G1197" s="3">
        <v>8764</v>
      </c>
      <c r="H1197" s="3">
        <v>6811</v>
      </c>
      <c r="I1197" s="3">
        <v>3.72</v>
      </c>
      <c r="J1197" s="3">
        <v>100</v>
      </c>
      <c r="K1197" s="15">
        <f ca="1">IF(F1197="Enrolled",TODAY()-E1197,"0")</f>
        <v>843</v>
      </c>
      <c r="L1197" s="3" t="str">
        <f>IF(I1197&gt;=3.5,"Excellent",IF(I1197&gt;=3,"Good",IF(I1197&gt;=2,"Average","Poor")))</f>
        <v>Excellent</v>
      </c>
      <c r="M1197" s="3" t="str">
        <v>Dr.Roy</v>
      </c>
      <c r="N1197" s="3" t="str">
        <f>IF(H1197 &gt; (G1197*50%), "Yes", "No")</f>
        <v>Yes</v>
      </c>
      <c r="O1197" s="16">
        <f>G1197-H1197</f>
        <v>1953</v>
      </c>
      <c r="P1197" s="16">
        <f>SUMIFS(O1197:O1197,E1197:E1197,"Science",F1197:F1197,"Completed")</f>
        <v>0</v>
      </c>
      <c r="Q1197" s="3" t="str">
        <f>IF(MONTH(E1197)&gt;=7, YEAR(E1197)&amp;"-"&amp;YEAR(E1197)+1, YEAR(E1197)-1&amp;"-"&amp;YEAR(E1197))</f>
        <v>2023-2024</v>
      </c>
      <c r="R1197" s="3"/>
      <c r="S1197" s="3"/>
      <c r="T1197" s="15" t="str">
        <f t="shared" ca="1" si="18"/>
        <v>0</v>
      </c>
      <c r="U1197" s="3"/>
    </row>
    <row r="1198" spans="1:21" x14ac:dyDescent="0.35">
      <c r="A1198" s="3" t="s">
        <v>2417</v>
      </c>
      <c r="B1198" s="3" t="s">
        <v>2418</v>
      </c>
      <c r="C1198" s="3" t="s">
        <v>25</v>
      </c>
      <c r="D1198" s="3" t="s">
        <v>18</v>
      </c>
      <c r="E1198" s="6">
        <v>45260</v>
      </c>
      <c r="F1198" s="3" t="s">
        <v>39</v>
      </c>
      <c r="G1198" s="3">
        <v>11719</v>
      </c>
      <c r="H1198" s="3">
        <v>8671</v>
      </c>
      <c r="I1198" s="3">
        <v>2.4500000000000002</v>
      </c>
      <c r="J1198" s="3">
        <v>60</v>
      </c>
      <c r="K1198" s="15" t="str">
        <f ca="1">IF(F1198="Enrolled",TODAY()-E1198,"0")</f>
        <v>0</v>
      </c>
      <c r="L1198" s="3" t="str">
        <f>IF(I1198&gt;=3.5,"Excellent",IF(I1198&gt;=3,"Good",IF(I1198&gt;=2,"Average","Poor")))</f>
        <v>Average</v>
      </c>
      <c r="M1198" s="3" t="str">
        <v>Dr.Roy</v>
      </c>
      <c r="N1198" s="3" t="str">
        <f>IF(H1198 &gt; (G1198*50%), "Yes", "No")</f>
        <v>Yes</v>
      </c>
      <c r="O1198" s="16">
        <f>G1198-H1198</f>
        <v>3048</v>
      </c>
      <c r="P1198" s="16">
        <f>SUMIFS(O1198:O1198,E1198:E1198,"Science",F1198:F1198,"Completed")</f>
        <v>0</v>
      </c>
      <c r="Q1198" s="3" t="str">
        <f>IF(MONTH(E1198)&gt;=7, YEAR(E1198)&amp;"-"&amp;YEAR(E1198)+1, YEAR(E1198)-1&amp;"-"&amp;YEAR(E1198))</f>
        <v>2023-2024</v>
      </c>
      <c r="R1198" s="3"/>
      <c r="S1198" s="3"/>
      <c r="T1198" s="15" t="str">
        <f t="shared" ca="1" si="18"/>
        <v>0</v>
      </c>
      <c r="U1198" s="3"/>
    </row>
    <row r="1199" spans="1:21" x14ac:dyDescent="0.35">
      <c r="A1199" s="3" t="s">
        <v>2419</v>
      </c>
      <c r="B1199" s="3" t="s">
        <v>2420</v>
      </c>
      <c r="C1199" s="3" t="s">
        <v>12</v>
      </c>
      <c r="D1199" s="3" t="s">
        <v>18</v>
      </c>
      <c r="E1199" s="6">
        <v>44816</v>
      </c>
      <c r="F1199" s="3" t="s">
        <v>14</v>
      </c>
      <c r="G1199" s="3">
        <v>14745</v>
      </c>
      <c r="H1199" s="3">
        <v>5188</v>
      </c>
      <c r="I1199" s="3">
        <v>2.2999999999999998</v>
      </c>
      <c r="J1199" s="3">
        <v>106</v>
      </c>
      <c r="K1199" s="15">
        <f ca="1">IF(F1199="Enrolled",TODAY()-E1199,"0")</f>
        <v>1238</v>
      </c>
      <c r="L1199" s="3" t="str">
        <f>IF(I1199&gt;=3.5,"Excellent",IF(I1199&gt;=3,"Good",IF(I1199&gt;=2,"Average","Poor")))</f>
        <v>Average</v>
      </c>
      <c r="M1199" s="3" t="str">
        <v>Dr.Roy</v>
      </c>
      <c r="N1199" s="3" t="str">
        <f>IF(H1199 &gt; (G1199*50%), "Yes", "No")</f>
        <v>No</v>
      </c>
      <c r="O1199" s="16">
        <f>G1199-H1199</f>
        <v>9557</v>
      </c>
      <c r="P1199" s="16">
        <f>SUMIFS(O1199:O1199,E1199:E1199,"Science",F1199:F1199,"Completed")</f>
        <v>0</v>
      </c>
      <c r="Q1199" s="3" t="str">
        <f>IF(MONTH(E1199)&gt;=7, YEAR(E1199)&amp;"-"&amp;YEAR(E1199)+1, YEAR(E1199)-1&amp;"-"&amp;YEAR(E1199))</f>
        <v>2022-2023</v>
      </c>
      <c r="R1199" s="3"/>
      <c r="S1199" s="3"/>
      <c r="T1199" s="15" t="str">
        <f t="shared" ca="1" si="18"/>
        <v>0</v>
      </c>
      <c r="U1199" s="3"/>
    </row>
    <row r="1200" spans="1:21" x14ac:dyDescent="0.35">
      <c r="A1200" s="3" t="s">
        <v>2421</v>
      </c>
      <c r="B1200" s="3" t="s">
        <v>2422</v>
      </c>
      <c r="C1200" s="3" t="s">
        <v>12</v>
      </c>
      <c r="D1200" s="3" t="s">
        <v>18</v>
      </c>
      <c r="E1200" s="6">
        <v>45177</v>
      </c>
      <c r="F1200" s="3" t="s">
        <v>14</v>
      </c>
      <c r="G1200" s="3">
        <v>9290</v>
      </c>
      <c r="H1200" s="3">
        <v>2010</v>
      </c>
      <c r="I1200" s="3">
        <v>3.08</v>
      </c>
      <c r="J1200" s="3">
        <v>65</v>
      </c>
      <c r="K1200" s="15">
        <f ca="1">IF(F1200="Enrolled",TODAY()-E1200,"0")</f>
        <v>877</v>
      </c>
      <c r="L1200" s="3" t="str">
        <f>IF(I1200&gt;=3.5,"Excellent",IF(I1200&gt;=3,"Good",IF(I1200&gt;=2,"Average","Poor")))</f>
        <v>Good</v>
      </c>
      <c r="M1200" s="3" t="str">
        <v>Dr.Roy</v>
      </c>
      <c r="N1200" s="3" t="str">
        <f>IF(H1200 &gt; (G1200*50%), "Yes", "No")</f>
        <v>No</v>
      </c>
      <c r="O1200" s="16">
        <f>G1200-H1200</f>
        <v>7280</v>
      </c>
      <c r="P1200" s="16">
        <f>SUMIFS(O1200:O1200,E1200:E1200,"Science",F1200:F1200,"Completed")</f>
        <v>0</v>
      </c>
      <c r="Q1200" s="3" t="str">
        <f>IF(MONTH(E1200)&gt;=7, YEAR(E1200)&amp;"-"&amp;YEAR(E1200)+1, YEAR(E1200)-1&amp;"-"&amp;YEAR(E1200))</f>
        <v>2023-2024</v>
      </c>
      <c r="R1200" s="3"/>
      <c r="S1200" s="3"/>
      <c r="T1200" s="15" t="str">
        <f t="shared" ca="1" si="18"/>
        <v>0</v>
      </c>
      <c r="U1200" s="3"/>
    </row>
    <row r="1201" spans="1:21" x14ac:dyDescent="0.35">
      <c r="A1201" s="3" t="s">
        <v>2423</v>
      </c>
      <c r="B1201" s="3" t="s">
        <v>2424</v>
      </c>
      <c r="C1201" s="3" t="s">
        <v>25</v>
      </c>
      <c r="D1201" s="3" t="s">
        <v>62</v>
      </c>
      <c r="E1201" s="6">
        <v>45322</v>
      </c>
      <c r="F1201" s="3" t="s">
        <v>19</v>
      </c>
      <c r="G1201" s="3">
        <v>2623</v>
      </c>
      <c r="H1201" s="3">
        <v>5298</v>
      </c>
      <c r="I1201" s="3">
        <v>2.14</v>
      </c>
      <c r="J1201" s="3">
        <v>119</v>
      </c>
      <c r="K1201" s="15" t="str">
        <f ca="1">IF(F1201="Enrolled",TODAY()-E1201,"0")</f>
        <v>0</v>
      </c>
      <c r="L1201" s="3" t="str">
        <f>IF(I1201&gt;=3.5,"Excellent",IF(I1201&gt;=3,"Good",IF(I1201&gt;=2,"Average","Poor")))</f>
        <v>Average</v>
      </c>
      <c r="M1201" s="3" t="str">
        <v>Dr.Sinha</v>
      </c>
      <c r="N1201" s="3" t="str">
        <f>IF(H1201 &gt; (G1201*50%), "Yes", "No")</f>
        <v>Yes</v>
      </c>
      <c r="O1201" s="16">
        <f>G1201-H1201</f>
        <v>-2675</v>
      </c>
      <c r="P1201" s="16">
        <f>SUMIFS(O1201:O1201,E1201:E1201,"Science",F1201:F1201,"Completed")</f>
        <v>0</v>
      </c>
      <c r="Q1201" s="3" t="str">
        <f>IF(MONTH(E1201)&gt;=7, YEAR(E1201)&amp;"-"&amp;YEAR(E1201)+1, YEAR(E1201)-1&amp;"-"&amp;YEAR(E1201))</f>
        <v>2023-2024</v>
      </c>
      <c r="R1201" s="3"/>
      <c r="S1201" s="3"/>
      <c r="T1201" s="15">
        <f t="shared" ca="1" si="18"/>
        <v>732</v>
      </c>
      <c r="U1201" s="3"/>
    </row>
  </sheetData>
  <conditionalFormatting sqref="I1:I1201">
    <cfRule type="cellIs" dxfId="29" priority="3" operator="lessThan">
      <formula>2.5</formula>
    </cfRule>
  </conditionalFormatting>
  <conditionalFormatting sqref="H2:H1048576">
    <cfRule type="cellIs" dxfId="28" priority="2" operator="greaterThan">
      <formula>5000</formula>
    </cfRule>
  </conditionalFormatting>
  <conditionalFormatting sqref="H1">
    <cfRule type="cellIs" dxfId="27" priority="1" operator="lessThan">
      <formula>2.5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FD08-C0B5-4B03-89B0-88FD3F38B2A5}">
  <dimension ref="A1:B5"/>
  <sheetViews>
    <sheetView workbookViewId="0">
      <selection activeCell="B1" sqref="B1"/>
    </sheetView>
  </sheetViews>
  <sheetFormatPr defaultRowHeight="14.5" x14ac:dyDescent="0.35"/>
  <cols>
    <col min="1" max="1" width="10.1796875" bestFit="1" customWidth="1"/>
    <col min="2" max="2" width="10.26953125" bestFit="1" customWidth="1"/>
  </cols>
  <sheetData>
    <row r="1" spans="1:2" x14ac:dyDescent="0.35">
      <c r="A1" s="4" t="s">
        <v>3</v>
      </c>
      <c r="B1" s="4" t="s">
        <v>2431</v>
      </c>
    </row>
    <row r="2" spans="1:2" x14ac:dyDescent="0.35">
      <c r="A2" s="3" t="s">
        <v>13</v>
      </c>
      <c r="B2" s="3" t="s">
        <v>2427</v>
      </c>
    </row>
    <row r="3" spans="1:2" x14ac:dyDescent="0.35">
      <c r="A3" s="3" t="s">
        <v>18</v>
      </c>
      <c r="B3" s="3" t="s">
        <v>2428</v>
      </c>
    </row>
    <row r="4" spans="1:2" x14ac:dyDescent="0.35">
      <c r="A4" s="3" t="s">
        <v>31</v>
      </c>
      <c r="B4" s="3" t="s">
        <v>2429</v>
      </c>
    </row>
    <row r="5" spans="1:2" x14ac:dyDescent="0.35">
      <c r="A5" s="3" t="s">
        <v>62</v>
      </c>
      <c r="B5" s="3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University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Admin</cp:lastModifiedBy>
  <cp:lastPrinted>2025-07-18T10:49:18Z</cp:lastPrinted>
  <dcterms:created xsi:type="dcterms:W3CDTF">2025-07-18T10:47:11Z</dcterms:created>
  <dcterms:modified xsi:type="dcterms:W3CDTF">2026-02-01T09:52:35Z</dcterms:modified>
</cp:coreProperties>
</file>